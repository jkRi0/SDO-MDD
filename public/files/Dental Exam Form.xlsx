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EPED\DepEd School Year\2025\DMFT Form\"/>
    </mc:Choice>
  </mc:AlternateContent>
  <xr:revisionPtr revIDLastSave="0" documentId="13_ncr:1_{14EC1B73-6DE6-4235-9DAB-6B82C4E88F99}" xr6:coauthVersionLast="47" xr6:coauthVersionMax="47" xr10:uidLastSave="{00000000-0000-0000-0000-000000000000}"/>
  <bookViews>
    <workbookView xWindow="-110" yWindow="-110" windowWidth="19420" windowHeight="10300" activeTab="2" xr2:uid="{8F65C1BB-15AE-4643-B4E9-A0DE739D3961}"/>
  </bookViews>
  <sheets>
    <sheet name="Summary" sheetId="14" r:id="rId1"/>
    <sheet name="Template" sheetId="5" r:id="rId2"/>
    <sheet name="Juan Luna" sheetId="11" r:id="rId3"/>
    <sheet name="Antonio Luna" sheetId="12" r:id="rId4"/>
    <sheet name="Edmon Galang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1" l="1"/>
  <c r="G25" i="11" s="1"/>
  <c r="G31" i="13"/>
  <c r="C31" i="13"/>
  <c r="G30" i="13"/>
  <c r="C30" i="13"/>
  <c r="G29" i="13"/>
  <c r="G32" i="13" s="1"/>
  <c r="G28" i="13"/>
  <c r="C28" i="13"/>
  <c r="M35" i="13" s="1"/>
  <c r="G27" i="13"/>
  <c r="C27" i="13"/>
  <c r="G26" i="13"/>
  <c r="C26" i="13"/>
  <c r="G25" i="13"/>
  <c r="G31" i="12"/>
  <c r="C31" i="12"/>
  <c r="G30" i="12"/>
  <c r="C30" i="12"/>
  <c r="G29" i="12"/>
  <c r="G32" i="12" s="1"/>
  <c r="G28" i="12"/>
  <c r="C28" i="12"/>
  <c r="M35" i="12" s="1"/>
  <c r="G27" i="12"/>
  <c r="C27" i="12"/>
  <c r="G26" i="12"/>
  <c r="C26" i="12"/>
  <c r="G31" i="11"/>
  <c r="C31" i="11"/>
  <c r="G30" i="11"/>
  <c r="C30" i="11"/>
  <c r="G28" i="11"/>
  <c r="C28" i="11"/>
  <c r="G27" i="11"/>
  <c r="C27" i="11"/>
  <c r="C29" i="11" s="1"/>
  <c r="C26" i="11"/>
  <c r="G25" i="5"/>
  <c r="C25" i="5"/>
  <c r="C26" i="5"/>
  <c r="G26" i="5"/>
  <c r="G31" i="5"/>
  <c r="C31" i="5"/>
  <c r="G30" i="5"/>
  <c r="C30" i="5"/>
  <c r="G28" i="5"/>
  <c r="C28" i="5"/>
  <c r="M35" i="5" s="1"/>
  <c r="G27" i="5"/>
  <c r="G29" i="5" s="1"/>
  <c r="G32" i="5" s="1"/>
  <c r="C27" i="5"/>
  <c r="C29" i="5" s="1"/>
  <c r="C32" i="5" s="1"/>
  <c r="G29" i="11" l="1"/>
  <c r="M35" i="11"/>
  <c r="C29" i="13"/>
  <c r="C32" i="13" s="1"/>
  <c r="C29" i="12"/>
  <c r="C32" i="12" s="1"/>
  <c r="C32" i="11"/>
  <c r="G25" i="12"/>
  <c r="C25" i="11"/>
  <c r="G32" i="11" l="1"/>
  <c r="C25" i="13"/>
  <c r="C25" i="12"/>
</calcChain>
</file>

<file path=xl/sharedStrings.xml><?xml version="1.0" encoding="utf-8"?>
<sst xmlns="http://schemas.openxmlformats.org/spreadsheetml/2006/main" count="309" uniqueCount="54">
  <si>
    <t>d</t>
  </si>
  <si>
    <t>m</t>
  </si>
  <si>
    <t>f</t>
  </si>
  <si>
    <t>D</t>
  </si>
  <si>
    <t>M</t>
  </si>
  <si>
    <t>F</t>
  </si>
  <si>
    <t>/</t>
  </si>
  <si>
    <t>s</t>
  </si>
  <si>
    <t>S</t>
  </si>
  <si>
    <t>x</t>
  </si>
  <si>
    <t>X</t>
  </si>
  <si>
    <t xml:space="preserve">Name: </t>
  </si>
  <si>
    <t>Section</t>
  </si>
  <si>
    <t>Gingivitis</t>
  </si>
  <si>
    <t>Periodontal Disease</t>
  </si>
  <si>
    <t>Calculus</t>
  </si>
  <si>
    <t>Malocclusion</t>
  </si>
  <si>
    <t>Class I</t>
  </si>
  <si>
    <t>Class II</t>
  </si>
  <si>
    <t>Class III</t>
  </si>
  <si>
    <t>Supernumerary Teeth</t>
  </si>
  <si>
    <t>Cleft</t>
  </si>
  <si>
    <t>Lip</t>
  </si>
  <si>
    <t>Palate</t>
  </si>
  <si>
    <t>Root Fragments</t>
  </si>
  <si>
    <t>Decubital Ulcers</t>
  </si>
  <si>
    <t>Fluorosis</t>
  </si>
  <si>
    <t>Gemination</t>
  </si>
  <si>
    <t>Fusion</t>
  </si>
  <si>
    <t>Other Findings</t>
  </si>
  <si>
    <t>Total D</t>
  </si>
  <si>
    <t>Present</t>
  </si>
  <si>
    <t>Total DMF</t>
  </si>
  <si>
    <t>Total dmf</t>
  </si>
  <si>
    <t>Total d</t>
  </si>
  <si>
    <t>Orthodontics</t>
  </si>
  <si>
    <t>Prosthodontics</t>
  </si>
  <si>
    <t>CD U/L</t>
  </si>
  <si>
    <t>CD U</t>
  </si>
  <si>
    <t>CD L</t>
  </si>
  <si>
    <t>RPD U/L</t>
  </si>
  <si>
    <t>RPD U</t>
  </si>
  <si>
    <t>RPD L</t>
  </si>
  <si>
    <t>FPD</t>
  </si>
  <si>
    <t>DECIDOUS</t>
  </si>
  <si>
    <t>PERMANENT</t>
  </si>
  <si>
    <t>DENTAL HEALTH EXAMINATION FORM</t>
  </si>
  <si>
    <t>DEPARTMENT OF EDUCATION</t>
  </si>
  <si>
    <t>CITY SCHOOLS DIVISION OF CABUYAO</t>
  </si>
  <si>
    <t>TREATMENT RECORD</t>
  </si>
  <si>
    <t>DATE</t>
  </si>
  <si>
    <t>TREATMENT DONE</t>
  </si>
  <si>
    <t>REMARKS</t>
  </si>
  <si>
    <t>ATTENDING DENTIST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</si>
</sst>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3" borderId="5" xfId="0" applyFont="1" applyFill="1" applyBorder="1" applyAlignment="1">
      <alignment horizontal="left" wrapText="1"/>
    </xf>
    <xf numFmtId="0" fontId="0" fillId="4" borderId="0" xfId="0" applyFill="1"/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4" fillId="3" borderId="9" xfId="0" applyFont="1" applyFill="1" applyBorder="1" applyAlignment="1">
      <alignment horizontal="left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3" borderId="6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0773-3110-4F58-8DCF-5E35894802A6}">
  <dimension ref="A1"/>
  <sheetViews>
    <sheetView workbookViewId="0">
      <selection activeCell="B3" sqref="B3"/>
    </sheetView>
  </sheetViews>
  <sheetFormatPr defaultRowHeight="14.5" x14ac:dyDescent="0.35"/>
  <sheetData/>
  <dataConsolidate topLabels="1">
    <dataRefs count="3">
      <dataRef ref="B24:Q40" sheet="Antonio Luna"/>
      <dataRef ref="B24:Q40" sheet="Edmon Galang"/>
      <dataRef ref="B24:Q40" sheet="Juan Luna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D4FD-CAF5-48C1-8860-361E521672B1}">
  <dimension ref="A1:S129"/>
  <sheetViews>
    <sheetView topLeftCell="A39" workbookViewId="0">
      <selection activeCell="F25" sqref="F25:F32"/>
    </sheetView>
  </sheetViews>
  <sheetFormatPr defaultRowHeight="14.5" x14ac:dyDescent="0.35"/>
  <sheetData>
    <row r="1" spans="1:19" ht="21.5" customHeight="1" x14ac:dyDescent="0.35">
      <c r="A1" s="27" t="s">
        <v>47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21" customHeight="1" x14ac:dyDescent="0.35">
      <c r="A2" s="27" t="s">
        <v>48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ht="19" customHeight="1" x14ac:dyDescent="0.35">
      <c r="A4" s="15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19" customHeight="1" x14ac:dyDescent="0.35">
      <c r="A5" s="15" t="s">
        <v>12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.5" customHeight="1" x14ac:dyDescent="0.3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ht="22.5" customHeight="1" x14ac:dyDescent="0.35">
      <c r="A7" s="18"/>
      <c r="B7" s="18"/>
      <c r="C7" s="18"/>
      <c r="D7" s="18"/>
      <c r="E7" s="25" t="s">
        <v>46</v>
      </c>
      <c r="F7" s="26"/>
      <c r="G7" s="26"/>
      <c r="H7" s="26"/>
      <c r="I7" s="26"/>
      <c r="J7" s="26"/>
      <c r="K7" s="26"/>
      <c r="L7" s="26"/>
      <c r="M7" s="26"/>
      <c r="N7" s="26"/>
      <c r="O7" s="18"/>
      <c r="P7" s="18"/>
      <c r="Q7" s="18"/>
      <c r="R7" s="18"/>
      <c r="S7" s="18"/>
    </row>
    <row r="9" spans="1:19" x14ac:dyDescent="0.35">
      <c r="B9" s="5"/>
      <c r="C9" s="5"/>
      <c r="D9" s="5"/>
      <c r="E9" s="6">
        <v>55</v>
      </c>
      <c r="F9" s="6">
        <v>54</v>
      </c>
      <c r="G9" s="6">
        <v>53</v>
      </c>
      <c r="H9" s="6">
        <v>52</v>
      </c>
      <c r="I9" s="6">
        <v>51</v>
      </c>
      <c r="J9" s="6">
        <v>61</v>
      </c>
      <c r="K9" s="6">
        <v>62</v>
      </c>
      <c r="L9" s="6">
        <v>63</v>
      </c>
      <c r="M9" s="6">
        <v>64</v>
      </c>
      <c r="N9" s="6">
        <v>65</v>
      </c>
      <c r="O9" s="5"/>
      <c r="P9" s="5"/>
      <c r="Q9" s="5"/>
    </row>
    <row r="10" spans="1:19" ht="33.5" customHeight="1" x14ac:dyDescent="0.35">
      <c r="B10" s="5"/>
      <c r="C10" s="5"/>
      <c r="D10" s="5"/>
      <c r="E10" s="7"/>
      <c r="F10" s="7"/>
      <c r="G10" s="7"/>
      <c r="H10" s="7"/>
      <c r="I10" s="7"/>
      <c r="J10" s="7"/>
      <c r="K10" s="7"/>
      <c r="L10" s="7"/>
      <c r="M10" s="7"/>
      <c r="N10" s="7"/>
      <c r="O10" s="5"/>
      <c r="P10" s="5"/>
      <c r="Q10" s="5"/>
    </row>
    <row r="11" spans="1:19" x14ac:dyDescent="0.35"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9" ht="29.5" customHeight="1" x14ac:dyDescent="0.35">
      <c r="A12" s="2"/>
      <c r="B12" s="11"/>
      <c r="C12" s="11"/>
      <c r="D12" s="11"/>
      <c r="E12" s="8"/>
      <c r="F12" s="8"/>
      <c r="G12" s="8"/>
      <c r="H12" s="8"/>
      <c r="I12" s="8"/>
      <c r="J12" s="8"/>
      <c r="K12" s="8"/>
      <c r="L12" s="8"/>
      <c r="M12" s="8"/>
      <c r="N12" s="8"/>
      <c r="O12" s="11"/>
      <c r="P12" s="11"/>
      <c r="Q12" s="11"/>
    </row>
    <row r="13" spans="1:19" x14ac:dyDescent="0.35">
      <c r="A13" s="2"/>
      <c r="B13" s="11"/>
      <c r="C13" s="11"/>
      <c r="D13" s="11"/>
      <c r="E13" s="6">
        <v>85</v>
      </c>
      <c r="F13" s="6">
        <v>84</v>
      </c>
      <c r="G13" s="6">
        <v>83</v>
      </c>
      <c r="H13" s="6">
        <v>82</v>
      </c>
      <c r="I13" s="6">
        <v>81</v>
      </c>
      <c r="J13" s="6">
        <v>71</v>
      </c>
      <c r="K13" s="6">
        <v>72</v>
      </c>
      <c r="L13" s="6">
        <v>73</v>
      </c>
      <c r="M13" s="6">
        <v>74</v>
      </c>
      <c r="N13" s="6">
        <v>75</v>
      </c>
      <c r="O13" s="11"/>
      <c r="P13" s="11"/>
      <c r="Q13" s="11"/>
    </row>
    <row r="14" spans="1:19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9" ht="13" customHeight="1" x14ac:dyDescent="0.35">
      <c r="B16" s="6">
        <v>18</v>
      </c>
      <c r="C16" s="6">
        <v>17</v>
      </c>
      <c r="D16" s="6">
        <v>16</v>
      </c>
      <c r="E16" s="6">
        <v>15</v>
      </c>
      <c r="F16" s="6">
        <v>14</v>
      </c>
      <c r="G16" s="6">
        <v>13</v>
      </c>
      <c r="H16" s="6">
        <v>12</v>
      </c>
      <c r="I16" s="6">
        <v>11</v>
      </c>
      <c r="J16" s="6">
        <v>21</v>
      </c>
      <c r="K16" s="6">
        <v>22</v>
      </c>
      <c r="L16" s="6">
        <v>23</v>
      </c>
      <c r="M16" s="6">
        <v>24</v>
      </c>
      <c r="N16" s="6">
        <v>25</v>
      </c>
      <c r="O16" s="6">
        <v>26</v>
      </c>
      <c r="P16" s="6">
        <v>27</v>
      </c>
      <c r="Q16" s="6">
        <v>28</v>
      </c>
    </row>
    <row r="17" spans="1:17" ht="32" customHeight="1" x14ac:dyDescent="0.3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ht="15" customHeight="1" x14ac:dyDescent="0.3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32" customHeight="1" x14ac:dyDescent="0.3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13" customHeight="1" x14ac:dyDescent="0.35">
      <c r="A20" s="2"/>
      <c r="B20" s="13">
        <v>48</v>
      </c>
      <c r="C20" s="13">
        <v>47</v>
      </c>
      <c r="D20" s="13">
        <v>46</v>
      </c>
      <c r="E20" s="13">
        <v>45</v>
      </c>
      <c r="F20" s="13">
        <v>44</v>
      </c>
      <c r="G20" s="13">
        <v>43</v>
      </c>
      <c r="H20" s="13">
        <v>42</v>
      </c>
      <c r="I20" s="13">
        <v>41</v>
      </c>
      <c r="J20" s="13">
        <v>31</v>
      </c>
      <c r="K20" s="13">
        <v>32</v>
      </c>
      <c r="L20" s="13">
        <v>33</v>
      </c>
      <c r="M20" s="13">
        <v>34</v>
      </c>
      <c r="N20" s="13">
        <v>35</v>
      </c>
      <c r="O20" s="13">
        <v>36</v>
      </c>
      <c r="P20" s="13">
        <v>37</v>
      </c>
      <c r="Q20" s="13">
        <v>38</v>
      </c>
    </row>
    <row r="21" spans="1:17" ht="13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3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3" customHeight="1" thickBot="1" x14ac:dyDescent="0.4">
      <c r="A23" s="2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15" customHeight="1" thickBot="1" x14ac:dyDescent="0.4">
      <c r="B24" s="37" t="s">
        <v>44</v>
      </c>
      <c r="C24" s="38"/>
      <c r="D24" s="39"/>
      <c r="F24" s="37" t="s">
        <v>45</v>
      </c>
      <c r="G24" s="38"/>
      <c r="H24" s="39"/>
      <c r="J24" s="34" t="s">
        <v>13</v>
      </c>
      <c r="K24" s="35"/>
      <c r="L24" s="36"/>
      <c r="M24" s="1"/>
      <c r="O24" s="24" t="s">
        <v>35</v>
      </c>
      <c r="P24" s="24"/>
      <c r="Q24" s="1"/>
    </row>
    <row r="25" spans="1:17" ht="15" customHeight="1" thickBot="1" x14ac:dyDescent="0.4">
      <c r="B25" s="4" t="s">
        <v>31</v>
      </c>
      <c r="C25" s="32">
        <f>SUM(C26,C29,C31)</f>
        <v>0</v>
      </c>
      <c r="D25" s="33"/>
      <c r="F25" s="4" t="s">
        <v>31</v>
      </c>
      <c r="G25" s="32">
        <f>SUM(G26,G29,G31)</f>
        <v>0</v>
      </c>
      <c r="H25" s="33"/>
      <c r="J25" s="29" t="s">
        <v>14</v>
      </c>
      <c r="K25" s="30"/>
      <c r="L25" s="31"/>
      <c r="M25" s="1"/>
      <c r="O25" s="24" t="s">
        <v>36</v>
      </c>
      <c r="P25" s="24"/>
      <c r="Q25" s="1"/>
    </row>
    <row r="26" spans="1:17" ht="15" customHeight="1" thickBot="1" x14ac:dyDescent="0.4">
      <c r="B26" s="4" t="s">
        <v>7</v>
      </c>
      <c r="C26" s="32">
        <f>COUNTIF(E10:N12,"=/")</f>
        <v>0</v>
      </c>
      <c r="D26" s="33"/>
      <c r="F26" s="4" t="s">
        <v>8</v>
      </c>
      <c r="G26" s="32">
        <f>COUNTIF(B17:Q19,"=/")</f>
        <v>0</v>
      </c>
      <c r="H26" s="33"/>
      <c r="J26" s="29" t="s">
        <v>15</v>
      </c>
      <c r="K26" s="30"/>
      <c r="L26" s="31"/>
      <c r="M26" s="1"/>
      <c r="O26" s="24" t="s">
        <v>37</v>
      </c>
      <c r="P26" s="24"/>
      <c r="Q26" s="1"/>
    </row>
    <row r="27" spans="1:17" ht="15" customHeight="1" thickBot="1" x14ac:dyDescent="0.4">
      <c r="B27" s="3" t="s">
        <v>0</v>
      </c>
      <c r="C27" s="32">
        <f>COUNTIF(E10:N12,"=d")</f>
        <v>0</v>
      </c>
      <c r="D27" s="33"/>
      <c r="F27" s="4" t="s">
        <v>3</v>
      </c>
      <c r="G27" s="32">
        <f>COUNTIF(B17:Q19,"=D")</f>
        <v>0</v>
      </c>
      <c r="H27" s="33"/>
      <c r="J27" s="29" t="s">
        <v>16</v>
      </c>
      <c r="K27" s="30"/>
      <c r="L27" s="31"/>
      <c r="M27" s="1"/>
      <c r="O27" s="24" t="s">
        <v>38</v>
      </c>
      <c r="P27" s="24"/>
      <c r="Q27" s="1"/>
    </row>
    <row r="28" spans="1:17" ht="15" thickBot="1" x14ac:dyDescent="0.4">
      <c r="B28" s="3" t="s">
        <v>9</v>
      </c>
      <c r="C28" s="32">
        <f>COUNTIF(E10:N12,"=x")</f>
        <v>0</v>
      </c>
      <c r="D28" s="33"/>
      <c r="F28" s="4" t="s">
        <v>10</v>
      </c>
      <c r="G28" s="32">
        <f>COUNTIF(B17:Q19,"=X")</f>
        <v>0</v>
      </c>
      <c r="H28" s="33"/>
      <c r="J28" s="17"/>
      <c r="K28" s="29" t="s">
        <v>17</v>
      </c>
      <c r="L28" s="31"/>
      <c r="M28" s="1"/>
      <c r="O28" s="24" t="s">
        <v>39</v>
      </c>
      <c r="P28" s="24"/>
      <c r="Q28" s="1"/>
    </row>
    <row r="29" spans="1:17" ht="15" customHeight="1" thickBot="1" x14ac:dyDescent="0.4">
      <c r="B29" s="4" t="s">
        <v>34</v>
      </c>
      <c r="C29" s="32">
        <f>SUM(C27:D28)</f>
        <v>0</v>
      </c>
      <c r="D29" s="33"/>
      <c r="F29" s="4" t="s">
        <v>30</v>
      </c>
      <c r="G29" s="32">
        <f>SUM(G27:H28)</f>
        <v>0</v>
      </c>
      <c r="H29" s="33"/>
      <c r="J29" s="17"/>
      <c r="K29" s="29" t="s">
        <v>18</v>
      </c>
      <c r="L29" s="31"/>
      <c r="M29" s="1"/>
      <c r="O29" s="24" t="s">
        <v>40</v>
      </c>
      <c r="P29" s="24"/>
      <c r="Q29" s="1"/>
    </row>
    <row r="30" spans="1:17" ht="15" thickBot="1" x14ac:dyDescent="0.4">
      <c r="B30" s="3" t="s">
        <v>1</v>
      </c>
      <c r="C30" s="32">
        <f>COUNTIF(E10:N12,"=m")</f>
        <v>0</v>
      </c>
      <c r="D30" s="33"/>
      <c r="F30" s="4" t="s">
        <v>4</v>
      </c>
      <c r="G30" s="32">
        <f>COUNTIF(B17:Q19,"=M")</f>
        <v>0</v>
      </c>
      <c r="H30" s="33"/>
      <c r="J30" s="17"/>
      <c r="K30" s="29" t="s">
        <v>19</v>
      </c>
      <c r="L30" s="31"/>
      <c r="M30" s="1"/>
      <c r="O30" s="24" t="s">
        <v>41</v>
      </c>
      <c r="P30" s="24"/>
      <c r="Q30" s="1"/>
    </row>
    <row r="31" spans="1:17" ht="15" customHeight="1" thickBot="1" x14ac:dyDescent="0.4">
      <c r="B31" s="3" t="s">
        <v>2</v>
      </c>
      <c r="C31" s="32">
        <f>COUNTIF(E10:N12,"=f")</f>
        <v>0</v>
      </c>
      <c r="D31" s="33"/>
      <c r="F31" s="4" t="s">
        <v>5</v>
      </c>
      <c r="G31" s="32">
        <f>COUNTIF(B17:Q19,"=F")</f>
        <v>0</v>
      </c>
      <c r="H31" s="33"/>
      <c r="J31" s="29" t="s">
        <v>20</v>
      </c>
      <c r="K31" s="30"/>
      <c r="L31" s="31"/>
      <c r="M31" s="1"/>
      <c r="O31" s="24" t="s">
        <v>42</v>
      </c>
      <c r="P31" s="24"/>
      <c r="Q31" s="1"/>
    </row>
    <row r="32" spans="1:17" ht="15" thickBot="1" x14ac:dyDescent="0.4">
      <c r="B32" s="3" t="s">
        <v>33</v>
      </c>
      <c r="C32" s="20">
        <f>SUM(C29:D31)</f>
        <v>0</v>
      </c>
      <c r="D32" s="20"/>
      <c r="F32" s="4" t="s">
        <v>32</v>
      </c>
      <c r="G32" s="20">
        <f>SUM(G29:H31)</f>
        <v>0</v>
      </c>
      <c r="H32" s="20"/>
      <c r="J32" s="29" t="s">
        <v>21</v>
      </c>
      <c r="K32" s="30"/>
      <c r="L32" s="31"/>
      <c r="M32" s="1"/>
      <c r="O32" s="24" t="s">
        <v>43</v>
      </c>
      <c r="P32" s="24"/>
      <c r="Q32" s="1"/>
    </row>
    <row r="33" spans="1:19" ht="15" thickBot="1" x14ac:dyDescent="0.4">
      <c r="J33" s="17"/>
      <c r="K33" s="29" t="s">
        <v>22</v>
      </c>
      <c r="L33" s="31"/>
      <c r="M33" s="1"/>
    </row>
    <row r="34" spans="1:19" ht="15" thickBot="1" x14ac:dyDescent="0.4">
      <c r="J34" s="17"/>
      <c r="K34" s="29" t="s">
        <v>23</v>
      </c>
      <c r="L34" s="31"/>
      <c r="M34" s="1"/>
    </row>
    <row r="35" spans="1:19" ht="15" customHeight="1" thickBot="1" x14ac:dyDescent="0.4">
      <c r="J35" s="29" t="s">
        <v>24</v>
      </c>
      <c r="K35" s="30"/>
      <c r="L35" s="31"/>
      <c r="M35" s="1">
        <f>SUM(C28,G28)</f>
        <v>0</v>
      </c>
    </row>
    <row r="36" spans="1:19" ht="15" customHeight="1" thickBot="1" x14ac:dyDescent="0.4">
      <c r="J36" s="29" t="s">
        <v>25</v>
      </c>
      <c r="K36" s="30"/>
      <c r="L36" s="31"/>
      <c r="M36" s="1"/>
    </row>
    <row r="37" spans="1:19" ht="15" customHeight="1" thickBot="1" x14ac:dyDescent="0.4">
      <c r="J37" s="29" t="s">
        <v>26</v>
      </c>
      <c r="K37" s="30"/>
      <c r="L37" s="31"/>
      <c r="M37" s="1"/>
    </row>
    <row r="38" spans="1:19" ht="15" customHeight="1" thickBot="1" x14ac:dyDescent="0.4">
      <c r="D38" t="s">
        <v>3</v>
      </c>
      <c r="J38" s="29" t="s">
        <v>27</v>
      </c>
      <c r="K38" s="30"/>
      <c r="L38" s="31"/>
      <c r="M38" s="1"/>
    </row>
    <row r="39" spans="1:19" ht="15" thickBot="1" x14ac:dyDescent="0.4">
      <c r="J39" s="29" t="s">
        <v>28</v>
      </c>
      <c r="K39" s="30"/>
      <c r="L39" s="31"/>
      <c r="M39" s="1"/>
    </row>
    <row r="40" spans="1:19" ht="15" customHeight="1" thickBot="1" x14ac:dyDescent="0.4">
      <c r="J40" s="29" t="s">
        <v>29</v>
      </c>
      <c r="K40" s="30"/>
      <c r="L40" s="31"/>
      <c r="M40" s="1"/>
    </row>
    <row r="43" spans="1:19" x14ac:dyDescent="0.35">
      <c r="A43" s="21" t="s">
        <v>49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19" x14ac:dyDescent="0.3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6" spans="1:19" ht="16" x14ac:dyDescent="0.4">
      <c r="A46" s="23" t="s">
        <v>50</v>
      </c>
      <c r="B46" s="23"/>
      <c r="C46" s="23" t="s">
        <v>51</v>
      </c>
      <c r="D46" s="23"/>
      <c r="E46" s="23"/>
      <c r="F46" s="23"/>
      <c r="G46" s="23"/>
      <c r="H46" s="23"/>
      <c r="I46" s="23"/>
      <c r="J46" s="23"/>
      <c r="K46" s="23" t="s">
        <v>52</v>
      </c>
      <c r="L46" s="23"/>
      <c r="M46" s="23"/>
      <c r="N46" s="23"/>
      <c r="O46" s="23"/>
      <c r="P46" s="23"/>
      <c r="Q46" s="23" t="s">
        <v>53</v>
      </c>
      <c r="R46" s="23"/>
      <c r="S46" s="23"/>
    </row>
    <row r="47" spans="1:19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x14ac:dyDescent="0.3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x14ac:dyDescent="0.3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x14ac:dyDescent="0.3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x14ac:dyDescent="0.3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x14ac:dyDescent="0.3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x14ac:dyDescent="0.3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x14ac:dyDescent="0.3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x14ac:dyDescent="0.3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x14ac:dyDescent="0.3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x14ac:dyDescent="0.3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 x14ac:dyDescent="0.3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x14ac:dyDescent="0.3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spans="1:19" x14ac:dyDescent="0.3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x14ac:dyDescent="0.3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x14ac:dyDescent="0.3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 spans="1:19" x14ac:dyDescent="0.3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x14ac:dyDescent="0.3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1:19" x14ac:dyDescent="0.3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1:19" x14ac:dyDescent="0.3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1:19" x14ac:dyDescent="0.3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1:19" x14ac:dyDescent="0.3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1:19" x14ac:dyDescent="0.3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1:19" x14ac:dyDescent="0.3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1:19" x14ac:dyDescent="0.3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1:19" x14ac:dyDescent="0.3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1:19" x14ac:dyDescent="0.3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1:19" x14ac:dyDescent="0.3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x14ac:dyDescent="0.3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1:19" x14ac:dyDescent="0.3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x14ac:dyDescent="0.3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x14ac:dyDescent="0.3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1:19" x14ac:dyDescent="0.3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1:19" x14ac:dyDescent="0.3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1:19" x14ac:dyDescent="0.3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1:19" x14ac:dyDescent="0.3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1:19" x14ac:dyDescent="0.3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1:19" x14ac:dyDescent="0.3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1:19" x14ac:dyDescent="0.3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x14ac:dyDescent="0.3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1:19" x14ac:dyDescent="0.3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1:19" x14ac:dyDescent="0.3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1:19" x14ac:dyDescent="0.3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1:19" x14ac:dyDescent="0.3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1:19" x14ac:dyDescent="0.3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1:19" x14ac:dyDescent="0.3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x14ac:dyDescent="0.3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1:19" x14ac:dyDescent="0.3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19" x14ac:dyDescent="0.3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19" x14ac:dyDescent="0.3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19" x14ac:dyDescent="0.3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1:19" x14ac:dyDescent="0.3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1:19" x14ac:dyDescent="0.3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19" x14ac:dyDescent="0.3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1:19" x14ac:dyDescent="0.3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x14ac:dyDescent="0.3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1:19" x14ac:dyDescent="0.3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1:19" x14ac:dyDescent="0.3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1:19" x14ac:dyDescent="0.3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1:19" x14ac:dyDescent="0.3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1:19" x14ac:dyDescent="0.3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1:19" x14ac:dyDescent="0.3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1:19" x14ac:dyDescent="0.3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1:19" x14ac:dyDescent="0.3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1:19" x14ac:dyDescent="0.3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1:19" x14ac:dyDescent="0.3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1:19" x14ac:dyDescent="0.3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1:19" x14ac:dyDescent="0.3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1:19" x14ac:dyDescent="0.3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1:19" x14ac:dyDescent="0.3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1:19" x14ac:dyDescent="0.3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1:19" x14ac:dyDescent="0.3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1:19" x14ac:dyDescent="0.3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1:19" x14ac:dyDescent="0.3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1:19" x14ac:dyDescent="0.3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1:19" x14ac:dyDescent="0.3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1:19" x14ac:dyDescent="0.3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19" x14ac:dyDescent="0.3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19" x14ac:dyDescent="0.3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19" x14ac:dyDescent="0.3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19" x14ac:dyDescent="0.3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</sheetData>
  <mergeCells count="387">
    <mergeCell ref="O28:P28"/>
    <mergeCell ref="O29:P29"/>
    <mergeCell ref="O30:P30"/>
    <mergeCell ref="C31:D31"/>
    <mergeCell ref="B24:D24"/>
    <mergeCell ref="F24:H24"/>
    <mergeCell ref="C25:D25"/>
    <mergeCell ref="C26:D26"/>
    <mergeCell ref="C27:D27"/>
    <mergeCell ref="C28:D28"/>
    <mergeCell ref="C29:D29"/>
    <mergeCell ref="C30:D30"/>
    <mergeCell ref="J24:L24"/>
    <mergeCell ref="J25:L25"/>
    <mergeCell ref="J26:L26"/>
    <mergeCell ref="J27:L27"/>
    <mergeCell ref="G25:H25"/>
    <mergeCell ref="J36:L36"/>
    <mergeCell ref="J37:L37"/>
    <mergeCell ref="J38:L38"/>
    <mergeCell ref="K28:L28"/>
    <mergeCell ref="K29:L29"/>
    <mergeCell ref="K30:L30"/>
    <mergeCell ref="J31:L31"/>
    <mergeCell ref="J32:L32"/>
    <mergeCell ref="G26:H26"/>
    <mergeCell ref="G27:H27"/>
    <mergeCell ref="G28:H28"/>
    <mergeCell ref="G29:H29"/>
    <mergeCell ref="G30:H30"/>
    <mergeCell ref="G31:H31"/>
    <mergeCell ref="A43:S44"/>
    <mergeCell ref="A46:B46"/>
    <mergeCell ref="C46:J46"/>
    <mergeCell ref="K46:P46"/>
    <mergeCell ref="Q46:S46"/>
    <mergeCell ref="O31:P31"/>
    <mergeCell ref="O32:P32"/>
    <mergeCell ref="E7:N7"/>
    <mergeCell ref="A1:S1"/>
    <mergeCell ref="A2:S2"/>
    <mergeCell ref="A3:S3"/>
    <mergeCell ref="J39:L39"/>
    <mergeCell ref="J40:L40"/>
    <mergeCell ref="C32:D32"/>
    <mergeCell ref="G32:H32"/>
    <mergeCell ref="B4:S4"/>
    <mergeCell ref="B5:S5"/>
    <mergeCell ref="O24:P24"/>
    <mergeCell ref="O25:P25"/>
    <mergeCell ref="O26:P26"/>
    <mergeCell ref="O27:P27"/>
    <mergeCell ref="K33:L33"/>
    <mergeCell ref="K34:L34"/>
    <mergeCell ref="J35:L35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128:B128"/>
    <mergeCell ref="A129:B129"/>
    <mergeCell ref="C47:J47"/>
    <mergeCell ref="C48:J48"/>
    <mergeCell ref="C49:J49"/>
    <mergeCell ref="C50:J50"/>
    <mergeCell ref="C51:J51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C52:J52"/>
    <mergeCell ref="C53:J53"/>
    <mergeCell ref="C54:J54"/>
    <mergeCell ref="C55:J55"/>
    <mergeCell ref="C56:J56"/>
    <mergeCell ref="C57:J57"/>
    <mergeCell ref="A125:B125"/>
    <mergeCell ref="A126:B126"/>
    <mergeCell ref="A127:B127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C64:J64"/>
    <mergeCell ref="C65:J65"/>
    <mergeCell ref="C66:J66"/>
    <mergeCell ref="C67:J67"/>
    <mergeCell ref="C68:J68"/>
    <mergeCell ref="C69:J69"/>
    <mergeCell ref="C58:J58"/>
    <mergeCell ref="C59:J59"/>
    <mergeCell ref="C60:J60"/>
    <mergeCell ref="C61:J61"/>
    <mergeCell ref="C62:J62"/>
    <mergeCell ref="C63:J63"/>
    <mergeCell ref="C76:J76"/>
    <mergeCell ref="C77:J77"/>
    <mergeCell ref="C78:J78"/>
    <mergeCell ref="C79:J79"/>
    <mergeCell ref="C80:J80"/>
    <mergeCell ref="C81:J81"/>
    <mergeCell ref="C70:J70"/>
    <mergeCell ref="C71:J71"/>
    <mergeCell ref="C72:J72"/>
    <mergeCell ref="C73:J73"/>
    <mergeCell ref="C74:J74"/>
    <mergeCell ref="C75:J75"/>
    <mergeCell ref="C88:J88"/>
    <mergeCell ref="C89:J89"/>
    <mergeCell ref="C90:J90"/>
    <mergeCell ref="C91:J91"/>
    <mergeCell ref="C92:J92"/>
    <mergeCell ref="C93:J93"/>
    <mergeCell ref="C82:J82"/>
    <mergeCell ref="C83:J83"/>
    <mergeCell ref="C84:J84"/>
    <mergeCell ref="C85:J85"/>
    <mergeCell ref="C86:J86"/>
    <mergeCell ref="C87:J87"/>
    <mergeCell ref="C100:J100"/>
    <mergeCell ref="C101:J101"/>
    <mergeCell ref="C102:J102"/>
    <mergeCell ref="C103:J103"/>
    <mergeCell ref="C104:J104"/>
    <mergeCell ref="C105:J105"/>
    <mergeCell ref="C94:J94"/>
    <mergeCell ref="C95:J95"/>
    <mergeCell ref="C96:J96"/>
    <mergeCell ref="C97:J97"/>
    <mergeCell ref="C98:J98"/>
    <mergeCell ref="C99:J99"/>
    <mergeCell ref="C112:J112"/>
    <mergeCell ref="C113:J113"/>
    <mergeCell ref="C114:J114"/>
    <mergeCell ref="C115:J115"/>
    <mergeCell ref="C116:J116"/>
    <mergeCell ref="C117:J117"/>
    <mergeCell ref="C106:J106"/>
    <mergeCell ref="C107:J107"/>
    <mergeCell ref="C108:J108"/>
    <mergeCell ref="C109:J109"/>
    <mergeCell ref="C110:J110"/>
    <mergeCell ref="C111:J111"/>
    <mergeCell ref="C124:J124"/>
    <mergeCell ref="C125:J125"/>
    <mergeCell ref="C126:J126"/>
    <mergeCell ref="C127:J127"/>
    <mergeCell ref="C128:J128"/>
    <mergeCell ref="C129:J129"/>
    <mergeCell ref="C118:J118"/>
    <mergeCell ref="C119:J119"/>
    <mergeCell ref="C120:J120"/>
    <mergeCell ref="C121:J121"/>
    <mergeCell ref="C122:J122"/>
    <mergeCell ref="C123:J123"/>
    <mergeCell ref="K53:P53"/>
    <mergeCell ref="K54:P54"/>
    <mergeCell ref="K55:P55"/>
    <mergeCell ref="K56:P56"/>
    <mergeCell ref="K57:P57"/>
    <mergeCell ref="K58:P58"/>
    <mergeCell ref="K47:P47"/>
    <mergeCell ref="K48:P48"/>
    <mergeCell ref="K49:P49"/>
    <mergeCell ref="K50:P50"/>
    <mergeCell ref="K51:P51"/>
    <mergeCell ref="K52:P52"/>
    <mergeCell ref="K65:P65"/>
    <mergeCell ref="K66:P66"/>
    <mergeCell ref="K67:P67"/>
    <mergeCell ref="K68:P68"/>
    <mergeCell ref="K69:P69"/>
    <mergeCell ref="K70:P70"/>
    <mergeCell ref="K59:P59"/>
    <mergeCell ref="K60:P60"/>
    <mergeCell ref="K61:P61"/>
    <mergeCell ref="K62:P62"/>
    <mergeCell ref="K63:P63"/>
    <mergeCell ref="K64:P64"/>
    <mergeCell ref="K77:P77"/>
    <mergeCell ref="K78:P78"/>
    <mergeCell ref="K79:P79"/>
    <mergeCell ref="K80:P80"/>
    <mergeCell ref="K81:P81"/>
    <mergeCell ref="K82:P82"/>
    <mergeCell ref="K71:P71"/>
    <mergeCell ref="K72:P72"/>
    <mergeCell ref="K73:P73"/>
    <mergeCell ref="K74:P74"/>
    <mergeCell ref="K75:P75"/>
    <mergeCell ref="K76:P76"/>
    <mergeCell ref="K91:P91"/>
    <mergeCell ref="K92:P92"/>
    <mergeCell ref="K93:P93"/>
    <mergeCell ref="K94:P94"/>
    <mergeCell ref="K83:P83"/>
    <mergeCell ref="K84:P84"/>
    <mergeCell ref="K85:P85"/>
    <mergeCell ref="K86:P86"/>
    <mergeCell ref="K87:P87"/>
    <mergeCell ref="K88:P88"/>
    <mergeCell ref="K128:P128"/>
    <mergeCell ref="K129:P129"/>
    <mergeCell ref="Q47:S47"/>
    <mergeCell ref="Q48:S48"/>
    <mergeCell ref="Q49:S49"/>
    <mergeCell ref="Q50:S50"/>
    <mergeCell ref="Q51:S51"/>
    <mergeCell ref="K119:P119"/>
    <mergeCell ref="K120:P120"/>
    <mergeCell ref="K121:P121"/>
    <mergeCell ref="K122:P122"/>
    <mergeCell ref="K123:P123"/>
    <mergeCell ref="K124:P124"/>
    <mergeCell ref="K113:P113"/>
    <mergeCell ref="K114:P114"/>
    <mergeCell ref="K115:P115"/>
    <mergeCell ref="K116:P116"/>
    <mergeCell ref="K117:P117"/>
    <mergeCell ref="K118:P118"/>
    <mergeCell ref="K107:P107"/>
    <mergeCell ref="K108:P108"/>
    <mergeCell ref="K109:P109"/>
    <mergeCell ref="K110:P110"/>
    <mergeCell ref="K111:P111"/>
    <mergeCell ref="Q52:S52"/>
    <mergeCell ref="Q53:S53"/>
    <mergeCell ref="Q54:S54"/>
    <mergeCell ref="Q55:S55"/>
    <mergeCell ref="Q56:S56"/>
    <mergeCell ref="Q57:S57"/>
    <mergeCell ref="K125:P125"/>
    <mergeCell ref="K126:P126"/>
    <mergeCell ref="K127:P127"/>
    <mergeCell ref="K112:P112"/>
    <mergeCell ref="K101:P101"/>
    <mergeCell ref="K102:P102"/>
    <mergeCell ref="K103:P103"/>
    <mergeCell ref="K104:P104"/>
    <mergeCell ref="K105:P105"/>
    <mergeCell ref="K106:P106"/>
    <mergeCell ref="K95:P95"/>
    <mergeCell ref="K96:P96"/>
    <mergeCell ref="K97:P97"/>
    <mergeCell ref="K98:P98"/>
    <mergeCell ref="K99:P99"/>
    <mergeCell ref="K100:P100"/>
    <mergeCell ref="K89:P89"/>
    <mergeCell ref="K90:P90"/>
    <mergeCell ref="Q64:S64"/>
    <mergeCell ref="Q65:S65"/>
    <mergeCell ref="Q66:S66"/>
    <mergeCell ref="Q67:S67"/>
    <mergeCell ref="Q68:S68"/>
    <mergeCell ref="Q69:S69"/>
    <mergeCell ref="Q58:S58"/>
    <mergeCell ref="Q59:S59"/>
    <mergeCell ref="Q60:S60"/>
    <mergeCell ref="Q61:S61"/>
    <mergeCell ref="Q62:S62"/>
    <mergeCell ref="Q63:S63"/>
    <mergeCell ref="Q76:S76"/>
    <mergeCell ref="Q77:S77"/>
    <mergeCell ref="Q78:S78"/>
    <mergeCell ref="Q79:S79"/>
    <mergeCell ref="Q80:S80"/>
    <mergeCell ref="Q81:S81"/>
    <mergeCell ref="Q70:S70"/>
    <mergeCell ref="Q71:S71"/>
    <mergeCell ref="Q72:S72"/>
    <mergeCell ref="Q73:S73"/>
    <mergeCell ref="Q74:S74"/>
    <mergeCell ref="Q75:S75"/>
    <mergeCell ref="Q88:S88"/>
    <mergeCell ref="Q89:S89"/>
    <mergeCell ref="Q90:S90"/>
    <mergeCell ref="Q91:S91"/>
    <mergeCell ref="Q92:S92"/>
    <mergeCell ref="Q93:S93"/>
    <mergeCell ref="Q82:S82"/>
    <mergeCell ref="Q83:S83"/>
    <mergeCell ref="Q84:S84"/>
    <mergeCell ref="Q85:S85"/>
    <mergeCell ref="Q86:S86"/>
    <mergeCell ref="Q87:S87"/>
    <mergeCell ref="Q100:S100"/>
    <mergeCell ref="Q101:S101"/>
    <mergeCell ref="Q102:S102"/>
    <mergeCell ref="Q103:S103"/>
    <mergeCell ref="Q104:S104"/>
    <mergeCell ref="Q105:S105"/>
    <mergeCell ref="Q94:S94"/>
    <mergeCell ref="Q95:S95"/>
    <mergeCell ref="Q96:S96"/>
    <mergeCell ref="Q97:S97"/>
    <mergeCell ref="Q98:S98"/>
    <mergeCell ref="Q99:S99"/>
    <mergeCell ref="Q112:S112"/>
    <mergeCell ref="Q113:S113"/>
    <mergeCell ref="Q114:S114"/>
    <mergeCell ref="Q115:S115"/>
    <mergeCell ref="Q116:S116"/>
    <mergeCell ref="Q117:S117"/>
    <mergeCell ref="Q106:S106"/>
    <mergeCell ref="Q107:S107"/>
    <mergeCell ref="Q108:S108"/>
    <mergeCell ref="Q109:S109"/>
    <mergeCell ref="Q110:S110"/>
    <mergeCell ref="Q111:S111"/>
    <mergeCell ref="Q124:S124"/>
    <mergeCell ref="Q125:S125"/>
    <mergeCell ref="Q126:S126"/>
    <mergeCell ref="Q127:S127"/>
    <mergeCell ref="Q128:S128"/>
    <mergeCell ref="Q129:S129"/>
    <mergeCell ref="Q118:S118"/>
    <mergeCell ref="Q119:S119"/>
    <mergeCell ref="Q120:S120"/>
    <mergeCell ref="Q121:S121"/>
    <mergeCell ref="Q122:S122"/>
    <mergeCell ref="Q123:S12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BEC0-7A0C-40AF-A6FF-BE932A93C411}">
  <dimension ref="A1:S129"/>
  <sheetViews>
    <sheetView tabSelected="1" topLeftCell="A2" workbookViewId="0">
      <selection activeCell="K14" sqref="K14"/>
    </sheetView>
  </sheetViews>
  <sheetFormatPr defaultRowHeight="14.5" x14ac:dyDescent="0.35"/>
  <sheetData>
    <row r="1" spans="1:19" ht="21.5" customHeight="1" x14ac:dyDescent="0.35">
      <c r="A1" s="27" t="s">
        <v>47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21" customHeight="1" x14ac:dyDescent="0.35">
      <c r="A2" s="27" t="s">
        <v>48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ht="19" customHeight="1" x14ac:dyDescent="0.35">
      <c r="A4" s="15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19" customHeight="1" x14ac:dyDescent="0.35">
      <c r="A5" s="15" t="s">
        <v>12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.5" customHeight="1" x14ac:dyDescent="0.3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ht="22.5" customHeight="1" x14ac:dyDescent="0.35">
      <c r="A7" s="18"/>
      <c r="B7" s="18"/>
      <c r="C7" s="18"/>
      <c r="D7" s="18"/>
      <c r="E7" s="25" t="s">
        <v>46</v>
      </c>
      <c r="F7" s="26"/>
      <c r="G7" s="26"/>
      <c r="H7" s="26"/>
      <c r="I7" s="26"/>
      <c r="J7" s="26"/>
      <c r="K7" s="26"/>
      <c r="L7" s="26"/>
      <c r="M7" s="26"/>
      <c r="N7" s="26"/>
      <c r="O7" s="18"/>
      <c r="P7" s="18"/>
      <c r="Q7" s="18"/>
      <c r="R7" s="18"/>
      <c r="S7" s="18"/>
    </row>
    <row r="9" spans="1:19" x14ac:dyDescent="0.35">
      <c r="B9" s="5"/>
      <c r="C9" s="5"/>
      <c r="D9" s="5"/>
      <c r="E9" s="6">
        <v>55</v>
      </c>
      <c r="F9" s="6">
        <v>54</v>
      </c>
      <c r="G9" s="6">
        <v>53</v>
      </c>
      <c r="H9" s="6">
        <v>52</v>
      </c>
      <c r="I9" s="6">
        <v>51</v>
      </c>
      <c r="J9" s="6">
        <v>61</v>
      </c>
      <c r="K9" s="6">
        <v>62</v>
      </c>
      <c r="L9" s="6">
        <v>63</v>
      </c>
      <c r="M9" s="6">
        <v>64</v>
      </c>
      <c r="N9" s="6">
        <v>65</v>
      </c>
      <c r="O9" s="5"/>
      <c r="P9" s="5"/>
      <c r="Q9" s="5"/>
    </row>
    <row r="10" spans="1:19" ht="33.5" customHeight="1" x14ac:dyDescent="0.35">
      <c r="B10" s="5"/>
      <c r="C10" s="5"/>
      <c r="D10" s="5"/>
      <c r="E10" s="7" t="s">
        <v>6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6</v>
      </c>
      <c r="K10" s="7" t="s">
        <v>6</v>
      </c>
      <c r="L10" s="7" t="s">
        <v>6</v>
      </c>
      <c r="M10" s="7" t="s">
        <v>6</v>
      </c>
      <c r="N10" s="7" t="s">
        <v>6</v>
      </c>
      <c r="O10" s="5"/>
      <c r="P10" s="5"/>
      <c r="Q10" s="5"/>
    </row>
    <row r="11" spans="1:19" x14ac:dyDescent="0.35"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9" ht="29.5" customHeight="1" x14ac:dyDescent="0.35">
      <c r="A12" s="2"/>
      <c r="B12" s="11"/>
      <c r="C12" s="11"/>
      <c r="D12" s="11"/>
      <c r="E12" s="8" t="s">
        <v>6</v>
      </c>
      <c r="F12" s="8" t="s">
        <v>6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6</v>
      </c>
      <c r="M12" s="8" t="s">
        <v>6</v>
      </c>
      <c r="N12" s="8" t="s">
        <v>6</v>
      </c>
      <c r="O12" s="11"/>
      <c r="P12" s="11"/>
      <c r="Q12" s="11"/>
    </row>
    <row r="13" spans="1:19" x14ac:dyDescent="0.35">
      <c r="A13" s="2"/>
      <c r="B13" s="11"/>
      <c r="C13" s="11"/>
      <c r="D13" s="11"/>
      <c r="E13" s="6">
        <v>85</v>
      </c>
      <c r="F13" s="6">
        <v>84</v>
      </c>
      <c r="G13" s="6">
        <v>83</v>
      </c>
      <c r="H13" s="6">
        <v>82</v>
      </c>
      <c r="I13" s="6">
        <v>81</v>
      </c>
      <c r="J13" s="6">
        <v>71</v>
      </c>
      <c r="K13" s="6">
        <v>72</v>
      </c>
      <c r="L13" s="6">
        <v>73</v>
      </c>
      <c r="M13" s="6">
        <v>74</v>
      </c>
      <c r="N13" s="6">
        <v>75</v>
      </c>
      <c r="O13" s="11"/>
      <c r="P13" s="11"/>
      <c r="Q13" s="11"/>
    </row>
    <row r="14" spans="1:19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9" ht="13" customHeight="1" x14ac:dyDescent="0.35">
      <c r="B16" s="6">
        <v>18</v>
      </c>
      <c r="C16" s="6">
        <v>17</v>
      </c>
      <c r="D16" s="6">
        <v>16</v>
      </c>
      <c r="E16" s="6">
        <v>15</v>
      </c>
      <c r="F16" s="6">
        <v>14</v>
      </c>
      <c r="G16" s="6">
        <v>13</v>
      </c>
      <c r="H16" s="6">
        <v>12</v>
      </c>
      <c r="I16" s="6">
        <v>11</v>
      </c>
      <c r="J16" s="6">
        <v>21</v>
      </c>
      <c r="K16" s="6">
        <v>22</v>
      </c>
      <c r="L16" s="6">
        <v>23</v>
      </c>
      <c r="M16" s="6">
        <v>24</v>
      </c>
      <c r="N16" s="6">
        <v>25</v>
      </c>
      <c r="O16" s="6">
        <v>26</v>
      </c>
      <c r="P16" s="6">
        <v>27</v>
      </c>
      <c r="Q16" s="6">
        <v>28</v>
      </c>
    </row>
    <row r="17" spans="1:17" ht="32" customHeight="1" x14ac:dyDescent="0.35">
      <c r="B17" s="8" t="s">
        <v>6</v>
      </c>
      <c r="C17" s="8" t="s">
        <v>5</v>
      </c>
      <c r="D17" s="8" t="s">
        <v>3</v>
      </c>
      <c r="E17" s="8" t="s">
        <v>3</v>
      </c>
      <c r="F17" s="8" t="s">
        <v>6</v>
      </c>
      <c r="G17" s="8" t="s">
        <v>6</v>
      </c>
      <c r="H17" s="8" t="s">
        <v>6</v>
      </c>
      <c r="I17" s="8" t="s">
        <v>5</v>
      </c>
      <c r="J17" s="8" t="s">
        <v>5</v>
      </c>
      <c r="K17" s="8" t="s">
        <v>5</v>
      </c>
      <c r="L17" s="8" t="s">
        <v>6</v>
      </c>
      <c r="M17" s="8" t="s">
        <v>6</v>
      </c>
      <c r="N17" s="8" t="s">
        <v>4</v>
      </c>
      <c r="O17" s="8" t="s">
        <v>3</v>
      </c>
      <c r="P17" s="8" t="s">
        <v>3</v>
      </c>
      <c r="Q17" s="8" t="s">
        <v>6</v>
      </c>
    </row>
    <row r="18" spans="1:17" ht="15" customHeight="1" x14ac:dyDescent="0.3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32" customHeight="1" x14ac:dyDescent="0.35">
      <c r="B19" s="10" t="s">
        <v>6</v>
      </c>
      <c r="C19" s="10" t="s">
        <v>4</v>
      </c>
      <c r="D19" s="10" t="s">
        <v>3</v>
      </c>
      <c r="E19" s="10" t="s">
        <v>3</v>
      </c>
      <c r="F19" s="10" t="s">
        <v>6</v>
      </c>
      <c r="G19" s="10" t="s">
        <v>6</v>
      </c>
      <c r="H19" s="10" t="s">
        <v>6</v>
      </c>
      <c r="I19" s="10" t="s">
        <v>6</v>
      </c>
      <c r="J19" s="10" t="s">
        <v>6</v>
      </c>
      <c r="K19" s="10" t="s">
        <v>6</v>
      </c>
      <c r="L19" s="10" t="s">
        <v>6</v>
      </c>
      <c r="M19" s="10" t="s">
        <v>6</v>
      </c>
      <c r="N19" s="10" t="s">
        <v>6</v>
      </c>
      <c r="O19" s="10" t="s">
        <v>6</v>
      </c>
      <c r="P19" s="10" t="s">
        <v>6</v>
      </c>
      <c r="Q19" s="10" t="s">
        <v>6</v>
      </c>
    </row>
    <row r="20" spans="1:17" ht="13" customHeight="1" x14ac:dyDescent="0.35">
      <c r="A20" s="2"/>
      <c r="B20" s="13">
        <v>48</v>
      </c>
      <c r="C20" s="13">
        <v>47</v>
      </c>
      <c r="D20" s="13">
        <v>46</v>
      </c>
      <c r="E20" s="13">
        <v>45</v>
      </c>
      <c r="F20" s="13">
        <v>44</v>
      </c>
      <c r="G20" s="13">
        <v>43</v>
      </c>
      <c r="H20" s="13">
        <v>42</v>
      </c>
      <c r="I20" s="13">
        <v>41</v>
      </c>
      <c r="J20" s="13">
        <v>31</v>
      </c>
      <c r="K20" s="13">
        <v>32</v>
      </c>
      <c r="L20" s="13">
        <v>33</v>
      </c>
      <c r="M20" s="13">
        <v>34</v>
      </c>
      <c r="N20" s="13">
        <v>35</v>
      </c>
      <c r="O20" s="13">
        <v>36</v>
      </c>
      <c r="P20" s="13">
        <v>37</v>
      </c>
      <c r="Q20" s="13">
        <v>38</v>
      </c>
    </row>
    <row r="21" spans="1:17" ht="13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3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3" customHeight="1" thickBot="1" x14ac:dyDescent="0.4">
      <c r="A23" s="2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15" customHeight="1" thickBot="1" x14ac:dyDescent="0.4">
      <c r="B24" s="37" t="s">
        <v>44</v>
      </c>
      <c r="C24" s="38"/>
      <c r="D24" s="39"/>
      <c r="F24" s="37" t="s">
        <v>45</v>
      </c>
      <c r="G24" s="38"/>
      <c r="H24" s="39"/>
      <c r="J24" s="34" t="s">
        <v>13</v>
      </c>
      <c r="K24" s="35"/>
      <c r="L24" s="36"/>
      <c r="M24" s="1"/>
      <c r="O24" s="24" t="s">
        <v>35</v>
      </c>
      <c r="P24" s="24"/>
      <c r="Q24" s="1"/>
    </row>
    <row r="25" spans="1:17" ht="15" customHeight="1" thickBot="1" x14ac:dyDescent="0.4">
      <c r="B25" s="4" t="s">
        <v>31</v>
      </c>
      <c r="C25" s="32">
        <f>SUM(C26,C29,C31)</f>
        <v>20</v>
      </c>
      <c r="D25" s="33"/>
      <c r="F25" s="4" t="s">
        <v>31</v>
      </c>
      <c r="G25" s="32">
        <f>SUM(G26,G29,G31)</f>
        <v>30</v>
      </c>
      <c r="H25" s="33"/>
      <c r="J25" s="29" t="s">
        <v>14</v>
      </c>
      <c r="K25" s="30"/>
      <c r="L25" s="31"/>
      <c r="M25" s="1"/>
      <c r="O25" s="24" t="s">
        <v>36</v>
      </c>
      <c r="P25" s="24"/>
      <c r="Q25" s="1"/>
    </row>
    <row r="26" spans="1:17" ht="15" customHeight="1" thickBot="1" x14ac:dyDescent="0.4">
      <c r="B26" s="4" t="s">
        <v>7</v>
      </c>
      <c r="C26" s="32">
        <f>COUNTIF(E10:N12,"=/")</f>
        <v>20</v>
      </c>
      <c r="D26" s="33"/>
      <c r="F26" s="4" t="s">
        <v>8</v>
      </c>
      <c r="G26" s="32">
        <f>COUNTIF(B17:Q19,"=/")</f>
        <v>20</v>
      </c>
      <c r="H26" s="33"/>
      <c r="J26" s="29" t="s">
        <v>15</v>
      </c>
      <c r="K26" s="30"/>
      <c r="L26" s="31"/>
      <c r="M26" s="1"/>
      <c r="O26" s="24" t="s">
        <v>37</v>
      </c>
      <c r="P26" s="24"/>
      <c r="Q26" s="1"/>
    </row>
    <row r="27" spans="1:17" ht="15" customHeight="1" thickBot="1" x14ac:dyDescent="0.4">
      <c r="B27" s="3" t="s">
        <v>0</v>
      </c>
      <c r="C27" s="32">
        <f>COUNTIF(E10:N12,"=d")</f>
        <v>0</v>
      </c>
      <c r="D27" s="33"/>
      <c r="F27" s="4" t="s">
        <v>3</v>
      </c>
      <c r="G27" s="32">
        <f>COUNTIF(B17:Q19,"=D")</f>
        <v>6</v>
      </c>
      <c r="H27" s="33"/>
      <c r="J27" s="29" t="s">
        <v>16</v>
      </c>
      <c r="K27" s="30"/>
      <c r="L27" s="31"/>
      <c r="M27" s="1"/>
      <c r="O27" s="24" t="s">
        <v>38</v>
      </c>
      <c r="P27" s="24"/>
      <c r="Q27" s="1"/>
    </row>
    <row r="28" spans="1:17" ht="15" thickBot="1" x14ac:dyDescent="0.4">
      <c r="B28" s="3" t="s">
        <v>9</v>
      </c>
      <c r="C28" s="32">
        <f>COUNTIF(E10:N12,"=x")</f>
        <v>0</v>
      </c>
      <c r="D28" s="33"/>
      <c r="F28" s="4" t="s">
        <v>10</v>
      </c>
      <c r="G28" s="32">
        <f>COUNTIF(B17:Q19,"=X")</f>
        <v>0</v>
      </c>
      <c r="H28" s="33"/>
      <c r="J28" s="17"/>
      <c r="K28" s="29" t="s">
        <v>17</v>
      </c>
      <c r="L28" s="31"/>
      <c r="M28" s="1"/>
      <c r="O28" s="24" t="s">
        <v>39</v>
      </c>
      <c r="P28" s="24"/>
      <c r="Q28" s="1"/>
    </row>
    <row r="29" spans="1:17" ht="15" customHeight="1" thickBot="1" x14ac:dyDescent="0.4">
      <c r="B29" s="4" t="s">
        <v>34</v>
      </c>
      <c r="C29" s="32">
        <f>SUM(C27:D28)</f>
        <v>0</v>
      </c>
      <c r="D29" s="33"/>
      <c r="F29" s="4" t="s">
        <v>30</v>
      </c>
      <c r="G29" s="32">
        <f>SUM(G27:H28)</f>
        <v>6</v>
      </c>
      <c r="H29" s="33"/>
      <c r="J29" s="17"/>
      <c r="K29" s="29" t="s">
        <v>18</v>
      </c>
      <c r="L29" s="31"/>
      <c r="M29" s="1"/>
      <c r="O29" s="24" t="s">
        <v>40</v>
      </c>
      <c r="P29" s="24"/>
      <c r="Q29" s="1"/>
    </row>
    <row r="30" spans="1:17" ht="15" thickBot="1" x14ac:dyDescent="0.4">
      <c r="B30" s="3" t="s">
        <v>1</v>
      </c>
      <c r="C30" s="32">
        <f>COUNTIF(E10:N12,"=m")</f>
        <v>0</v>
      </c>
      <c r="D30" s="33"/>
      <c r="F30" s="4" t="s">
        <v>4</v>
      </c>
      <c r="G30" s="32">
        <f>COUNTIF(B17:Q19,"=M")</f>
        <v>2</v>
      </c>
      <c r="H30" s="33"/>
      <c r="J30" s="17"/>
      <c r="K30" s="29" t="s">
        <v>19</v>
      </c>
      <c r="L30" s="31"/>
      <c r="M30" s="1"/>
      <c r="O30" s="24" t="s">
        <v>41</v>
      </c>
      <c r="P30" s="24"/>
      <c r="Q30" s="1"/>
    </row>
    <row r="31" spans="1:17" ht="15" customHeight="1" thickBot="1" x14ac:dyDescent="0.4">
      <c r="B31" s="3" t="s">
        <v>2</v>
      </c>
      <c r="C31" s="32">
        <f>COUNTIF(E10:N12,"=f")</f>
        <v>0</v>
      </c>
      <c r="D31" s="33"/>
      <c r="F31" s="4" t="s">
        <v>5</v>
      </c>
      <c r="G31" s="32">
        <f>COUNTIF(B17:Q19,"=F")</f>
        <v>4</v>
      </c>
      <c r="H31" s="33"/>
      <c r="J31" s="29" t="s">
        <v>20</v>
      </c>
      <c r="K31" s="30"/>
      <c r="L31" s="31"/>
      <c r="M31" s="1"/>
      <c r="O31" s="24" t="s">
        <v>42</v>
      </c>
      <c r="P31" s="24"/>
      <c r="Q31" s="1"/>
    </row>
    <row r="32" spans="1:17" ht="15" thickBot="1" x14ac:dyDescent="0.4">
      <c r="B32" s="3" t="s">
        <v>33</v>
      </c>
      <c r="C32" s="20">
        <f>SUM(C29:D31)</f>
        <v>0</v>
      </c>
      <c r="D32" s="20"/>
      <c r="F32" s="4" t="s">
        <v>32</v>
      </c>
      <c r="G32" s="20">
        <f>SUM(G29:H31)</f>
        <v>12</v>
      </c>
      <c r="H32" s="20"/>
      <c r="J32" s="29" t="s">
        <v>21</v>
      </c>
      <c r="K32" s="30"/>
      <c r="L32" s="31"/>
      <c r="M32" s="1"/>
      <c r="O32" s="24" t="s">
        <v>43</v>
      </c>
      <c r="P32" s="24"/>
      <c r="Q32" s="1"/>
    </row>
    <row r="33" spans="1:19" ht="15" thickBot="1" x14ac:dyDescent="0.4">
      <c r="J33" s="17"/>
      <c r="K33" s="29" t="s">
        <v>22</v>
      </c>
      <c r="L33" s="31"/>
      <c r="M33" s="1"/>
    </row>
    <row r="34" spans="1:19" ht="15" thickBot="1" x14ac:dyDescent="0.4">
      <c r="J34" s="17"/>
      <c r="K34" s="29" t="s">
        <v>23</v>
      </c>
      <c r="L34" s="31"/>
      <c r="M34" s="1"/>
    </row>
    <row r="35" spans="1:19" ht="15" customHeight="1" thickBot="1" x14ac:dyDescent="0.4">
      <c r="J35" s="29" t="s">
        <v>24</v>
      </c>
      <c r="K35" s="30"/>
      <c r="L35" s="31"/>
      <c r="M35" s="1">
        <f>SUM(C28,G28)</f>
        <v>0</v>
      </c>
    </row>
    <row r="36" spans="1:19" ht="15" customHeight="1" thickBot="1" x14ac:dyDescent="0.4">
      <c r="J36" s="29" t="s">
        <v>25</v>
      </c>
      <c r="K36" s="30"/>
      <c r="L36" s="31"/>
      <c r="M36" s="1"/>
    </row>
    <row r="37" spans="1:19" ht="15" customHeight="1" thickBot="1" x14ac:dyDescent="0.4">
      <c r="J37" s="29" t="s">
        <v>26</v>
      </c>
      <c r="K37" s="30"/>
      <c r="L37" s="31"/>
      <c r="M37" s="1"/>
    </row>
    <row r="38" spans="1:19" ht="15" customHeight="1" thickBot="1" x14ac:dyDescent="0.4">
      <c r="J38" s="29" t="s">
        <v>27</v>
      </c>
      <c r="K38" s="30"/>
      <c r="L38" s="31"/>
      <c r="M38" s="1"/>
    </row>
    <row r="39" spans="1:19" ht="15" thickBot="1" x14ac:dyDescent="0.4">
      <c r="J39" s="29" t="s">
        <v>28</v>
      </c>
      <c r="K39" s="30"/>
      <c r="L39" s="31"/>
      <c r="M39" s="1"/>
    </row>
    <row r="40" spans="1:19" ht="15" customHeight="1" thickBot="1" x14ac:dyDescent="0.4">
      <c r="J40" s="29" t="s">
        <v>29</v>
      </c>
      <c r="K40" s="30"/>
      <c r="L40" s="31"/>
      <c r="M40" s="1"/>
    </row>
    <row r="43" spans="1:19" x14ac:dyDescent="0.35">
      <c r="A43" s="21" t="s">
        <v>49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19" x14ac:dyDescent="0.3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6" spans="1:19" ht="16" x14ac:dyDescent="0.4">
      <c r="A46" s="23" t="s">
        <v>50</v>
      </c>
      <c r="B46" s="23"/>
      <c r="C46" s="23" t="s">
        <v>51</v>
      </c>
      <c r="D46" s="23"/>
      <c r="E46" s="23"/>
      <c r="F46" s="23"/>
      <c r="G46" s="23"/>
      <c r="H46" s="23"/>
      <c r="I46" s="23"/>
      <c r="J46" s="23"/>
      <c r="K46" s="23" t="s">
        <v>52</v>
      </c>
      <c r="L46" s="23"/>
      <c r="M46" s="23"/>
      <c r="N46" s="23"/>
      <c r="O46" s="23"/>
      <c r="P46" s="23"/>
      <c r="Q46" s="23" t="s">
        <v>53</v>
      </c>
      <c r="R46" s="23"/>
      <c r="S46" s="23"/>
    </row>
    <row r="47" spans="1:19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x14ac:dyDescent="0.3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x14ac:dyDescent="0.3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x14ac:dyDescent="0.3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x14ac:dyDescent="0.3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x14ac:dyDescent="0.3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x14ac:dyDescent="0.3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x14ac:dyDescent="0.3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x14ac:dyDescent="0.3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x14ac:dyDescent="0.3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x14ac:dyDescent="0.3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 x14ac:dyDescent="0.3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x14ac:dyDescent="0.3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spans="1:19" x14ac:dyDescent="0.3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x14ac:dyDescent="0.3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x14ac:dyDescent="0.3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 spans="1:19" x14ac:dyDescent="0.3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x14ac:dyDescent="0.3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1:19" x14ac:dyDescent="0.3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1:19" x14ac:dyDescent="0.3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1:19" x14ac:dyDescent="0.3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1:19" x14ac:dyDescent="0.3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1:19" x14ac:dyDescent="0.3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1:19" x14ac:dyDescent="0.3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1:19" x14ac:dyDescent="0.3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1:19" x14ac:dyDescent="0.3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1:19" x14ac:dyDescent="0.3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1:19" x14ac:dyDescent="0.3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x14ac:dyDescent="0.3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1:19" x14ac:dyDescent="0.3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x14ac:dyDescent="0.3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x14ac:dyDescent="0.3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1:19" x14ac:dyDescent="0.3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1:19" x14ac:dyDescent="0.3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1:19" x14ac:dyDescent="0.3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1:19" x14ac:dyDescent="0.3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1:19" x14ac:dyDescent="0.3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1:19" x14ac:dyDescent="0.3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1:19" x14ac:dyDescent="0.3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x14ac:dyDescent="0.3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1:19" x14ac:dyDescent="0.3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1:19" x14ac:dyDescent="0.3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1:19" x14ac:dyDescent="0.3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1:19" x14ac:dyDescent="0.3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1:19" x14ac:dyDescent="0.3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1:19" x14ac:dyDescent="0.3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x14ac:dyDescent="0.3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1:19" x14ac:dyDescent="0.3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19" x14ac:dyDescent="0.3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19" x14ac:dyDescent="0.3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19" x14ac:dyDescent="0.3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1:19" x14ac:dyDescent="0.3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1:19" x14ac:dyDescent="0.3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19" x14ac:dyDescent="0.3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1:19" x14ac:dyDescent="0.3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x14ac:dyDescent="0.3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1:19" x14ac:dyDescent="0.3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1:19" x14ac:dyDescent="0.3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1:19" x14ac:dyDescent="0.3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1:19" x14ac:dyDescent="0.3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1:19" x14ac:dyDescent="0.3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1:19" x14ac:dyDescent="0.3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1:19" x14ac:dyDescent="0.3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1:19" x14ac:dyDescent="0.3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1:19" x14ac:dyDescent="0.3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1:19" x14ac:dyDescent="0.3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1:19" x14ac:dyDescent="0.3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1:19" x14ac:dyDescent="0.3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1:19" x14ac:dyDescent="0.3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1:19" x14ac:dyDescent="0.3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1:19" x14ac:dyDescent="0.3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1:19" x14ac:dyDescent="0.3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1:19" x14ac:dyDescent="0.3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1:19" x14ac:dyDescent="0.3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1:19" x14ac:dyDescent="0.3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1:19" x14ac:dyDescent="0.3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1:19" x14ac:dyDescent="0.3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19" x14ac:dyDescent="0.3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19" x14ac:dyDescent="0.3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19" x14ac:dyDescent="0.3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19" x14ac:dyDescent="0.3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</sheetData>
  <mergeCells count="387">
    <mergeCell ref="B24:D24"/>
    <mergeCell ref="F24:H24"/>
    <mergeCell ref="J24:L24"/>
    <mergeCell ref="O24:P24"/>
    <mergeCell ref="C25:D25"/>
    <mergeCell ref="G25:H25"/>
    <mergeCell ref="J25:L25"/>
    <mergeCell ref="O25:P25"/>
    <mergeCell ref="A1:S1"/>
    <mergeCell ref="A2:S2"/>
    <mergeCell ref="A3:S3"/>
    <mergeCell ref="B4:S4"/>
    <mergeCell ref="B5:S5"/>
    <mergeCell ref="E7:N7"/>
    <mergeCell ref="C28:D28"/>
    <mergeCell ref="G28:H28"/>
    <mergeCell ref="K28:L28"/>
    <mergeCell ref="O28:P28"/>
    <mergeCell ref="C29:D29"/>
    <mergeCell ref="G29:H29"/>
    <mergeCell ref="K29:L29"/>
    <mergeCell ref="O29:P29"/>
    <mergeCell ref="C26:D26"/>
    <mergeCell ref="G26:H26"/>
    <mergeCell ref="J26:L26"/>
    <mergeCell ref="O26:P26"/>
    <mergeCell ref="C27:D27"/>
    <mergeCell ref="G27:H27"/>
    <mergeCell ref="J27:L27"/>
    <mergeCell ref="O27:P27"/>
    <mergeCell ref="O32:P32"/>
    <mergeCell ref="K33:L33"/>
    <mergeCell ref="K34:L34"/>
    <mergeCell ref="C30:D30"/>
    <mergeCell ref="G30:H30"/>
    <mergeCell ref="K30:L30"/>
    <mergeCell ref="O30:P30"/>
    <mergeCell ref="C31:D31"/>
    <mergeCell ref="G31:H31"/>
    <mergeCell ref="J31:L31"/>
    <mergeCell ref="O31:P31"/>
    <mergeCell ref="J35:L35"/>
    <mergeCell ref="J36:L36"/>
    <mergeCell ref="J37:L37"/>
    <mergeCell ref="J38:L38"/>
    <mergeCell ref="J39:L39"/>
    <mergeCell ref="J40:L40"/>
    <mergeCell ref="C32:D32"/>
    <mergeCell ref="G32:H32"/>
    <mergeCell ref="J32:L32"/>
    <mergeCell ref="A48:B48"/>
    <mergeCell ref="C48:J48"/>
    <mergeCell ref="K48:P48"/>
    <mergeCell ref="Q48:S48"/>
    <mergeCell ref="A49:B49"/>
    <mergeCell ref="C49:J49"/>
    <mergeCell ref="K49:P49"/>
    <mergeCell ref="Q49:S49"/>
    <mergeCell ref="A43:S44"/>
    <mergeCell ref="A46:B46"/>
    <mergeCell ref="C46:J46"/>
    <mergeCell ref="K46:P46"/>
    <mergeCell ref="Q46:S46"/>
    <mergeCell ref="A47:B47"/>
    <mergeCell ref="C47:J47"/>
    <mergeCell ref="K47:P47"/>
    <mergeCell ref="Q47:S47"/>
    <mergeCell ref="A52:B52"/>
    <mergeCell ref="C52:J52"/>
    <mergeCell ref="K52:P52"/>
    <mergeCell ref="Q52:S52"/>
    <mergeCell ref="A53:B53"/>
    <mergeCell ref="C53:J53"/>
    <mergeCell ref="K53:P53"/>
    <mergeCell ref="Q53:S53"/>
    <mergeCell ref="A50:B50"/>
    <mergeCell ref="C50:J50"/>
    <mergeCell ref="K50:P50"/>
    <mergeCell ref="Q50:S50"/>
    <mergeCell ref="A51:B51"/>
    <mergeCell ref="C51:J51"/>
    <mergeCell ref="K51:P51"/>
    <mergeCell ref="Q51:S51"/>
    <mergeCell ref="A56:B56"/>
    <mergeCell ref="C56:J56"/>
    <mergeCell ref="K56:P56"/>
    <mergeCell ref="Q56:S56"/>
    <mergeCell ref="A57:B57"/>
    <mergeCell ref="C57:J57"/>
    <mergeCell ref="K57:P57"/>
    <mergeCell ref="Q57:S57"/>
    <mergeCell ref="A54:B54"/>
    <mergeCell ref="C54:J54"/>
    <mergeCell ref="K54:P54"/>
    <mergeCell ref="Q54:S54"/>
    <mergeCell ref="A55:B55"/>
    <mergeCell ref="C55:J55"/>
    <mergeCell ref="K55:P55"/>
    <mergeCell ref="Q55:S55"/>
    <mergeCell ref="A60:B60"/>
    <mergeCell ref="C60:J60"/>
    <mergeCell ref="K60:P60"/>
    <mergeCell ref="Q60:S60"/>
    <mergeCell ref="A61:B61"/>
    <mergeCell ref="C61:J61"/>
    <mergeCell ref="K61:P61"/>
    <mergeCell ref="Q61:S61"/>
    <mergeCell ref="A58:B58"/>
    <mergeCell ref="C58:J58"/>
    <mergeCell ref="K58:P58"/>
    <mergeCell ref="Q58:S58"/>
    <mergeCell ref="A59:B59"/>
    <mergeCell ref="C59:J59"/>
    <mergeCell ref="K59:P59"/>
    <mergeCell ref="Q59:S59"/>
    <mergeCell ref="A64:B64"/>
    <mergeCell ref="C64:J64"/>
    <mergeCell ref="K64:P64"/>
    <mergeCell ref="Q64:S64"/>
    <mergeCell ref="A65:B65"/>
    <mergeCell ref="C65:J65"/>
    <mergeCell ref="K65:P65"/>
    <mergeCell ref="Q65:S65"/>
    <mergeCell ref="A62:B62"/>
    <mergeCell ref="C62:J62"/>
    <mergeCell ref="K62:P62"/>
    <mergeCell ref="Q62:S62"/>
    <mergeCell ref="A63:B63"/>
    <mergeCell ref="C63:J63"/>
    <mergeCell ref="K63:P63"/>
    <mergeCell ref="Q63:S63"/>
    <mergeCell ref="A68:B68"/>
    <mergeCell ref="C68:J68"/>
    <mergeCell ref="K68:P68"/>
    <mergeCell ref="Q68:S68"/>
    <mergeCell ref="A69:B69"/>
    <mergeCell ref="C69:J69"/>
    <mergeCell ref="K69:P69"/>
    <mergeCell ref="Q69:S69"/>
    <mergeCell ref="A66:B66"/>
    <mergeCell ref="C66:J66"/>
    <mergeCell ref="K66:P66"/>
    <mergeCell ref="Q66:S66"/>
    <mergeCell ref="A67:B67"/>
    <mergeCell ref="C67:J67"/>
    <mergeCell ref="K67:P67"/>
    <mergeCell ref="Q67:S67"/>
    <mergeCell ref="A72:B72"/>
    <mergeCell ref="C72:J72"/>
    <mergeCell ref="K72:P72"/>
    <mergeCell ref="Q72:S72"/>
    <mergeCell ref="A73:B73"/>
    <mergeCell ref="C73:J73"/>
    <mergeCell ref="K73:P73"/>
    <mergeCell ref="Q73:S73"/>
    <mergeCell ref="A70:B70"/>
    <mergeCell ref="C70:J70"/>
    <mergeCell ref="K70:P70"/>
    <mergeCell ref="Q70:S70"/>
    <mergeCell ref="A71:B71"/>
    <mergeCell ref="C71:J71"/>
    <mergeCell ref="K71:P71"/>
    <mergeCell ref="Q71:S71"/>
    <mergeCell ref="A76:B76"/>
    <mergeCell ref="C76:J76"/>
    <mergeCell ref="K76:P76"/>
    <mergeCell ref="Q76:S76"/>
    <mergeCell ref="A77:B77"/>
    <mergeCell ref="C77:J77"/>
    <mergeCell ref="K77:P77"/>
    <mergeCell ref="Q77:S77"/>
    <mergeCell ref="A74:B74"/>
    <mergeCell ref="C74:J74"/>
    <mergeCell ref="K74:P74"/>
    <mergeCell ref="Q74:S74"/>
    <mergeCell ref="A75:B75"/>
    <mergeCell ref="C75:J75"/>
    <mergeCell ref="K75:P75"/>
    <mergeCell ref="Q75:S75"/>
    <mergeCell ref="A80:B80"/>
    <mergeCell ref="C80:J80"/>
    <mergeCell ref="K80:P80"/>
    <mergeCell ref="Q80:S80"/>
    <mergeCell ref="A81:B81"/>
    <mergeCell ref="C81:J81"/>
    <mergeCell ref="K81:P81"/>
    <mergeCell ref="Q81:S81"/>
    <mergeCell ref="A78:B78"/>
    <mergeCell ref="C78:J78"/>
    <mergeCell ref="K78:P78"/>
    <mergeCell ref="Q78:S78"/>
    <mergeCell ref="A79:B79"/>
    <mergeCell ref="C79:J79"/>
    <mergeCell ref="K79:P79"/>
    <mergeCell ref="Q79:S79"/>
    <mergeCell ref="A84:B84"/>
    <mergeCell ref="C84:J84"/>
    <mergeCell ref="K84:P84"/>
    <mergeCell ref="Q84:S84"/>
    <mergeCell ref="A85:B85"/>
    <mergeCell ref="C85:J85"/>
    <mergeCell ref="K85:P85"/>
    <mergeCell ref="Q85:S85"/>
    <mergeCell ref="A82:B82"/>
    <mergeCell ref="C82:J82"/>
    <mergeCell ref="K82:P82"/>
    <mergeCell ref="Q82:S82"/>
    <mergeCell ref="A83:B83"/>
    <mergeCell ref="C83:J83"/>
    <mergeCell ref="K83:P83"/>
    <mergeCell ref="Q83:S83"/>
    <mergeCell ref="A88:B88"/>
    <mergeCell ref="C88:J88"/>
    <mergeCell ref="K88:P88"/>
    <mergeCell ref="Q88:S88"/>
    <mergeCell ref="A89:B89"/>
    <mergeCell ref="C89:J89"/>
    <mergeCell ref="K89:P89"/>
    <mergeCell ref="Q89:S89"/>
    <mergeCell ref="A86:B86"/>
    <mergeCell ref="C86:J86"/>
    <mergeCell ref="K86:P86"/>
    <mergeCell ref="Q86:S86"/>
    <mergeCell ref="A87:B87"/>
    <mergeCell ref="C87:J87"/>
    <mergeCell ref="K87:P87"/>
    <mergeCell ref="Q87:S87"/>
    <mergeCell ref="A92:B92"/>
    <mergeCell ref="C92:J92"/>
    <mergeCell ref="K92:P92"/>
    <mergeCell ref="Q92:S92"/>
    <mergeCell ref="A93:B93"/>
    <mergeCell ref="C93:J93"/>
    <mergeCell ref="K93:P93"/>
    <mergeCell ref="Q93:S93"/>
    <mergeCell ref="A90:B90"/>
    <mergeCell ref="C90:J90"/>
    <mergeCell ref="K90:P90"/>
    <mergeCell ref="Q90:S90"/>
    <mergeCell ref="A91:B91"/>
    <mergeCell ref="C91:J91"/>
    <mergeCell ref="K91:P91"/>
    <mergeCell ref="Q91:S91"/>
    <mergeCell ref="A96:B96"/>
    <mergeCell ref="C96:J96"/>
    <mergeCell ref="K96:P96"/>
    <mergeCell ref="Q96:S96"/>
    <mergeCell ref="A97:B97"/>
    <mergeCell ref="C97:J97"/>
    <mergeCell ref="K97:P97"/>
    <mergeCell ref="Q97:S97"/>
    <mergeCell ref="A94:B94"/>
    <mergeCell ref="C94:J94"/>
    <mergeCell ref="K94:P94"/>
    <mergeCell ref="Q94:S94"/>
    <mergeCell ref="A95:B95"/>
    <mergeCell ref="C95:J95"/>
    <mergeCell ref="K95:P95"/>
    <mergeCell ref="Q95:S95"/>
    <mergeCell ref="A100:B100"/>
    <mergeCell ref="C100:J100"/>
    <mergeCell ref="K100:P100"/>
    <mergeCell ref="Q100:S100"/>
    <mergeCell ref="A101:B101"/>
    <mergeCell ref="C101:J101"/>
    <mergeCell ref="K101:P101"/>
    <mergeCell ref="Q101:S101"/>
    <mergeCell ref="A98:B98"/>
    <mergeCell ref="C98:J98"/>
    <mergeCell ref="K98:P98"/>
    <mergeCell ref="Q98:S98"/>
    <mergeCell ref="A99:B99"/>
    <mergeCell ref="C99:J99"/>
    <mergeCell ref="K99:P99"/>
    <mergeCell ref="Q99:S99"/>
    <mergeCell ref="A104:B104"/>
    <mergeCell ref="C104:J104"/>
    <mergeCell ref="K104:P104"/>
    <mergeCell ref="Q104:S104"/>
    <mergeCell ref="A105:B105"/>
    <mergeCell ref="C105:J105"/>
    <mergeCell ref="K105:P105"/>
    <mergeCell ref="Q105:S105"/>
    <mergeCell ref="A102:B102"/>
    <mergeCell ref="C102:J102"/>
    <mergeCell ref="K102:P102"/>
    <mergeCell ref="Q102:S102"/>
    <mergeCell ref="A103:B103"/>
    <mergeCell ref="C103:J103"/>
    <mergeCell ref="K103:P103"/>
    <mergeCell ref="Q103:S103"/>
    <mergeCell ref="A108:B108"/>
    <mergeCell ref="C108:J108"/>
    <mergeCell ref="K108:P108"/>
    <mergeCell ref="Q108:S108"/>
    <mergeCell ref="A109:B109"/>
    <mergeCell ref="C109:J109"/>
    <mergeCell ref="K109:P109"/>
    <mergeCell ref="Q109:S109"/>
    <mergeCell ref="A106:B106"/>
    <mergeCell ref="C106:J106"/>
    <mergeCell ref="K106:P106"/>
    <mergeCell ref="Q106:S106"/>
    <mergeCell ref="A107:B107"/>
    <mergeCell ref="C107:J107"/>
    <mergeCell ref="K107:P107"/>
    <mergeCell ref="Q107:S107"/>
    <mergeCell ref="A112:B112"/>
    <mergeCell ref="C112:J112"/>
    <mergeCell ref="K112:P112"/>
    <mergeCell ref="Q112:S112"/>
    <mergeCell ref="A113:B113"/>
    <mergeCell ref="C113:J113"/>
    <mergeCell ref="K113:P113"/>
    <mergeCell ref="Q113:S113"/>
    <mergeCell ref="A110:B110"/>
    <mergeCell ref="C110:J110"/>
    <mergeCell ref="K110:P110"/>
    <mergeCell ref="Q110:S110"/>
    <mergeCell ref="A111:B111"/>
    <mergeCell ref="C111:J111"/>
    <mergeCell ref="K111:P111"/>
    <mergeCell ref="Q111:S111"/>
    <mergeCell ref="A116:B116"/>
    <mergeCell ref="C116:J116"/>
    <mergeCell ref="K116:P116"/>
    <mergeCell ref="Q116:S116"/>
    <mergeCell ref="A117:B117"/>
    <mergeCell ref="C117:J117"/>
    <mergeCell ref="K117:P117"/>
    <mergeCell ref="Q117:S117"/>
    <mergeCell ref="A114:B114"/>
    <mergeCell ref="C114:J114"/>
    <mergeCell ref="K114:P114"/>
    <mergeCell ref="Q114:S114"/>
    <mergeCell ref="A115:B115"/>
    <mergeCell ref="C115:J115"/>
    <mergeCell ref="K115:P115"/>
    <mergeCell ref="Q115:S115"/>
    <mergeCell ref="A120:B120"/>
    <mergeCell ref="C120:J120"/>
    <mergeCell ref="K120:P120"/>
    <mergeCell ref="Q120:S120"/>
    <mergeCell ref="A121:B121"/>
    <mergeCell ref="C121:J121"/>
    <mergeCell ref="K121:P121"/>
    <mergeCell ref="Q121:S121"/>
    <mergeCell ref="A118:B118"/>
    <mergeCell ref="C118:J118"/>
    <mergeCell ref="K118:P118"/>
    <mergeCell ref="Q118:S118"/>
    <mergeCell ref="A119:B119"/>
    <mergeCell ref="C119:J119"/>
    <mergeCell ref="K119:P119"/>
    <mergeCell ref="Q119:S119"/>
    <mergeCell ref="A124:B124"/>
    <mergeCell ref="C124:J124"/>
    <mergeCell ref="K124:P124"/>
    <mergeCell ref="Q124:S124"/>
    <mergeCell ref="A125:B125"/>
    <mergeCell ref="C125:J125"/>
    <mergeCell ref="K125:P125"/>
    <mergeCell ref="Q125:S125"/>
    <mergeCell ref="A122:B122"/>
    <mergeCell ref="C122:J122"/>
    <mergeCell ref="K122:P122"/>
    <mergeCell ref="Q122:S122"/>
    <mergeCell ref="A123:B123"/>
    <mergeCell ref="C123:J123"/>
    <mergeCell ref="K123:P123"/>
    <mergeCell ref="Q123:S123"/>
    <mergeCell ref="A128:B128"/>
    <mergeCell ref="C128:J128"/>
    <mergeCell ref="K128:P128"/>
    <mergeCell ref="Q128:S128"/>
    <mergeCell ref="A129:B129"/>
    <mergeCell ref="C129:J129"/>
    <mergeCell ref="K129:P129"/>
    <mergeCell ref="Q129:S129"/>
    <mergeCell ref="A126:B126"/>
    <mergeCell ref="C126:J126"/>
    <mergeCell ref="K126:P126"/>
    <mergeCell ref="Q126:S126"/>
    <mergeCell ref="A127:B127"/>
    <mergeCell ref="C127:J127"/>
    <mergeCell ref="K127:P127"/>
    <mergeCell ref="Q127:S12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AC7E-F3EE-4F9C-A51E-64618890FFA1}">
  <dimension ref="A1:S129"/>
  <sheetViews>
    <sheetView topLeftCell="A12" workbookViewId="0">
      <selection activeCell="D38" sqref="D38"/>
    </sheetView>
  </sheetViews>
  <sheetFormatPr defaultRowHeight="14.5" x14ac:dyDescent="0.35"/>
  <sheetData>
    <row r="1" spans="1:19" ht="21.5" customHeight="1" x14ac:dyDescent="0.35">
      <c r="A1" s="27" t="s">
        <v>47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21" customHeight="1" x14ac:dyDescent="0.35">
      <c r="A2" s="27" t="s">
        <v>48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ht="19" customHeight="1" x14ac:dyDescent="0.35">
      <c r="A4" s="15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19" customHeight="1" x14ac:dyDescent="0.35">
      <c r="A5" s="15" t="s">
        <v>12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.5" customHeight="1" x14ac:dyDescent="0.3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ht="22.5" customHeight="1" x14ac:dyDescent="0.35">
      <c r="A7" s="18"/>
      <c r="B7" s="18"/>
      <c r="C7" s="18"/>
      <c r="D7" s="18"/>
      <c r="E7" s="25" t="s">
        <v>46</v>
      </c>
      <c r="F7" s="26"/>
      <c r="G7" s="26"/>
      <c r="H7" s="26"/>
      <c r="I7" s="26"/>
      <c r="J7" s="26"/>
      <c r="K7" s="26"/>
      <c r="L7" s="26"/>
      <c r="M7" s="26"/>
      <c r="N7" s="26"/>
      <c r="O7" s="18"/>
      <c r="P7" s="18"/>
      <c r="Q7" s="18"/>
      <c r="R7" s="18"/>
      <c r="S7" s="18"/>
    </row>
    <row r="9" spans="1:19" x14ac:dyDescent="0.35">
      <c r="B9" s="5"/>
      <c r="C9" s="5"/>
      <c r="D9" s="5"/>
      <c r="E9" s="6">
        <v>55</v>
      </c>
      <c r="F9" s="6">
        <v>54</v>
      </c>
      <c r="G9" s="6">
        <v>53</v>
      </c>
      <c r="H9" s="6">
        <v>52</v>
      </c>
      <c r="I9" s="6">
        <v>51</v>
      </c>
      <c r="J9" s="6">
        <v>61</v>
      </c>
      <c r="K9" s="6">
        <v>62</v>
      </c>
      <c r="L9" s="6">
        <v>63</v>
      </c>
      <c r="M9" s="6">
        <v>64</v>
      </c>
      <c r="N9" s="6">
        <v>65</v>
      </c>
      <c r="O9" s="5"/>
      <c r="P9" s="5"/>
      <c r="Q9" s="5"/>
    </row>
    <row r="10" spans="1:19" ht="33.5" customHeight="1" x14ac:dyDescent="0.35">
      <c r="B10" s="5"/>
      <c r="C10" s="5"/>
      <c r="D10" s="5"/>
      <c r="E10" s="7" t="s">
        <v>0</v>
      </c>
      <c r="F10" s="7" t="s">
        <v>2</v>
      </c>
      <c r="G10" s="7" t="s">
        <v>6</v>
      </c>
      <c r="H10" s="7" t="s">
        <v>6</v>
      </c>
      <c r="I10" s="7" t="s">
        <v>6</v>
      </c>
      <c r="J10" s="7" t="s">
        <v>6</v>
      </c>
      <c r="K10" s="7" t="s">
        <v>6</v>
      </c>
      <c r="L10" s="7" t="s">
        <v>6</v>
      </c>
      <c r="M10" s="7" t="s">
        <v>0</v>
      </c>
      <c r="N10" s="7" t="s">
        <v>0</v>
      </c>
      <c r="O10" s="5"/>
      <c r="P10" s="5"/>
      <c r="Q10" s="5"/>
    </row>
    <row r="11" spans="1:19" x14ac:dyDescent="0.35"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9" ht="29.5" customHeight="1" x14ac:dyDescent="0.35">
      <c r="A12" s="2"/>
      <c r="B12" s="11"/>
      <c r="C12" s="11"/>
      <c r="D12" s="11"/>
      <c r="E12" s="8" t="s">
        <v>0</v>
      </c>
      <c r="F12" s="8" t="s">
        <v>0</v>
      </c>
      <c r="G12" s="8" t="s">
        <v>2</v>
      </c>
      <c r="H12" s="8" t="s">
        <v>0</v>
      </c>
      <c r="I12" s="8" t="s">
        <v>6</v>
      </c>
      <c r="J12" s="8" t="s">
        <v>6</v>
      </c>
      <c r="K12" s="19" t="s">
        <v>6</v>
      </c>
      <c r="L12" s="8" t="s">
        <v>6</v>
      </c>
      <c r="M12" s="8" t="s">
        <v>6</v>
      </c>
      <c r="N12" s="8" t="s">
        <v>6</v>
      </c>
      <c r="O12" s="11"/>
      <c r="P12" s="11"/>
      <c r="Q12" s="11"/>
    </row>
    <row r="13" spans="1:19" x14ac:dyDescent="0.35">
      <c r="A13" s="2"/>
      <c r="B13" s="11"/>
      <c r="C13" s="11"/>
      <c r="D13" s="11"/>
      <c r="E13" s="6">
        <v>85</v>
      </c>
      <c r="F13" s="6">
        <v>84</v>
      </c>
      <c r="G13" s="6">
        <v>83</v>
      </c>
      <c r="H13" s="6">
        <v>82</v>
      </c>
      <c r="I13" s="6">
        <v>81</v>
      </c>
      <c r="J13" s="6">
        <v>71</v>
      </c>
      <c r="K13" s="6">
        <v>72</v>
      </c>
      <c r="L13" s="6">
        <v>73</v>
      </c>
      <c r="M13" s="6">
        <v>74</v>
      </c>
      <c r="N13" s="6">
        <v>75</v>
      </c>
      <c r="O13" s="11"/>
      <c r="P13" s="11"/>
      <c r="Q13" s="11"/>
    </row>
    <row r="14" spans="1:19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9" ht="13" customHeight="1" x14ac:dyDescent="0.35">
      <c r="B16" s="6">
        <v>18</v>
      </c>
      <c r="C16" s="6">
        <v>17</v>
      </c>
      <c r="D16" s="6">
        <v>16</v>
      </c>
      <c r="E16" s="6">
        <v>15</v>
      </c>
      <c r="F16" s="6">
        <v>14</v>
      </c>
      <c r="G16" s="6">
        <v>13</v>
      </c>
      <c r="H16" s="6">
        <v>12</v>
      </c>
      <c r="I16" s="6">
        <v>11</v>
      </c>
      <c r="J16" s="6">
        <v>21</v>
      </c>
      <c r="K16" s="6">
        <v>22</v>
      </c>
      <c r="L16" s="6">
        <v>23</v>
      </c>
      <c r="M16" s="6">
        <v>24</v>
      </c>
      <c r="N16" s="6">
        <v>25</v>
      </c>
      <c r="O16" s="6">
        <v>26</v>
      </c>
      <c r="P16" s="6">
        <v>27</v>
      </c>
      <c r="Q16" s="6">
        <v>28</v>
      </c>
    </row>
    <row r="17" spans="1:17" ht="32" customHeight="1" x14ac:dyDescent="0.3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ht="15" customHeight="1" x14ac:dyDescent="0.3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32" customHeight="1" x14ac:dyDescent="0.3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13" customHeight="1" x14ac:dyDescent="0.35">
      <c r="A20" s="2"/>
      <c r="B20" s="13">
        <v>48</v>
      </c>
      <c r="C20" s="13">
        <v>47</v>
      </c>
      <c r="D20" s="13">
        <v>46</v>
      </c>
      <c r="E20" s="13">
        <v>45</v>
      </c>
      <c r="F20" s="13">
        <v>44</v>
      </c>
      <c r="G20" s="13">
        <v>43</v>
      </c>
      <c r="H20" s="13">
        <v>42</v>
      </c>
      <c r="I20" s="13">
        <v>41</v>
      </c>
      <c r="J20" s="13">
        <v>31</v>
      </c>
      <c r="K20" s="13">
        <v>32</v>
      </c>
      <c r="L20" s="13">
        <v>33</v>
      </c>
      <c r="M20" s="13">
        <v>34</v>
      </c>
      <c r="N20" s="13">
        <v>35</v>
      </c>
      <c r="O20" s="13">
        <v>36</v>
      </c>
      <c r="P20" s="13">
        <v>37</v>
      </c>
      <c r="Q20" s="13">
        <v>38</v>
      </c>
    </row>
    <row r="21" spans="1:17" ht="13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3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3" customHeight="1" thickBot="1" x14ac:dyDescent="0.4">
      <c r="A23" s="2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15" customHeight="1" thickBot="1" x14ac:dyDescent="0.4">
      <c r="B24" s="37" t="s">
        <v>44</v>
      </c>
      <c r="C24" s="38"/>
      <c r="D24" s="39"/>
      <c r="F24" s="37" t="s">
        <v>45</v>
      </c>
      <c r="G24" s="38"/>
      <c r="H24" s="39"/>
      <c r="J24" s="34" t="s">
        <v>13</v>
      </c>
      <c r="K24" s="35"/>
      <c r="L24" s="36"/>
      <c r="M24" s="1"/>
      <c r="O24" s="24" t="s">
        <v>35</v>
      </c>
      <c r="P24" s="24"/>
      <c r="Q24" s="1"/>
    </row>
    <row r="25" spans="1:17" ht="15" customHeight="1" thickBot="1" x14ac:dyDescent="0.4">
      <c r="B25" s="4" t="s">
        <v>31</v>
      </c>
      <c r="C25" s="32">
        <f>SUM(C26,C29,C31)</f>
        <v>20</v>
      </c>
      <c r="D25" s="33"/>
      <c r="F25" s="4" t="s">
        <v>31</v>
      </c>
      <c r="G25" s="32">
        <f>SUM(G26,G29,G31)</f>
        <v>0</v>
      </c>
      <c r="H25" s="33"/>
      <c r="J25" s="29" t="s">
        <v>14</v>
      </c>
      <c r="K25" s="30"/>
      <c r="L25" s="31"/>
      <c r="M25" s="1"/>
      <c r="O25" s="24" t="s">
        <v>36</v>
      </c>
      <c r="P25" s="24"/>
      <c r="Q25" s="1"/>
    </row>
    <row r="26" spans="1:17" ht="15" customHeight="1" thickBot="1" x14ac:dyDescent="0.4">
      <c r="B26" s="4" t="s">
        <v>7</v>
      </c>
      <c r="C26" s="32">
        <f>COUNTIF(E10:N12,"=/")</f>
        <v>12</v>
      </c>
      <c r="D26" s="33"/>
      <c r="F26" s="4" t="s">
        <v>8</v>
      </c>
      <c r="G26" s="32">
        <f>COUNTIF(B17:Q19,"=/")</f>
        <v>0</v>
      </c>
      <c r="H26" s="33"/>
      <c r="J26" s="29" t="s">
        <v>15</v>
      </c>
      <c r="K26" s="30"/>
      <c r="L26" s="31"/>
      <c r="M26" s="1"/>
      <c r="O26" s="24" t="s">
        <v>37</v>
      </c>
      <c r="P26" s="24"/>
      <c r="Q26" s="1"/>
    </row>
    <row r="27" spans="1:17" ht="15" customHeight="1" thickBot="1" x14ac:dyDescent="0.4">
      <c r="B27" s="3" t="s">
        <v>0</v>
      </c>
      <c r="C27" s="32">
        <f>COUNTIF(E10:N12,"=d")</f>
        <v>6</v>
      </c>
      <c r="D27" s="33"/>
      <c r="F27" s="4" t="s">
        <v>3</v>
      </c>
      <c r="G27" s="32">
        <f>COUNTIF(B17:Q19,"=D")</f>
        <v>0</v>
      </c>
      <c r="H27" s="33"/>
      <c r="J27" s="29" t="s">
        <v>16</v>
      </c>
      <c r="K27" s="30"/>
      <c r="L27" s="31"/>
      <c r="M27" s="1"/>
      <c r="O27" s="24" t="s">
        <v>38</v>
      </c>
      <c r="P27" s="24"/>
      <c r="Q27" s="1"/>
    </row>
    <row r="28" spans="1:17" ht="15" thickBot="1" x14ac:dyDescent="0.4">
      <c r="B28" s="3" t="s">
        <v>9</v>
      </c>
      <c r="C28" s="32">
        <f>COUNTIF(E10:N12,"=x")</f>
        <v>0</v>
      </c>
      <c r="D28" s="33"/>
      <c r="F28" s="4" t="s">
        <v>10</v>
      </c>
      <c r="G28" s="32">
        <f>COUNTIF(B17:Q19,"=X")</f>
        <v>0</v>
      </c>
      <c r="H28" s="33"/>
      <c r="J28" s="17"/>
      <c r="K28" s="29" t="s">
        <v>17</v>
      </c>
      <c r="L28" s="31"/>
      <c r="M28" s="1"/>
      <c r="O28" s="24" t="s">
        <v>39</v>
      </c>
      <c r="P28" s="24"/>
      <c r="Q28" s="1"/>
    </row>
    <row r="29" spans="1:17" ht="15" customHeight="1" thickBot="1" x14ac:dyDescent="0.4">
      <c r="B29" s="4" t="s">
        <v>34</v>
      </c>
      <c r="C29" s="32">
        <f>SUM(C27:D28)</f>
        <v>6</v>
      </c>
      <c r="D29" s="33"/>
      <c r="F29" s="4" t="s">
        <v>30</v>
      </c>
      <c r="G29" s="32">
        <f>SUM(G27:H28)</f>
        <v>0</v>
      </c>
      <c r="H29" s="33"/>
      <c r="J29" s="17"/>
      <c r="K29" s="29" t="s">
        <v>18</v>
      </c>
      <c r="L29" s="31"/>
      <c r="M29" s="1"/>
      <c r="O29" s="24" t="s">
        <v>40</v>
      </c>
      <c r="P29" s="24"/>
      <c r="Q29" s="1"/>
    </row>
    <row r="30" spans="1:17" ht="15" thickBot="1" x14ac:dyDescent="0.4">
      <c r="B30" s="3" t="s">
        <v>1</v>
      </c>
      <c r="C30" s="32">
        <f>COUNTIF(E10:N12,"=m")</f>
        <v>0</v>
      </c>
      <c r="D30" s="33"/>
      <c r="F30" s="4" t="s">
        <v>4</v>
      </c>
      <c r="G30" s="32">
        <f>COUNTIF(B17:Q19,"=M")</f>
        <v>0</v>
      </c>
      <c r="H30" s="33"/>
      <c r="J30" s="17"/>
      <c r="K30" s="29" t="s">
        <v>19</v>
      </c>
      <c r="L30" s="31"/>
      <c r="M30" s="1"/>
      <c r="O30" s="24" t="s">
        <v>41</v>
      </c>
      <c r="P30" s="24"/>
      <c r="Q30" s="1"/>
    </row>
    <row r="31" spans="1:17" ht="15" customHeight="1" thickBot="1" x14ac:dyDescent="0.4">
      <c r="B31" s="3" t="s">
        <v>2</v>
      </c>
      <c r="C31" s="32">
        <f>COUNTIF(E10:N12,"=f")</f>
        <v>2</v>
      </c>
      <c r="D31" s="33"/>
      <c r="F31" s="4" t="s">
        <v>5</v>
      </c>
      <c r="G31" s="32">
        <f>COUNTIF(B17:Q19,"=F")</f>
        <v>0</v>
      </c>
      <c r="H31" s="33"/>
      <c r="J31" s="29" t="s">
        <v>20</v>
      </c>
      <c r="K31" s="30"/>
      <c r="L31" s="31"/>
      <c r="M31" s="1"/>
      <c r="O31" s="24" t="s">
        <v>42</v>
      </c>
      <c r="P31" s="24"/>
      <c r="Q31" s="1"/>
    </row>
    <row r="32" spans="1:17" ht="15" thickBot="1" x14ac:dyDescent="0.4">
      <c r="B32" s="3" t="s">
        <v>33</v>
      </c>
      <c r="C32" s="20">
        <f>SUM(C29:D31)</f>
        <v>8</v>
      </c>
      <c r="D32" s="20"/>
      <c r="F32" s="4" t="s">
        <v>32</v>
      </c>
      <c r="G32" s="20">
        <f>SUM(G29:H31)</f>
        <v>0</v>
      </c>
      <c r="H32" s="20"/>
      <c r="J32" s="29" t="s">
        <v>21</v>
      </c>
      <c r="K32" s="30"/>
      <c r="L32" s="31"/>
      <c r="M32" s="1"/>
      <c r="O32" s="24" t="s">
        <v>43</v>
      </c>
      <c r="P32" s="24"/>
      <c r="Q32" s="1"/>
    </row>
    <row r="33" spans="1:19" ht="15" thickBot="1" x14ac:dyDescent="0.4">
      <c r="J33" s="17"/>
      <c r="K33" s="29" t="s">
        <v>22</v>
      </c>
      <c r="L33" s="31"/>
      <c r="M33" s="1"/>
    </row>
    <row r="34" spans="1:19" ht="15" thickBot="1" x14ac:dyDescent="0.4">
      <c r="J34" s="17"/>
      <c r="K34" s="29" t="s">
        <v>23</v>
      </c>
      <c r="L34" s="31"/>
      <c r="M34" s="1"/>
    </row>
    <row r="35" spans="1:19" ht="15" customHeight="1" thickBot="1" x14ac:dyDescent="0.4">
      <c r="J35" s="29" t="s">
        <v>24</v>
      </c>
      <c r="K35" s="30"/>
      <c r="L35" s="31"/>
      <c r="M35" s="1">
        <f>SUM(C28,G28)</f>
        <v>0</v>
      </c>
    </row>
    <row r="36" spans="1:19" ht="15" customHeight="1" thickBot="1" x14ac:dyDescent="0.4">
      <c r="J36" s="29" t="s">
        <v>25</v>
      </c>
      <c r="K36" s="30"/>
      <c r="L36" s="31"/>
      <c r="M36" s="1"/>
    </row>
    <row r="37" spans="1:19" ht="15" customHeight="1" thickBot="1" x14ac:dyDescent="0.4">
      <c r="J37" s="29" t="s">
        <v>26</v>
      </c>
      <c r="K37" s="30"/>
      <c r="L37" s="31"/>
      <c r="M37" s="1"/>
    </row>
    <row r="38" spans="1:19" ht="15" customHeight="1" thickBot="1" x14ac:dyDescent="0.4">
      <c r="J38" s="29" t="s">
        <v>27</v>
      </c>
      <c r="K38" s="30"/>
      <c r="L38" s="31"/>
      <c r="M38" s="1"/>
    </row>
    <row r="39" spans="1:19" ht="15" thickBot="1" x14ac:dyDescent="0.4">
      <c r="J39" s="29" t="s">
        <v>28</v>
      </c>
      <c r="K39" s="30"/>
      <c r="L39" s="31"/>
      <c r="M39" s="1"/>
    </row>
    <row r="40" spans="1:19" ht="15" customHeight="1" thickBot="1" x14ac:dyDescent="0.4">
      <c r="J40" s="29" t="s">
        <v>29</v>
      </c>
      <c r="K40" s="30"/>
      <c r="L40" s="31"/>
      <c r="M40" s="1"/>
    </row>
    <row r="43" spans="1:19" x14ac:dyDescent="0.35">
      <c r="A43" s="21" t="s">
        <v>49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19" x14ac:dyDescent="0.3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6" spans="1:19" ht="16" x14ac:dyDescent="0.4">
      <c r="A46" s="23" t="s">
        <v>50</v>
      </c>
      <c r="B46" s="23"/>
      <c r="C46" s="23" t="s">
        <v>51</v>
      </c>
      <c r="D46" s="23"/>
      <c r="E46" s="23"/>
      <c r="F46" s="23"/>
      <c r="G46" s="23"/>
      <c r="H46" s="23"/>
      <c r="I46" s="23"/>
      <c r="J46" s="23"/>
      <c r="K46" s="23" t="s">
        <v>52</v>
      </c>
      <c r="L46" s="23"/>
      <c r="M46" s="23"/>
      <c r="N46" s="23"/>
      <c r="O46" s="23"/>
      <c r="P46" s="23"/>
      <c r="Q46" s="23" t="s">
        <v>53</v>
      </c>
      <c r="R46" s="23"/>
      <c r="S46" s="23"/>
    </row>
    <row r="47" spans="1:19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x14ac:dyDescent="0.3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x14ac:dyDescent="0.3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x14ac:dyDescent="0.3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x14ac:dyDescent="0.3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x14ac:dyDescent="0.3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x14ac:dyDescent="0.3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x14ac:dyDescent="0.3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x14ac:dyDescent="0.3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x14ac:dyDescent="0.3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x14ac:dyDescent="0.3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 x14ac:dyDescent="0.3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x14ac:dyDescent="0.3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spans="1:19" x14ac:dyDescent="0.3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x14ac:dyDescent="0.3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x14ac:dyDescent="0.3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 spans="1:19" x14ac:dyDescent="0.3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x14ac:dyDescent="0.3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1:19" x14ac:dyDescent="0.3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1:19" x14ac:dyDescent="0.3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1:19" x14ac:dyDescent="0.3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1:19" x14ac:dyDescent="0.3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1:19" x14ac:dyDescent="0.3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1:19" x14ac:dyDescent="0.3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1:19" x14ac:dyDescent="0.3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1:19" x14ac:dyDescent="0.3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1:19" x14ac:dyDescent="0.3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1:19" x14ac:dyDescent="0.3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x14ac:dyDescent="0.3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1:19" x14ac:dyDescent="0.3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x14ac:dyDescent="0.3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x14ac:dyDescent="0.3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1:19" x14ac:dyDescent="0.3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1:19" x14ac:dyDescent="0.3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1:19" x14ac:dyDescent="0.3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1:19" x14ac:dyDescent="0.3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1:19" x14ac:dyDescent="0.3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1:19" x14ac:dyDescent="0.3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1:19" x14ac:dyDescent="0.3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x14ac:dyDescent="0.3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1:19" x14ac:dyDescent="0.3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1:19" x14ac:dyDescent="0.3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1:19" x14ac:dyDescent="0.3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1:19" x14ac:dyDescent="0.3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1:19" x14ac:dyDescent="0.3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1:19" x14ac:dyDescent="0.3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x14ac:dyDescent="0.3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1:19" x14ac:dyDescent="0.3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19" x14ac:dyDescent="0.3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19" x14ac:dyDescent="0.3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19" x14ac:dyDescent="0.3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1:19" x14ac:dyDescent="0.3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1:19" x14ac:dyDescent="0.3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19" x14ac:dyDescent="0.3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1:19" x14ac:dyDescent="0.3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x14ac:dyDescent="0.3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1:19" x14ac:dyDescent="0.3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1:19" x14ac:dyDescent="0.3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1:19" x14ac:dyDescent="0.3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1:19" x14ac:dyDescent="0.3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1:19" x14ac:dyDescent="0.3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1:19" x14ac:dyDescent="0.3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1:19" x14ac:dyDescent="0.3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1:19" x14ac:dyDescent="0.3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1:19" x14ac:dyDescent="0.3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1:19" x14ac:dyDescent="0.3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1:19" x14ac:dyDescent="0.3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1:19" x14ac:dyDescent="0.3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1:19" x14ac:dyDescent="0.3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1:19" x14ac:dyDescent="0.3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1:19" x14ac:dyDescent="0.3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1:19" x14ac:dyDescent="0.3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1:19" x14ac:dyDescent="0.3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1:19" x14ac:dyDescent="0.3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1:19" x14ac:dyDescent="0.3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1:19" x14ac:dyDescent="0.3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1:19" x14ac:dyDescent="0.3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19" x14ac:dyDescent="0.3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19" x14ac:dyDescent="0.3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19" x14ac:dyDescent="0.3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19" x14ac:dyDescent="0.3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</sheetData>
  <mergeCells count="387">
    <mergeCell ref="B24:D24"/>
    <mergeCell ref="F24:H24"/>
    <mergeCell ref="J24:L24"/>
    <mergeCell ref="O24:P24"/>
    <mergeCell ref="C25:D25"/>
    <mergeCell ref="G25:H25"/>
    <mergeCell ref="J25:L25"/>
    <mergeCell ref="O25:P25"/>
    <mergeCell ref="A1:S1"/>
    <mergeCell ref="A2:S2"/>
    <mergeCell ref="A3:S3"/>
    <mergeCell ref="B4:S4"/>
    <mergeCell ref="B5:S5"/>
    <mergeCell ref="E7:N7"/>
    <mergeCell ref="C28:D28"/>
    <mergeCell ref="G28:H28"/>
    <mergeCell ref="K28:L28"/>
    <mergeCell ref="O28:P28"/>
    <mergeCell ref="C29:D29"/>
    <mergeCell ref="G29:H29"/>
    <mergeCell ref="K29:L29"/>
    <mergeCell ref="O29:P29"/>
    <mergeCell ref="C26:D26"/>
    <mergeCell ref="G26:H26"/>
    <mergeCell ref="J26:L26"/>
    <mergeCell ref="O26:P26"/>
    <mergeCell ref="C27:D27"/>
    <mergeCell ref="G27:H27"/>
    <mergeCell ref="J27:L27"/>
    <mergeCell ref="O27:P27"/>
    <mergeCell ref="O32:P32"/>
    <mergeCell ref="K33:L33"/>
    <mergeCell ref="K34:L34"/>
    <mergeCell ref="C30:D30"/>
    <mergeCell ref="G30:H30"/>
    <mergeCell ref="K30:L30"/>
    <mergeCell ref="O30:P30"/>
    <mergeCell ref="C31:D31"/>
    <mergeCell ref="G31:H31"/>
    <mergeCell ref="J31:L31"/>
    <mergeCell ref="O31:P31"/>
    <mergeCell ref="J35:L35"/>
    <mergeCell ref="J36:L36"/>
    <mergeCell ref="J37:L37"/>
    <mergeCell ref="J38:L38"/>
    <mergeCell ref="J39:L39"/>
    <mergeCell ref="J40:L40"/>
    <mergeCell ref="C32:D32"/>
    <mergeCell ref="G32:H32"/>
    <mergeCell ref="J32:L32"/>
    <mergeCell ref="A48:B48"/>
    <mergeCell ref="C48:J48"/>
    <mergeCell ref="K48:P48"/>
    <mergeCell ref="Q48:S48"/>
    <mergeCell ref="A49:B49"/>
    <mergeCell ref="C49:J49"/>
    <mergeCell ref="K49:P49"/>
    <mergeCell ref="Q49:S49"/>
    <mergeCell ref="A43:S44"/>
    <mergeCell ref="A46:B46"/>
    <mergeCell ref="C46:J46"/>
    <mergeCell ref="K46:P46"/>
    <mergeCell ref="Q46:S46"/>
    <mergeCell ref="A47:B47"/>
    <mergeCell ref="C47:J47"/>
    <mergeCell ref="K47:P47"/>
    <mergeCell ref="Q47:S47"/>
    <mergeCell ref="A52:B52"/>
    <mergeCell ref="C52:J52"/>
    <mergeCell ref="K52:P52"/>
    <mergeCell ref="Q52:S52"/>
    <mergeCell ref="A53:B53"/>
    <mergeCell ref="C53:J53"/>
    <mergeCell ref="K53:P53"/>
    <mergeCell ref="Q53:S53"/>
    <mergeCell ref="A50:B50"/>
    <mergeCell ref="C50:J50"/>
    <mergeCell ref="K50:P50"/>
    <mergeCell ref="Q50:S50"/>
    <mergeCell ref="A51:B51"/>
    <mergeCell ref="C51:J51"/>
    <mergeCell ref="K51:P51"/>
    <mergeCell ref="Q51:S51"/>
    <mergeCell ref="A56:B56"/>
    <mergeCell ref="C56:J56"/>
    <mergeCell ref="K56:P56"/>
    <mergeCell ref="Q56:S56"/>
    <mergeCell ref="A57:B57"/>
    <mergeCell ref="C57:J57"/>
    <mergeCell ref="K57:P57"/>
    <mergeCell ref="Q57:S57"/>
    <mergeCell ref="A54:B54"/>
    <mergeCell ref="C54:J54"/>
    <mergeCell ref="K54:P54"/>
    <mergeCell ref="Q54:S54"/>
    <mergeCell ref="A55:B55"/>
    <mergeCell ref="C55:J55"/>
    <mergeCell ref="K55:P55"/>
    <mergeCell ref="Q55:S55"/>
    <mergeCell ref="A60:B60"/>
    <mergeCell ref="C60:J60"/>
    <mergeCell ref="K60:P60"/>
    <mergeCell ref="Q60:S60"/>
    <mergeCell ref="A61:B61"/>
    <mergeCell ref="C61:J61"/>
    <mergeCell ref="K61:P61"/>
    <mergeCell ref="Q61:S61"/>
    <mergeCell ref="A58:B58"/>
    <mergeCell ref="C58:J58"/>
    <mergeCell ref="K58:P58"/>
    <mergeCell ref="Q58:S58"/>
    <mergeCell ref="A59:B59"/>
    <mergeCell ref="C59:J59"/>
    <mergeCell ref="K59:P59"/>
    <mergeCell ref="Q59:S59"/>
    <mergeCell ref="A64:B64"/>
    <mergeCell ref="C64:J64"/>
    <mergeCell ref="K64:P64"/>
    <mergeCell ref="Q64:S64"/>
    <mergeCell ref="A65:B65"/>
    <mergeCell ref="C65:J65"/>
    <mergeCell ref="K65:P65"/>
    <mergeCell ref="Q65:S65"/>
    <mergeCell ref="A62:B62"/>
    <mergeCell ref="C62:J62"/>
    <mergeCell ref="K62:P62"/>
    <mergeCell ref="Q62:S62"/>
    <mergeCell ref="A63:B63"/>
    <mergeCell ref="C63:J63"/>
    <mergeCell ref="K63:P63"/>
    <mergeCell ref="Q63:S63"/>
    <mergeCell ref="A68:B68"/>
    <mergeCell ref="C68:J68"/>
    <mergeCell ref="K68:P68"/>
    <mergeCell ref="Q68:S68"/>
    <mergeCell ref="A69:B69"/>
    <mergeCell ref="C69:J69"/>
    <mergeCell ref="K69:P69"/>
    <mergeCell ref="Q69:S69"/>
    <mergeCell ref="A66:B66"/>
    <mergeCell ref="C66:J66"/>
    <mergeCell ref="K66:P66"/>
    <mergeCell ref="Q66:S66"/>
    <mergeCell ref="A67:B67"/>
    <mergeCell ref="C67:J67"/>
    <mergeCell ref="K67:P67"/>
    <mergeCell ref="Q67:S67"/>
    <mergeCell ref="A72:B72"/>
    <mergeCell ref="C72:J72"/>
    <mergeCell ref="K72:P72"/>
    <mergeCell ref="Q72:S72"/>
    <mergeCell ref="A73:B73"/>
    <mergeCell ref="C73:J73"/>
    <mergeCell ref="K73:P73"/>
    <mergeCell ref="Q73:S73"/>
    <mergeCell ref="A70:B70"/>
    <mergeCell ref="C70:J70"/>
    <mergeCell ref="K70:P70"/>
    <mergeCell ref="Q70:S70"/>
    <mergeCell ref="A71:B71"/>
    <mergeCell ref="C71:J71"/>
    <mergeCell ref="K71:P71"/>
    <mergeCell ref="Q71:S71"/>
    <mergeCell ref="A76:B76"/>
    <mergeCell ref="C76:J76"/>
    <mergeCell ref="K76:P76"/>
    <mergeCell ref="Q76:S76"/>
    <mergeCell ref="A77:B77"/>
    <mergeCell ref="C77:J77"/>
    <mergeCell ref="K77:P77"/>
    <mergeCell ref="Q77:S77"/>
    <mergeCell ref="A74:B74"/>
    <mergeCell ref="C74:J74"/>
    <mergeCell ref="K74:P74"/>
    <mergeCell ref="Q74:S74"/>
    <mergeCell ref="A75:B75"/>
    <mergeCell ref="C75:J75"/>
    <mergeCell ref="K75:P75"/>
    <mergeCell ref="Q75:S75"/>
    <mergeCell ref="A80:B80"/>
    <mergeCell ref="C80:J80"/>
    <mergeCell ref="K80:P80"/>
    <mergeCell ref="Q80:S80"/>
    <mergeCell ref="A81:B81"/>
    <mergeCell ref="C81:J81"/>
    <mergeCell ref="K81:P81"/>
    <mergeCell ref="Q81:S81"/>
    <mergeCell ref="A78:B78"/>
    <mergeCell ref="C78:J78"/>
    <mergeCell ref="K78:P78"/>
    <mergeCell ref="Q78:S78"/>
    <mergeCell ref="A79:B79"/>
    <mergeCell ref="C79:J79"/>
    <mergeCell ref="K79:P79"/>
    <mergeCell ref="Q79:S79"/>
    <mergeCell ref="A84:B84"/>
    <mergeCell ref="C84:J84"/>
    <mergeCell ref="K84:P84"/>
    <mergeCell ref="Q84:S84"/>
    <mergeCell ref="A85:B85"/>
    <mergeCell ref="C85:J85"/>
    <mergeCell ref="K85:P85"/>
    <mergeCell ref="Q85:S85"/>
    <mergeCell ref="A82:B82"/>
    <mergeCell ref="C82:J82"/>
    <mergeCell ref="K82:P82"/>
    <mergeCell ref="Q82:S82"/>
    <mergeCell ref="A83:B83"/>
    <mergeCell ref="C83:J83"/>
    <mergeCell ref="K83:P83"/>
    <mergeCell ref="Q83:S83"/>
    <mergeCell ref="A88:B88"/>
    <mergeCell ref="C88:J88"/>
    <mergeCell ref="K88:P88"/>
    <mergeCell ref="Q88:S88"/>
    <mergeCell ref="A89:B89"/>
    <mergeCell ref="C89:J89"/>
    <mergeCell ref="K89:P89"/>
    <mergeCell ref="Q89:S89"/>
    <mergeCell ref="A86:B86"/>
    <mergeCell ref="C86:J86"/>
    <mergeCell ref="K86:P86"/>
    <mergeCell ref="Q86:S86"/>
    <mergeCell ref="A87:B87"/>
    <mergeCell ref="C87:J87"/>
    <mergeCell ref="K87:P87"/>
    <mergeCell ref="Q87:S87"/>
    <mergeCell ref="A92:B92"/>
    <mergeCell ref="C92:J92"/>
    <mergeCell ref="K92:P92"/>
    <mergeCell ref="Q92:S92"/>
    <mergeCell ref="A93:B93"/>
    <mergeCell ref="C93:J93"/>
    <mergeCell ref="K93:P93"/>
    <mergeCell ref="Q93:S93"/>
    <mergeCell ref="A90:B90"/>
    <mergeCell ref="C90:J90"/>
    <mergeCell ref="K90:P90"/>
    <mergeCell ref="Q90:S90"/>
    <mergeCell ref="A91:B91"/>
    <mergeCell ref="C91:J91"/>
    <mergeCell ref="K91:P91"/>
    <mergeCell ref="Q91:S91"/>
    <mergeCell ref="A96:B96"/>
    <mergeCell ref="C96:J96"/>
    <mergeCell ref="K96:P96"/>
    <mergeCell ref="Q96:S96"/>
    <mergeCell ref="A97:B97"/>
    <mergeCell ref="C97:J97"/>
    <mergeCell ref="K97:P97"/>
    <mergeCell ref="Q97:S97"/>
    <mergeCell ref="A94:B94"/>
    <mergeCell ref="C94:J94"/>
    <mergeCell ref="K94:P94"/>
    <mergeCell ref="Q94:S94"/>
    <mergeCell ref="A95:B95"/>
    <mergeCell ref="C95:J95"/>
    <mergeCell ref="K95:P95"/>
    <mergeCell ref="Q95:S95"/>
    <mergeCell ref="A100:B100"/>
    <mergeCell ref="C100:J100"/>
    <mergeCell ref="K100:P100"/>
    <mergeCell ref="Q100:S100"/>
    <mergeCell ref="A101:B101"/>
    <mergeCell ref="C101:J101"/>
    <mergeCell ref="K101:P101"/>
    <mergeCell ref="Q101:S101"/>
    <mergeCell ref="A98:B98"/>
    <mergeCell ref="C98:J98"/>
    <mergeCell ref="K98:P98"/>
    <mergeCell ref="Q98:S98"/>
    <mergeCell ref="A99:B99"/>
    <mergeCell ref="C99:J99"/>
    <mergeCell ref="K99:P99"/>
    <mergeCell ref="Q99:S99"/>
    <mergeCell ref="A104:B104"/>
    <mergeCell ref="C104:J104"/>
    <mergeCell ref="K104:P104"/>
    <mergeCell ref="Q104:S104"/>
    <mergeCell ref="A105:B105"/>
    <mergeCell ref="C105:J105"/>
    <mergeCell ref="K105:P105"/>
    <mergeCell ref="Q105:S105"/>
    <mergeCell ref="A102:B102"/>
    <mergeCell ref="C102:J102"/>
    <mergeCell ref="K102:P102"/>
    <mergeCell ref="Q102:S102"/>
    <mergeCell ref="A103:B103"/>
    <mergeCell ref="C103:J103"/>
    <mergeCell ref="K103:P103"/>
    <mergeCell ref="Q103:S103"/>
    <mergeCell ref="A108:B108"/>
    <mergeCell ref="C108:J108"/>
    <mergeCell ref="K108:P108"/>
    <mergeCell ref="Q108:S108"/>
    <mergeCell ref="A109:B109"/>
    <mergeCell ref="C109:J109"/>
    <mergeCell ref="K109:P109"/>
    <mergeCell ref="Q109:S109"/>
    <mergeCell ref="A106:B106"/>
    <mergeCell ref="C106:J106"/>
    <mergeCell ref="K106:P106"/>
    <mergeCell ref="Q106:S106"/>
    <mergeCell ref="A107:B107"/>
    <mergeCell ref="C107:J107"/>
    <mergeCell ref="K107:P107"/>
    <mergeCell ref="Q107:S107"/>
    <mergeCell ref="A112:B112"/>
    <mergeCell ref="C112:J112"/>
    <mergeCell ref="K112:P112"/>
    <mergeCell ref="Q112:S112"/>
    <mergeCell ref="A113:B113"/>
    <mergeCell ref="C113:J113"/>
    <mergeCell ref="K113:P113"/>
    <mergeCell ref="Q113:S113"/>
    <mergeCell ref="A110:B110"/>
    <mergeCell ref="C110:J110"/>
    <mergeCell ref="K110:P110"/>
    <mergeCell ref="Q110:S110"/>
    <mergeCell ref="A111:B111"/>
    <mergeCell ref="C111:J111"/>
    <mergeCell ref="K111:P111"/>
    <mergeCell ref="Q111:S111"/>
    <mergeCell ref="A116:B116"/>
    <mergeCell ref="C116:J116"/>
    <mergeCell ref="K116:P116"/>
    <mergeCell ref="Q116:S116"/>
    <mergeCell ref="A117:B117"/>
    <mergeCell ref="C117:J117"/>
    <mergeCell ref="K117:P117"/>
    <mergeCell ref="Q117:S117"/>
    <mergeCell ref="A114:B114"/>
    <mergeCell ref="C114:J114"/>
    <mergeCell ref="K114:P114"/>
    <mergeCell ref="Q114:S114"/>
    <mergeCell ref="A115:B115"/>
    <mergeCell ref="C115:J115"/>
    <mergeCell ref="K115:P115"/>
    <mergeCell ref="Q115:S115"/>
    <mergeCell ref="A120:B120"/>
    <mergeCell ref="C120:J120"/>
    <mergeCell ref="K120:P120"/>
    <mergeCell ref="Q120:S120"/>
    <mergeCell ref="A121:B121"/>
    <mergeCell ref="C121:J121"/>
    <mergeCell ref="K121:P121"/>
    <mergeCell ref="Q121:S121"/>
    <mergeCell ref="A118:B118"/>
    <mergeCell ref="C118:J118"/>
    <mergeCell ref="K118:P118"/>
    <mergeCell ref="Q118:S118"/>
    <mergeCell ref="A119:B119"/>
    <mergeCell ref="C119:J119"/>
    <mergeCell ref="K119:P119"/>
    <mergeCell ref="Q119:S119"/>
    <mergeCell ref="A124:B124"/>
    <mergeCell ref="C124:J124"/>
    <mergeCell ref="K124:P124"/>
    <mergeCell ref="Q124:S124"/>
    <mergeCell ref="A125:B125"/>
    <mergeCell ref="C125:J125"/>
    <mergeCell ref="K125:P125"/>
    <mergeCell ref="Q125:S125"/>
    <mergeCell ref="A122:B122"/>
    <mergeCell ref="C122:J122"/>
    <mergeCell ref="K122:P122"/>
    <mergeCell ref="Q122:S122"/>
    <mergeCell ref="A123:B123"/>
    <mergeCell ref="C123:J123"/>
    <mergeCell ref="K123:P123"/>
    <mergeCell ref="Q123:S123"/>
    <mergeCell ref="A128:B128"/>
    <mergeCell ref="C128:J128"/>
    <mergeCell ref="K128:P128"/>
    <mergeCell ref="Q128:S128"/>
    <mergeCell ref="A129:B129"/>
    <mergeCell ref="C129:J129"/>
    <mergeCell ref="K129:P129"/>
    <mergeCell ref="Q129:S129"/>
    <mergeCell ref="A126:B126"/>
    <mergeCell ref="C126:J126"/>
    <mergeCell ref="K126:P126"/>
    <mergeCell ref="Q126:S126"/>
    <mergeCell ref="A127:B127"/>
    <mergeCell ref="C127:J127"/>
    <mergeCell ref="K127:P127"/>
    <mergeCell ref="Q127:S127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AA70-9119-422F-9649-9578237460A7}">
  <dimension ref="A1:S129"/>
  <sheetViews>
    <sheetView topLeftCell="A2" workbookViewId="0">
      <selection activeCell="D38" sqref="D38"/>
    </sheetView>
  </sheetViews>
  <sheetFormatPr defaultRowHeight="14.5" x14ac:dyDescent="0.35"/>
  <sheetData>
    <row r="1" spans="1:19" ht="21.5" customHeight="1" x14ac:dyDescent="0.35">
      <c r="A1" s="27" t="s">
        <v>47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21" customHeight="1" x14ac:dyDescent="0.35">
      <c r="A2" s="27" t="s">
        <v>48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ht="19" customHeight="1" x14ac:dyDescent="0.35">
      <c r="A4" s="15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19" customHeight="1" x14ac:dyDescent="0.35">
      <c r="A5" s="15" t="s">
        <v>12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.5" customHeight="1" x14ac:dyDescent="0.3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ht="22.5" customHeight="1" x14ac:dyDescent="0.35">
      <c r="A7" s="18"/>
      <c r="B7" s="18"/>
      <c r="C7" s="18"/>
      <c r="D7" s="18"/>
      <c r="E7" s="25" t="s">
        <v>46</v>
      </c>
      <c r="F7" s="26"/>
      <c r="G7" s="26"/>
      <c r="H7" s="26"/>
      <c r="I7" s="26"/>
      <c r="J7" s="26"/>
      <c r="K7" s="26"/>
      <c r="L7" s="26"/>
      <c r="M7" s="26"/>
      <c r="N7" s="26"/>
      <c r="O7" s="18"/>
      <c r="P7" s="18"/>
      <c r="Q7" s="18"/>
      <c r="R7" s="18"/>
      <c r="S7" s="18"/>
    </row>
    <row r="9" spans="1:19" x14ac:dyDescent="0.35">
      <c r="B9" s="5"/>
      <c r="C9" s="5"/>
      <c r="D9" s="5"/>
      <c r="E9" s="6">
        <v>55</v>
      </c>
      <c r="F9" s="6">
        <v>54</v>
      </c>
      <c r="G9" s="6">
        <v>53</v>
      </c>
      <c r="H9" s="6">
        <v>52</v>
      </c>
      <c r="I9" s="6">
        <v>51</v>
      </c>
      <c r="J9" s="6">
        <v>61</v>
      </c>
      <c r="K9" s="6">
        <v>62</v>
      </c>
      <c r="L9" s="6">
        <v>63</v>
      </c>
      <c r="M9" s="6">
        <v>64</v>
      </c>
      <c r="N9" s="6">
        <v>65</v>
      </c>
      <c r="O9" s="5"/>
      <c r="P9" s="5"/>
      <c r="Q9" s="5"/>
    </row>
    <row r="10" spans="1:19" ht="33.5" customHeight="1" x14ac:dyDescent="0.35">
      <c r="B10" s="5"/>
      <c r="C10" s="5"/>
      <c r="D10" s="5"/>
      <c r="E10" s="7" t="s">
        <v>6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6</v>
      </c>
      <c r="K10" s="7" t="s">
        <v>6</v>
      </c>
      <c r="L10" s="7" t="s">
        <v>6</v>
      </c>
      <c r="M10" s="7" t="s">
        <v>6</v>
      </c>
      <c r="N10" s="7" t="s">
        <v>6</v>
      </c>
      <c r="O10" s="5"/>
      <c r="P10" s="5"/>
      <c r="Q10" s="5"/>
    </row>
    <row r="11" spans="1:19" x14ac:dyDescent="0.35"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9" ht="29.5" customHeight="1" x14ac:dyDescent="0.35">
      <c r="A12" s="2"/>
      <c r="B12" s="11"/>
      <c r="C12" s="11"/>
      <c r="D12" s="11"/>
      <c r="E12" s="8" t="s">
        <v>6</v>
      </c>
      <c r="F12" s="8" t="s">
        <v>6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6</v>
      </c>
      <c r="M12" s="8" t="s">
        <v>6</v>
      </c>
      <c r="N12" s="8" t="s">
        <v>6</v>
      </c>
      <c r="O12" s="11"/>
      <c r="P12" s="11"/>
      <c r="Q12" s="11"/>
    </row>
    <row r="13" spans="1:19" x14ac:dyDescent="0.35">
      <c r="A13" s="2"/>
      <c r="B13" s="11"/>
      <c r="C13" s="11"/>
      <c r="D13" s="11"/>
      <c r="E13" s="6">
        <v>85</v>
      </c>
      <c r="F13" s="6">
        <v>84</v>
      </c>
      <c r="G13" s="6">
        <v>83</v>
      </c>
      <c r="H13" s="6">
        <v>82</v>
      </c>
      <c r="I13" s="6">
        <v>81</v>
      </c>
      <c r="J13" s="6">
        <v>71</v>
      </c>
      <c r="K13" s="6">
        <v>72</v>
      </c>
      <c r="L13" s="6">
        <v>73</v>
      </c>
      <c r="M13" s="6">
        <v>74</v>
      </c>
      <c r="N13" s="6">
        <v>75</v>
      </c>
      <c r="O13" s="11"/>
      <c r="P13" s="11"/>
      <c r="Q13" s="11"/>
    </row>
    <row r="14" spans="1:19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9" ht="13" customHeight="1" x14ac:dyDescent="0.35">
      <c r="B16" s="6">
        <v>18</v>
      </c>
      <c r="C16" s="6">
        <v>17</v>
      </c>
      <c r="D16" s="6">
        <v>16</v>
      </c>
      <c r="E16" s="6">
        <v>15</v>
      </c>
      <c r="F16" s="6">
        <v>14</v>
      </c>
      <c r="G16" s="6">
        <v>13</v>
      </c>
      <c r="H16" s="6">
        <v>12</v>
      </c>
      <c r="I16" s="6">
        <v>11</v>
      </c>
      <c r="J16" s="6">
        <v>21</v>
      </c>
      <c r="K16" s="6">
        <v>22</v>
      </c>
      <c r="L16" s="6">
        <v>23</v>
      </c>
      <c r="M16" s="6">
        <v>24</v>
      </c>
      <c r="N16" s="6">
        <v>25</v>
      </c>
      <c r="O16" s="6">
        <v>26</v>
      </c>
      <c r="P16" s="6">
        <v>27</v>
      </c>
      <c r="Q16" s="6">
        <v>28</v>
      </c>
    </row>
    <row r="17" spans="1:17" ht="32" customHeight="1" x14ac:dyDescent="0.3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ht="15" customHeight="1" x14ac:dyDescent="0.3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32" customHeight="1" x14ac:dyDescent="0.3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13" customHeight="1" x14ac:dyDescent="0.35">
      <c r="A20" s="2"/>
      <c r="B20" s="13">
        <v>48</v>
      </c>
      <c r="C20" s="13">
        <v>47</v>
      </c>
      <c r="D20" s="13">
        <v>46</v>
      </c>
      <c r="E20" s="13">
        <v>45</v>
      </c>
      <c r="F20" s="13">
        <v>44</v>
      </c>
      <c r="G20" s="13">
        <v>43</v>
      </c>
      <c r="H20" s="13">
        <v>42</v>
      </c>
      <c r="I20" s="13">
        <v>41</v>
      </c>
      <c r="J20" s="13">
        <v>31</v>
      </c>
      <c r="K20" s="13">
        <v>32</v>
      </c>
      <c r="L20" s="13">
        <v>33</v>
      </c>
      <c r="M20" s="13">
        <v>34</v>
      </c>
      <c r="N20" s="13">
        <v>35</v>
      </c>
      <c r="O20" s="13">
        <v>36</v>
      </c>
      <c r="P20" s="13">
        <v>37</v>
      </c>
      <c r="Q20" s="13">
        <v>38</v>
      </c>
    </row>
    <row r="21" spans="1:17" ht="13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3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3" customHeight="1" thickBot="1" x14ac:dyDescent="0.4">
      <c r="A23" s="2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15" customHeight="1" thickBot="1" x14ac:dyDescent="0.4">
      <c r="B24" s="37" t="s">
        <v>44</v>
      </c>
      <c r="C24" s="38"/>
      <c r="D24" s="39"/>
      <c r="F24" s="37" t="s">
        <v>45</v>
      </c>
      <c r="G24" s="38"/>
      <c r="H24" s="39"/>
      <c r="J24" s="34" t="s">
        <v>13</v>
      </c>
      <c r="K24" s="35"/>
      <c r="L24" s="36"/>
      <c r="M24" s="1"/>
      <c r="O24" s="24" t="s">
        <v>35</v>
      </c>
      <c r="P24" s="24"/>
      <c r="Q24" s="1"/>
    </row>
    <row r="25" spans="1:17" ht="15" customHeight="1" thickBot="1" x14ac:dyDescent="0.4">
      <c r="B25" s="4" t="s">
        <v>31</v>
      </c>
      <c r="C25" s="32">
        <f>SUM(C26,C29,C31)</f>
        <v>20</v>
      </c>
      <c r="D25" s="33"/>
      <c r="F25" s="4" t="s">
        <v>31</v>
      </c>
      <c r="G25" s="32">
        <f>SUM(G26,G29,G31)</f>
        <v>0</v>
      </c>
      <c r="H25" s="33"/>
      <c r="J25" s="29" t="s">
        <v>14</v>
      </c>
      <c r="K25" s="30"/>
      <c r="L25" s="31"/>
      <c r="M25" s="1"/>
      <c r="O25" s="24" t="s">
        <v>36</v>
      </c>
      <c r="P25" s="24"/>
      <c r="Q25" s="1"/>
    </row>
    <row r="26" spans="1:17" ht="15" customHeight="1" thickBot="1" x14ac:dyDescent="0.4">
      <c r="B26" s="4" t="s">
        <v>7</v>
      </c>
      <c r="C26" s="32">
        <f>COUNTIF(E10:N12,"=/")</f>
        <v>20</v>
      </c>
      <c r="D26" s="33"/>
      <c r="F26" s="4" t="s">
        <v>8</v>
      </c>
      <c r="G26" s="32">
        <f>COUNTIF(B17:Q19,"=/")</f>
        <v>0</v>
      </c>
      <c r="H26" s="33"/>
      <c r="J26" s="29" t="s">
        <v>15</v>
      </c>
      <c r="K26" s="30"/>
      <c r="L26" s="31"/>
      <c r="M26" s="1"/>
      <c r="O26" s="24" t="s">
        <v>37</v>
      </c>
      <c r="P26" s="24"/>
      <c r="Q26" s="1"/>
    </row>
    <row r="27" spans="1:17" ht="15" customHeight="1" thickBot="1" x14ac:dyDescent="0.4">
      <c r="B27" s="3" t="s">
        <v>0</v>
      </c>
      <c r="C27" s="32">
        <f>COUNTIF(E10:N12,"=d")</f>
        <v>0</v>
      </c>
      <c r="D27" s="33"/>
      <c r="F27" s="4" t="s">
        <v>3</v>
      </c>
      <c r="G27" s="32">
        <f>COUNTIF(B17:Q19,"=D")</f>
        <v>0</v>
      </c>
      <c r="H27" s="33"/>
      <c r="J27" s="29" t="s">
        <v>16</v>
      </c>
      <c r="K27" s="30"/>
      <c r="L27" s="31"/>
      <c r="M27" s="1"/>
      <c r="O27" s="24" t="s">
        <v>38</v>
      </c>
      <c r="P27" s="24"/>
      <c r="Q27" s="1"/>
    </row>
    <row r="28" spans="1:17" ht="15" thickBot="1" x14ac:dyDescent="0.4">
      <c r="B28" s="3" t="s">
        <v>9</v>
      </c>
      <c r="C28" s="32">
        <f>COUNTIF(E10:N12,"=x")</f>
        <v>0</v>
      </c>
      <c r="D28" s="33"/>
      <c r="F28" s="4" t="s">
        <v>10</v>
      </c>
      <c r="G28" s="32">
        <f>COUNTIF(B17:Q19,"=X")</f>
        <v>0</v>
      </c>
      <c r="H28" s="33"/>
      <c r="J28" s="17"/>
      <c r="K28" s="29" t="s">
        <v>17</v>
      </c>
      <c r="L28" s="31"/>
      <c r="M28" s="1"/>
      <c r="O28" s="24" t="s">
        <v>39</v>
      </c>
      <c r="P28" s="24"/>
      <c r="Q28" s="1"/>
    </row>
    <row r="29" spans="1:17" ht="15" customHeight="1" thickBot="1" x14ac:dyDescent="0.4">
      <c r="B29" s="4" t="s">
        <v>34</v>
      </c>
      <c r="C29" s="32">
        <f>SUM(C27:D28)</f>
        <v>0</v>
      </c>
      <c r="D29" s="33"/>
      <c r="F29" s="4" t="s">
        <v>30</v>
      </c>
      <c r="G29" s="32">
        <f>SUM(G27:H28)</f>
        <v>0</v>
      </c>
      <c r="H29" s="33"/>
      <c r="J29" s="17"/>
      <c r="K29" s="29" t="s">
        <v>18</v>
      </c>
      <c r="L29" s="31"/>
      <c r="M29" s="1"/>
      <c r="O29" s="24" t="s">
        <v>40</v>
      </c>
      <c r="P29" s="24"/>
      <c r="Q29" s="1"/>
    </row>
    <row r="30" spans="1:17" ht="15" thickBot="1" x14ac:dyDescent="0.4">
      <c r="B30" s="3" t="s">
        <v>1</v>
      </c>
      <c r="C30" s="32">
        <f>COUNTIF(E10:N12,"=m")</f>
        <v>0</v>
      </c>
      <c r="D30" s="33"/>
      <c r="F30" s="4" t="s">
        <v>4</v>
      </c>
      <c r="G30" s="32">
        <f>COUNTIF(B17:Q19,"=M")</f>
        <v>0</v>
      </c>
      <c r="H30" s="33"/>
      <c r="J30" s="17"/>
      <c r="K30" s="29" t="s">
        <v>19</v>
      </c>
      <c r="L30" s="31"/>
      <c r="M30" s="1"/>
      <c r="O30" s="24" t="s">
        <v>41</v>
      </c>
      <c r="P30" s="24"/>
      <c r="Q30" s="1"/>
    </row>
    <row r="31" spans="1:17" ht="15" customHeight="1" thickBot="1" x14ac:dyDescent="0.4">
      <c r="B31" s="3" t="s">
        <v>2</v>
      </c>
      <c r="C31" s="32">
        <f>COUNTIF(E10:N12,"=f")</f>
        <v>0</v>
      </c>
      <c r="D31" s="33"/>
      <c r="F31" s="4" t="s">
        <v>5</v>
      </c>
      <c r="G31" s="32">
        <f>COUNTIF(B17:Q19,"=F")</f>
        <v>0</v>
      </c>
      <c r="H31" s="33"/>
      <c r="J31" s="29" t="s">
        <v>20</v>
      </c>
      <c r="K31" s="30"/>
      <c r="L31" s="31"/>
      <c r="M31" s="1"/>
      <c r="O31" s="24" t="s">
        <v>42</v>
      </c>
      <c r="P31" s="24"/>
      <c r="Q31" s="1"/>
    </row>
    <row r="32" spans="1:17" ht="15" thickBot="1" x14ac:dyDescent="0.4">
      <c r="B32" s="3" t="s">
        <v>33</v>
      </c>
      <c r="C32" s="20">
        <f>SUM(C29:D31)</f>
        <v>0</v>
      </c>
      <c r="D32" s="20"/>
      <c r="F32" s="4" t="s">
        <v>32</v>
      </c>
      <c r="G32" s="20">
        <f>SUM(G29:H31)</f>
        <v>0</v>
      </c>
      <c r="H32" s="20"/>
      <c r="J32" s="29" t="s">
        <v>21</v>
      </c>
      <c r="K32" s="30"/>
      <c r="L32" s="31"/>
      <c r="M32" s="1"/>
      <c r="O32" s="24" t="s">
        <v>43</v>
      </c>
      <c r="P32" s="24"/>
      <c r="Q32" s="1"/>
    </row>
    <row r="33" spans="1:19" ht="15" thickBot="1" x14ac:dyDescent="0.4">
      <c r="J33" s="17"/>
      <c r="K33" s="29" t="s">
        <v>22</v>
      </c>
      <c r="L33" s="31"/>
      <c r="M33" s="1"/>
    </row>
    <row r="34" spans="1:19" ht="15" thickBot="1" x14ac:dyDescent="0.4">
      <c r="J34" s="17"/>
      <c r="K34" s="29" t="s">
        <v>23</v>
      </c>
      <c r="L34" s="31"/>
      <c r="M34" s="1"/>
    </row>
    <row r="35" spans="1:19" ht="15" customHeight="1" thickBot="1" x14ac:dyDescent="0.4">
      <c r="J35" s="29" t="s">
        <v>24</v>
      </c>
      <c r="K35" s="30"/>
      <c r="L35" s="31"/>
      <c r="M35" s="1">
        <f>SUM(C28,G28)</f>
        <v>0</v>
      </c>
    </row>
    <row r="36" spans="1:19" ht="15" customHeight="1" thickBot="1" x14ac:dyDescent="0.4">
      <c r="J36" s="29" t="s">
        <v>25</v>
      </c>
      <c r="K36" s="30"/>
      <c r="L36" s="31"/>
      <c r="M36" s="1"/>
    </row>
    <row r="37" spans="1:19" ht="15" customHeight="1" thickBot="1" x14ac:dyDescent="0.4">
      <c r="J37" s="29" t="s">
        <v>26</v>
      </c>
      <c r="K37" s="30"/>
      <c r="L37" s="31"/>
      <c r="M37" s="1"/>
    </row>
    <row r="38" spans="1:19" ht="15" customHeight="1" thickBot="1" x14ac:dyDescent="0.4">
      <c r="J38" s="29" t="s">
        <v>27</v>
      </c>
      <c r="K38" s="30"/>
      <c r="L38" s="31"/>
      <c r="M38" s="1"/>
    </row>
    <row r="39" spans="1:19" ht="15" thickBot="1" x14ac:dyDescent="0.4">
      <c r="J39" s="29" t="s">
        <v>28</v>
      </c>
      <c r="K39" s="30"/>
      <c r="L39" s="31"/>
      <c r="M39" s="1"/>
    </row>
    <row r="40" spans="1:19" ht="15" customHeight="1" thickBot="1" x14ac:dyDescent="0.4">
      <c r="J40" s="29" t="s">
        <v>29</v>
      </c>
      <c r="K40" s="30"/>
      <c r="L40" s="31"/>
      <c r="M40" s="1"/>
    </row>
    <row r="43" spans="1:19" x14ac:dyDescent="0.35">
      <c r="A43" s="21" t="s">
        <v>49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19" x14ac:dyDescent="0.3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6" spans="1:19" ht="16" x14ac:dyDescent="0.4">
      <c r="A46" s="23" t="s">
        <v>50</v>
      </c>
      <c r="B46" s="23"/>
      <c r="C46" s="23" t="s">
        <v>51</v>
      </c>
      <c r="D46" s="23"/>
      <c r="E46" s="23"/>
      <c r="F46" s="23"/>
      <c r="G46" s="23"/>
      <c r="H46" s="23"/>
      <c r="I46" s="23"/>
      <c r="J46" s="23"/>
      <c r="K46" s="23" t="s">
        <v>52</v>
      </c>
      <c r="L46" s="23"/>
      <c r="M46" s="23"/>
      <c r="N46" s="23"/>
      <c r="O46" s="23"/>
      <c r="P46" s="23"/>
      <c r="Q46" s="23" t="s">
        <v>53</v>
      </c>
      <c r="R46" s="23"/>
      <c r="S46" s="23"/>
    </row>
    <row r="47" spans="1:19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x14ac:dyDescent="0.3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x14ac:dyDescent="0.3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x14ac:dyDescent="0.3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x14ac:dyDescent="0.3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x14ac:dyDescent="0.3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x14ac:dyDescent="0.3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x14ac:dyDescent="0.3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x14ac:dyDescent="0.3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x14ac:dyDescent="0.3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x14ac:dyDescent="0.3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 x14ac:dyDescent="0.3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x14ac:dyDescent="0.3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spans="1:19" x14ac:dyDescent="0.3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x14ac:dyDescent="0.3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x14ac:dyDescent="0.3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 spans="1:19" x14ac:dyDescent="0.3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x14ac:dyDescent="0.3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1:19" x14ac:dyDescent="0.3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1:19" x14ac:dyDescent="0.3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1:19" x14ac:dyDescent="0.3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1:19" x14ac:dyDescent="0.3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1:19" x14ac:dyDescent="0.3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1:19" x14ac:dyDescent="0.3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1:19" x14ac:dyDescent="0.3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1:19" x14ac:dyDescent="0.3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1:19" x14ac:dyDescent="0.3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1:19" x14ac:dyDescent="0.3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x14ac:dyDescent="0.3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1:19" x14ac:dyDescent="0.3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x14ac:dyDescent="0.3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x14ac:dyDescent="0.3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1:19" x14ac:dyDescent="0.3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1:19" x14ac:dyDescent="0.3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1:19" x14ac:dyDescent="0.3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1:19" x14ac:dyDescent="0.3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1:19" x14ac:dyDescent="0.3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1:19" x14ac:dyDescent="0.3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1:19" x14ac:dyDescent="0.3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x14ac:dyDescent="0.3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1:19" x14ac:dyDescent="0.3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1:19" x14ac:dyDescent="0.3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1:19" x14ac:dyDescent="0.3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1:19" x14ac:dyDescent="0.3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1:19" x14ac:dyDescent="0.3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1:19" x14ac:dyDescent="0.3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x14ac:dyDescent="0.3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1:19" x14ac:dyDescent="0.3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19" x14ac:dyDescent="0.3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19" x14ac:dyDescent="0.3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19" x14ac:dyDescent="0.3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1:19" x14ac:dyDescent="0.3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1:19" x14ac:dyDescent="0.3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19" x14ac:dyDescent="0.3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1:19" x14ac:dyDescent="0.3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x14ac:dyDescent="0.3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1:19" x14ac:dyDescent="0.3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1:19" x14ac:dyDescent="0.3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1:19" x14ac:dyDescent="0.3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1:19" x14ac:dyDescent="0.3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1:19" x14ac:dyDescent="0.3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1:19" x14ac:dyDescent="0.3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1:19" x14ac:dyDescent="0.3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1:19" x14ac:dyDescent="0.3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1:19" x14ac:dyDescent="0.3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1:19" x14ac:dyDescent="0.3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1:19" x14ac:dyDescent="0.3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1:19" x14ac:dyDescent="0.3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1:19" x14ac:dyDescent="0.3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1:19" x14ac:dyDescent="0.3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1:19" x14ac:dyDescent="0.3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1:19" x14ac:dyDescent="0.3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1:19" x14ac:dyDescent="0.3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1:19" x14ac:dyDescent="0.3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1:19" x14ac:dyDescent="0.3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1:19" x14ac:dyDescent="0.3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1:19" x14ac:dyDescent="0.3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19" x14ac:dyDescent="0.3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19" x14ac:dyDescent="0.3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19" x14ac:dyDescent="0.3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19" x14ac:dyDescent="0.3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</sheetData>
  <mergeCells count="387">
    <mergeCell ref="B24:D24"/>
    <mergeCell ref="F24:H24"/>
    <mergeCell ref="J24:L24"/>
    <mergeCell ref="O24:P24"/>
    <mergeCell ref="C25:D25"/>
    <mergeCell ref="G25:H25"/>
    <mergeCell ref="J25:L25"/>
    <mergeCell ref="O25:P25"/>
    <mergeCell ref="A1:S1"/>
    <mergeCell ref="A2:S2"/>
    <mergeCell ref="A3:S3"/>
    <mergeCell ref="B4:S4"/>
    <mergeCell ref="B5:S5"/>
    <mergeCell ref="E7:N7"/>
    <mergeCell ref="C28:D28"/>
    <mergeCell ref="G28:H28"/>
    <mergeCell ref="K28:L28"/>
    <mergeCell ref="O28:P28"/>
    <mergeCell ref="C29:D29"/>
    <mergeCell ref="G29:H29"/>
    <mergeCell ref="K29:L29"/>
    <mergeCell ref="O29:P29"/>
    <mergeCell ref="C26:D26"/>
    <mergeCell ref="G26:H26"/>
    <mergeCell ref="J26:L26"/>
    <mergeCell ref="O26:P26"/>
    <mergeCell ref="C27:D27"/>
    <mergeCell ref="G27:H27"/>
    <mergeCell ref="J27:L27"/>
    <mergeCell ref="O27:P27"/>
    <mergeCell ref="O32:P32"/>
    <mergeCell ref="K33:L33"/>
    <mergeCell ref="K34:L34"/>
    <mergeCell ref="C30:D30"/>
    <mergeCell ref="G30:H30"/>
    <mergeCell ref="K30:L30"/>
    <mergeCell ref="O30:P30"/>
    <mergeCell ref="C31:D31"/>
    <mergeCell ref="G31:H31"/>
    <mergeCell ref="J31:L31"/>
    <mergeCell ref="O31:P31"/>
    <mergeCell ref="J35:L35"/>
    <mergeCell ref="J36:L36"/>
    <mergeCell ref="J37:L37"/>
    <mergeCell ref="J38:L38"/>
    <mergeCell ref="J39:L39"/>
    <mergeCell ref="J40:L40"/>
    <mergeCell ref="C32:D32"/>
    <mergeCell ref="G32:H32"/>
    <mergeCell ref="J32:L32"/>
    <mergeCell ref="A48:B48"/>
    <mergeCell ref="C48:J48"/>
    <mergeCell ref="K48:P48"/>
    <mergeCell ref="Q48:S48"/>
    <mergeCell ref="A49:B49"/>
    <mergeCell ref="C49:J49"/>
    <mergeCell ref="K49:P49"/>
    <mergeCell ref="Q49:S49"/>
    <mergeCell ref="A43:S44"/>
    <mergeCell ref="A46:B46"/>
    <mergeCell ref="C46:J46"/>
    <mergeCell ref="K46:P46"/>
    <mergeCell ref="Q46:S46"/>
    <mergeCell ref="A47:B47"/>
    <mergeCell ref="C47:J47"/>
    <mergeCell ref="K47:P47"/>
    <mergeCell ref="Q47:S47"/>
    <mergeCell ref="A52:B52"/>
    <mergeCell ref="C52:J52"/>
    <mergeCell ref="K52:P52"/>
    <mergeCell ref="Q52:S52"/>
    <mergeCell ref="A53:B53"/>
    <mergeCell ref="C53:J53"/>
    <mergeCell ref="K53:P53"/>
    <mergeCell ref="Q53:S53"/>
    <mergeCell ref="A50:B50"/>
    <mergeCell ref="C50:J50"/>
    <mergeCell ref="K50:P50"/>
    <mergeCell ref="Q50:S50"/>
    <mergeCell ref="A51:B51"/>
    <mergeCell ref="C51:J51"/>
    <mergeCell ref="K51:P51"/>
    <mergeCell ref="Q51:S51"/>
    <mergeCell ref="A56:B56"/>
    <mergeCell ref="C56:J56"/>
    <mergeCell ref="K56:P56"/>
    <mergeCell ref="Q56:S56"/>
    <mergeCell ref="A57:B57"/>
    <mergeCell ref="C57:J57"/>
    <mergeCell ref="K57:P57"/>
    <mergeCell ref="Q57:S57"/>
    <mergeCell ref="A54:B54"/>
    <mergeCell ref="C54:J54"/>
    <mergeCell ref="K54:P54"/>
    <mergeCell ref="Q54:S54"/>
    <mergeCell ref="A55:B55"/>
    <mergeCell ref="C55:J55"/>
    <mergeCell ref="K55:P55"/>
    <mergeCell ref="Q55:S55"/>
    <mergeCell ref="A60:B60"/>
    <mergeCell ref="C60:J60"/>
    <mergeCell ref="K60:P60"/>
    <mergeCell ref="Q60:S60"/>
    <mergeCell ref="A61:B61"/>
    <mergeCell ref="C61:J61"/>
    <mergeCell ref="K61:P61"/>
    <mergeCell ref="Q61:S61"/>
    <mergeCell ref="A58:B58"/>
    <mergeCell ref="C58:J58"/>
    <mergeCell ref="K58:P58"/>
    <mergeCell ref="Q58:S58"/>
    <mergeCell ref="A59:B59"/>
    <mergeCell ref="C59:J59"/>
    <mergeCell ref="K59:P59"/>
    <mergeCell ref="Q59:S59"/>
    <mergeCell ref="A64:B64"/>
    <mergeCell ref="C64:J64"/>
    <mergeCell ref="K64:P64"/>
    <mergeCell ref="Q64:S64"/>
    <mergeCell ref="A65:B65"/>
    <mergeCell ref="C65:J65"/>
    <mergeCell ref="K65:P65"/>
    <mergeCell ref="Q65:S65"/>
    <mergeCell ref="A62:B62"/>
    <mergeCell ref="C62:J62"/>
    <mergeCell ref="K62:P62"/>
    <mergeCell ref="Q62:S62"/>
    <mergeCell ref="A63:B63"/>
    <mergeCell ref="C63:J63"/>
    <mergeCell ref="K63:P63"/>
    <mergeCell ref="Q63:S63"/>
    <mergeCell ref="A68:B68"/>
    <mergeCell ref="C68:J68"/>
    <mergeCell ref="K68:P68"/>
    <mergeCell ref="Q68:S68"/>
    <mergeCell ref="A69:B69"/>
    <mergeCell ref="C69:J69"/>
    <mergeCell ref="K69:P69"/>
    <mergeCell ref="Q69:S69"/>
    <mergeCell ref="A66:B66"/>
    <mergeCell ref="C66:J66"/>
    <mergeCell ref="K66:P66"/>
    <mergeCell ref="Q66:S66"/>
    <mergeCell ref="A67:B67"/>
    <mergeCell ref="C67:J67"/>
    <mergeCell ref="K67:P67"/>
    <mergeCell ref="Q67:S67"/>
    <mergeCell ref="A72:B72"/>
    <mergeCell ref="C72:J72"/>
    <mergeCell ref="K72:P72"/>
    <mergeCell ref="Q72:S72"/>
    <mergeCell ref="A73:B73"/>
    <mergeCell ref="C73:J73"/>
    <mergeCell ref="K73:P73"/>
    <mergeCell ref="Q73:S73"/>
    <mergeCell ref="A70:B70"/>
    <mergeCell ref="C70:J70"/>
    <mergeCell ref="K70:P70"/>
    <mergeCell ref="Q70:S70"/>
    <mergeCell ref="A71:B71"/>
    <mergeCell ref="C71:J71"/>
    <mergeCell ref="K71:P71"/>
    <mergeCell ref="Q71:S71"/>
    <mergeCell ref="A76:B76"/>
    <mergeCell ref="C76:J76"/>
    <mergeCell ref="K76:P76"/>
    <mergeCell ref="Q76:S76"/>
    <mergeCell ref="A77:B77"/>
    <mergeCell ref="C77:J77"/>
    <mergeCell ref="K77:P77"/>
    <mergeCell ref="Q77:S77"/>
    <mergeCell ref="A74:B74"/>
    <mergeCell ref="C74:J74"/>
    <mergeCell ref="K74:P74"/>
    <mergeCell ref="Q74:S74"/>
    <mergeCell ref="A75:B75"/>
    <mergeCell ref="C75:J75"/>
    <mergeCell ref="K75:P75"/>
    <mergeCell ref="Q75:S75"/>
    <mergeCell ref="A80:B80"/>
    <mergeCell ref="C80:J80"/>
    <mergeCell ref="K80:P80"/>
    <mergeCell ref="Q80:S80"/>
    <mergeCell ref="A81:B81"/>
    <mergeCell ref="C81:J81"/>
    <mergeCell ref="K81:P81"/>
    <mergeCell ref="Q81:S81"/>
    <mergeCell ref="A78:B78"/>
    <mergeCell ref="C78:J78"/>
    <mergeCell ref="K78:P78"/>
    <mergeCell ref="Q78:S78"/>
    <mergeCell ref="A79:B79"/>
    <mergeCell ref="C79:J79"/>
    <mergeCell ref="K79:P79"/>
    <mergeCell ref="Q79:S79"/>
    <mergeCell ref="A84:B84"/>
    <mergeCell ref="C84:J84"/>
    <mergeCell ref="K84:P84"/>
    <mergeCell ref="Q84:S84"/>
    <mergeCell ref="A85:B85"/>
    <mergeCell ref="C85:J85"/>
    <mergeCell ref="K85:P85"/>
    <mergeCell ref="Q85:S85"/>
    <mergeCell ref="A82:B82"/>
    <mergeCell ref="C82:J82"/>
    <mergeCell ref="K82:P82"/>
    <mergeCell ref="Q82:S82"/>
    <mergeCell ref="A83:B83"/>
    <mergeCell ref="C83:J83"/>
    <mergeCell ref="K83:P83"/>
    <mergeCell ref="Q83:S83"/>
    <mergeCell ref="A88:B88"/>
    <mergeCell ref="C88:J88"/>
    <mergeCell ref="K88:P88"/>
    <mergeCell ref="Q88:S88"/>
    <mergeCell ref="A89:B89"/>
    <mergeCell ref="C89:J89"/>
    <mergeCell ref="K89:P89"/>
    <mergeCell ref="Q89:S89"/>
    <mergeCell ref="A86:B86"/>
    <mergeCell ref="C86:J86"/>
    <mergeCell ref="K86:P86"/>
    <mergeCell ref="Q86:S86"/>
    <mergeCell ref="A87:B87"/>
    <mergeCell ref="C87:J87"/>
    <mergeCell ref="K87:P87"/>
    <mergeCell ref="Q87:S87"/>
    <mergeCell ref="A92:B92"/>
    <mergeCell ref="C92:J92"/>
    <mergeCell ref="K92:P92"/>
    <mergeCell ref="Q92:S92"/>
    <mergeCell ref="A93:B93"/>
    <mergeCell ref="C93:J93"/>
    <mergeCell ref="K93:P93"/>
    <mergeCell ref="Q93:S93"/>
    <mergeCell ref="A90:B90"/>
    <mergeCell ref="C90:J90"/>
    <mergeCell ref="K90:P90"/>
    <mergeCell ref="Q90:S90"/>
    <mergeCell ref="A91:B91"/>
    <mergeCell ref="C91:J91"/>
    <mergeCell ref="K91:P91"/>
    <mergeCell ref="Q91:S91"/>
    <mergeCell ref="A96:B96"/>
    <mergeCell ref="C96:J96"/>
    <mergeCell ref="K96:P96"/>
    <mergeCell ref="Q96:S96"/>
    <mergeCell ref="A97:B97"/>
    <mergeCell ref="C97:J97"/>
    <mergeCell ref="K97:P97"/>
    <mergeCell ref="Q97:S97"/>
    <mergeCell ref="A94:B94"/>
    <mergeCell ref="C94:J94"/>
    <mergeCell ref="K94:P94"/>
    <mergeCell ref="Q94:S94"/>
    <mergeCell ref="A95:B95"/>
    <mergeCell ref="C95:J95"/>
    <mergeCell ref="K95:P95"/>
    <mergeCell ref="Q95:S95"/>
    <mergeCell ref="A100:B100"/>
    <mergeCell ref="C100:J100"/>
    <mergeCell ref="K100:P100"/>
    <mergeCell ref="Q100:S100"/>
    <mergeCell ref="A101:B101"/>
    <mergeCell ref="C101:J101"/>
    <mergeCell ref="K101:P101"/>
    <mergeCell ref="Q101:S101"/>
    <mergeCell ref="A98:B98"/>
    <mergeCell ref="C98:J98"/>
    <mergeCell ref="K98:P98"/>
    <mergeCell ref="Q98:S98"/>
    <mergeCell ref="A99:B99"/>
    <mergeCell ref="C99:J99"/>
    <mergeCell ref="K99:P99"/>
    <mergeCell ref="Q99:S99"/>
    <mergeCell ref="A104:B104"/>
    <mergeCell ref="C104:J104"/>
    <mergeCell ref="K104:P104"/>
    <mergeCell ref="Q104:S104"/>
    <mergeCell ref="A105:B105"/>
    <mergeCell ref="C105:J105"/>
    <mergeCell ref="K105:P105"/>
    <mergeCell ref="Q105:S105"/>
    <mergeCell ref="A102:B102"/>
    <mergeCell ref="C102:J102"/>
    <mergeCell ref="K102:P102"/>
    <mergeCell ref="Q102:S102"/>
    <mergeCell ref="A103:B103"/>
    <mergeCell ref="C103:J103"/>
    <mergeCell ref="K103:P103"/>
    <mergeCell ref="Q103:S103"/>
    <mergeCell ref="A108:B108"/>
    <mergeCell ref="C108:J108"/>
    <mergeCell ref="K108:P108"/>
    <mergeCell ref="Q108:S108"/>
    <mergeCell ref="A109:B109"/>
    <mergeCell ref="C109:J109"/>
    <mergeCell ref="K109:P109"/>
    <mergeCell ref="Q109:S109"/>
    <mergeCell ref="A106:B106"/>
    <mergeCell ref="C106:J106"/>
    <mergeCell ref="K106:P106"/>
    <mergeCell ref="Q106:S106"/>
    <mergeCell ref="A107:B107"/>
    <mergeCell ref="C107:J107"/>
    <mergeCell ref="K107:P107"/>
    <mergeCell ref="Q107:S107"/>
    <mergeCell ref="A112:B112"/>
    <mergeCell ref="C112:J112"/>
    <mergeCell ref="K112:P112"/>
    <mergeCell ref="Q112:S112"/>
    <mergeCell ref="A113:B113"/>
    <mergeCell ref="C113:J113"/>
    <mergeCell ref="K113:P113"/>
    <mergeCell ref="Q113:S113"/>
    <mergeCell ref="A110:B110"/>
    <mergeCell ref="C110:J110"/>
    <mergeCell ref="K110:P110"/>
    <mergeCell ref="Q110:S110"/>
    <mergeCell ref="A111:B111"/>
    <mergeCell ref="C111:J111"/>
    <mergeCell ref="K111:P111"/>
    <mergeCell ref="Q111:S111"/>
    <mergeCell ref="A116:B116"/>
    <mergeCell ref="C116:J116"/>
    <mergeCell ref="K116:P116"/>
    <mergeCell ref="Q116:S116"/>
    <mergeCell ref="A117:B117"/>
    <mergeCell ref="C117:J117"/>
    <mergeCell ref="K117:P117"/>
    <mergeCell ref="Q117:S117"/>
    <mergeCell ref="A114:B114"/>
    <mergeCell ref="C114:J114"/>
    <mergeCell ref="K114:P114"/>
    <mergeCell ref="Q114:S114"/>
    <mergeCell ref="A115:B115"/>
    <mergeCell ref="C115:J115"/>
    <mergeCell ref="K115:P115"/>
    <mergeCell ref="Q115:S115"/>
    <mergeCell ref="A120:B120"/>
    <mergeCell ref="C120:J120"/>
    <mergeCell ref="K120:P120"/>
    <mergeCell ref="Q120:S120"/>
    <mergeCell ref="A121:B121"/>
    <mergeCell ref="C121:J121"/>
    <mergeCell ref="K121:P121"/>
    <mergeCell ref="Q121:S121"/>
    <mergeCell ref="A118:B118"/>
    <mergeCell ref="C118:J118"/>
    <mergeCell ref="K118:P118"/>
    <mergeCell ref="Q118:S118"/>
    <mergeCell ref="A119:B119"/>
    <mergeCell ref="C119:J119"/>
    <mergeCell ref="K119:P119"/>
    <mergeCell ref="Q119:S119"/>
    <mergeCell ref="A124:B124"/>
    <mergeCell ref="C124:J124"/>
    <mergeCell ref="K124:P124"/>
    <mergeCell ref="Q124:S124"/>
    <mergeCell ref="A125:B125"/>
    <mergeCell ref="C125:J125"/>
    <mergeCell ref="K125:P125"/>
    <mergeCell ref="Q125:S125"/>
    <mergeCell ref="A122:B122"/>
    <mergeCell ref="C122:J122"/>
    <mergeCell ref="K122:P122"/>
    <mergeCell ref="Q122:S122"/>
    <mergeCell ref="A123:B123"/>
    <mergeCell ref="C123:J123"/>
    <mergeCell ref="K123:P123"/>
    <mergeCell ref="Q123:S123"/>
    <mergeCell ref="A128:B128"/>
    <mergeCell ref="C128:J128"/>
    <mergeCell ref="K128:P128"/>
    <mergeCell ref="Q128:S128"/>
    <mergeCell ref="A129:B129"/>
    <mergeCell ref="C129:J129"/>
    <mergeCell ref="K129:P129"/>
    <mergeCell ref="Q129:S129"/>
    <mergeCell ref="A126:B126"/>
    <mergeCell ref="C126:J126"/>
    <mergeCell ref="K126:P126"/>
    <mergeCell ref="Q126:S126"/>
    <mergeCell ref="A127:B127"/>
    <mergeCell ref="C127:J127"/>
    <mergeCell ref="K127:P127"/>
    <mergeCell ref="Q127:S12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Template</vt:lpstr>
      <vt:lpstr>Juan Luna</vt:lpstr>
      <vt:lpstr>Antonio Luna</vt:lpstr>
      <vt:lpstr>Edmon Galang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MARIE MAPOLA</dc:creator>
  <cp:lastModifiedBy>ANGELA MARIE MAPOLA</cp:lastModifiedBy>
  <dcterms:created xsi:type="dcterms:W3CDTF">2025-09-18T07:22:06Z</dcterms:created>
  <dcterms:modified xsi:type="dcterms:W3CDTF">2026-02-24T06:32:27Z</dcterms:modified>
</cp:coreProperties>
</file>