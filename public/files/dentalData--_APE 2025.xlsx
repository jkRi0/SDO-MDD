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O" sheetId="1" r:id="rId4"/>
    <sheet state="visible" name="BACLARAN ES" sheetId="2" r:id="rId5"/>
    <sheet state="visible" name="BANAY-BANAY ES" sheetId="3" r:id="rId6"/>
    <sheet state="visible" name="BANLIC ES" sheetId="4" r:id="rId7"/>
    <sheet state="visible" name="BIGAA ES" sheetId="5" r:id="rId8"/>
    <sheet state="visible" name="BIGAA INHS" sheetId="6" r:id="rId9"/>
    <sheet state="visible" name="BUTONG ES" sheetId="7" r:id="rId10"/>
    <sheet state="visible" name="CCS" sheetId="8" r:id="rId11"/>
    <sheet state="visible" name="CASILE INHS" sheetId="9" r:id="rId12"/>
    <sheet state="visible" name="PITTLAND ES" sheetId="10" r:id="rId13"/>
    <sheet state="visible" name="DIEZMO IS" sheetId="11" r:id="rId14"/>
    <sheet state="visible" name="CASILE ES" sheetId="12" r:id="rId15"/>
    <sheet state="visible" name="GUINTING ES" sheetId="13" r:id="rId16"/>
    <sheet state="visible" name="GULOD ES" sheetId="14" r:id="rId17"/>
    <sheet state="visible" name="MAMATID ES" sheetId="15" r:id="rId18"/>
    <sheet state="visible" name="MARINIG SOUTH ES" sheetId="16" r:id="rId19"/>
    <sheet state="visible" name="NIUGAN ES" sheetId="17" r:id="rId20"/>
    <sheet state="visible" name="PULO ES" sheetId="18" r:id="rId21"/>
    <sheet state="visible" name="NORTH MARINIG ES" sheetId="19" r:id="rId22"/>
    <sheet state="visible" name="PULO SHS" sheetId="20" r:id="rId23"/>
    <sheet state="visible" name="SALA ES" sheetId="21" r:id="rId24"/>
    <sheet state="visible" name="SAN ISIDRO ES" sheetId="22" r:id="rId25"/>
    <sheet state="visible" name="SOUTHVILLE ES" sheetId="23" r:id="rId26"/>
    <sheet state="visible" name="CABUYAO INHS" sheetId="24" r:id="rId27"/>
    <sheet state="visible" name="GULOD NHS" sheetId="25" r:id="rId28"/>
    <sheet state="visible" name="MAMATID NHS" sheetId="26" r:id="rId29"/>
    <sheet state="visible" name="MAMATID SHS" sheetId="27" r:id="rId30"/>
    <sheet state="visible" name="MARINIG NHS" sheetId="28" r:id="rId31"/>
    <sheet state="visible" name="PULO NHS" sheetId="29" r:id="rId32"/>
    <sheet state="visible" name="SOUTHVILLE INHS" sheetId="30" r:id="rId33"/>
    <sheet state="visible" name="APPLICANTS" sheetId="31" r:id="rId34"/>
    <sheet state="visible" name="Data Dont Use" sheetId="32" r:id="rId35"/>
  </sheets>
  <definedNames/>
  <calcPr/>
  <extLst>
    <ext uri="GoogleSheetsCustomDataVersion2">
      <go:sheetsCustomData xmlns:go="http://customooxmlschemas.google.com/" r:id="rId36" roundtripDataChecksum="xUYcycQB116khd9+iV6N+DFy9OymDWnujXCEp8hxH9w="/>
    </ext>
  </extLst>
</workbook>
</file>

<file path=xl/sharedStrings.xml><?xml version="1.0" encoding="utf-8"?>
<sst xmlns="http://schemas.openxmlformats.org/spreadsheetml/2006/main" count="17644" uniqueCount="5662">
  <si>
    <t>Fill out this form by accomplishing the necessary details. Please do not leave any blank spaces and input data appropriately.</t>
  </si>
  <si>
    <t>Name of School/Institution</t>
  </si>
  <si>
    <t>Schools Division Office</t>
  </si>
  <si>
    <t>School Address:</t>
  </si>
  <si>
    <t>CABS, Brgy. Banaybanay, Cabuyao, Laguna</t>
  </si>
  <si>
    <t>Contact Number:</t>
  </si>
  <si>
    <t>COMPLETE NAME</t>
  </si>
  <si>
    <t>LSB/National</t>
  </si>
  <si>
    <t>Age</t>
  </si>
  <si>
    <t>Sex</t>
  </si>
  <si>
    <t>Designation</t>
  </si>
  <si>
    <t>Contact Number</t>
  </si>
  <si>
    <t>TEETH PRESENT</t>
  </si>
  <si>
    <t>CARIES FREE</t>
  </si>
  <si>
    <t>Decayed, Missing, Filled Teeth</t>
  </si>
  <si>
    <t>DMFT SCORE</t>
  </si>
  <si>
    <t>Sic SCORE</t>
  </si>
  <si>
    <t>Significant Dental Findings</t>
  </si>
  <si>
    <t>Other Significant Dental Findings (Gingival/Periodontal)</t>
  </si>
  <si>
    <t xml:space="preserve">Other Significant Dental Findings </t>
  </si>
  <si>
    <t>REMARKS</t>
  </si>
  <si>
    <t>DENTAL EXAM</t>
  </si>
  <si>
    <t>No.</t>
  </si>
  <si>
    <t>Last Name</t>
  </si>
  <si>
    <t>Given Name</t>
  </si>
  <si>
    <t>Middle Name</t>
  </si>
  <si>
    <t>FOR EXO</t>
  </si>
  <si>
    <t>FOR FILLING</t>
  </si>
  <si>
    <t xml:space="preserve">  D</t>
  </si>
  <si>
    <t>M</t>
  </si>
  <si>
    <t>F</t>
  </si>
  <si>
    <t>SUMMARY :</t>
  </si>
  <si>
    <t>DIAZ</t>
  </si>
  <si>
    <t xml:space="preserve">CHRISTOPHER </t>
  </si>
  <si>
    <t>DELA ROSA</t>
  </si>
  <si>
    <t>SCHOOLS DIVISION SUPERINTENDENT</t>
  </si>
  <si>
    <t>Total Male:</t>
  </si>
  <si>
    <t>PUNZALAN</t>
  </si>
  <si>
    <t>RANDY</t>
  </si>
  <si>
    <t>D</t>
  </si>
  <si>
    <t>ASSIST.SCHOOLS DIVISION SUPERINTENDENT</t>
  </si>
  <si>
    <t>Total Female:</t>
  </si>
  <si>
    <t xml:space="preserve">MACHADO-DELA PEÑA,  </t>
  </si>
  <si>
    <t>JERICA CLARA</t>
  </si>
  <si>
    <t>SANTOS</t>
  </si>
  <si>
    <t>ATTORNEY III</t>
  </si>
  <si>
    <t>YES</t>
  </si>
  <si>
    <t>Total National Item:</t>
  </si>
  <si>
    <t xml:space="preserve">DON,  </t>
  </si>
  <si>
    <t>NATHALIE JOY</t>
  </si>
  <si>
    <t>ULEP</t>
  </si>
  <si>
    <t>ACCOUNTANT III</t>
  </si>
  <si>
    <t>Total Local School Board:</t>
  </si>
  <si>
    <t xml:space="preserve">CABUNGCAL, </t>
  </si>
  <si>
    <t xml:space="preserve">CHEM JAYDER </t>
  </si>
  <si>
    <t>MASILANG</t>
  </si>
  <si>
    <t>INFORMATION TECHNOLOGY OFFICER I</t>
  </si>
  <si>
    <t>Total School Personnel:</t>
  </si>
  <si>
    <t>SEQUITO,</t>
  </si>
  <si>
    <t xml:space="preserve">NOEL </t>
  </si>
  <si>
    <t>GUMAPA</t>
  </si>
  <si>
    <t>ADMINISTRATIVE OFFICER V</t>
  </si>
  <si>
    <t>Total School Personnel EXAMINED:</t>
  </si>
  <si>
    <t xml:space="preserve">ELAGO, </t>
  </si>
  <si>
    <t xml:space="preserve">NIDA </t>
  </si>
  <si>
    <t>ENTREDICHO</t>
  </si>
  <si>
    <t xml:space="preserve">MENDOZA, </t>
  </si>
  <si>
    <t xml:space="preserve">KAMILLE ROSE </t>
  </si>
  <si>
    <t>SISON</t>
  </si>
  <si>
    <t>ADMINISTRATIVE OFFICER IV</t>
  </si>
  <si>
    <t>Significant Dental FIndings:</t>
  </si>
  <si>
    <t xml:space="preserve">RINON, </t>
  </si>
  <si>
    <t xml:space="preserve">ANNESLEE </t>
  </si>
  <si>
    <t>ABAYARI</t>
  </si>
  <si>
    <t>CD</t>
  </si>
  <si>
    <t xml:space="preserve">BARTIDO, </t>
  </si>
  <si>
    <t xml:space="preserve">AILEEN </t>
  </si>
  <si>
    <t>MISAYES</t>
  </si>
  <si>
    <t>ortho</t>
  </si>
  <si>
    <t>CDU</t>
  </si>
  <si>
    <t>MANZANERO,</t>
  </si>
  <si>
    <t xml:space="preserve">JHOANNA </t>
  </si>
  <si>
    <t>MARAMAG</t>
  </si>
  <si>
    <t>CDL</t>
  </si>
  <si>
    <t xml:space="preserve">RAMOS, </t>
  </si>
  <si>
    <t xml:space="preserve">MARILYN </t>
  </si>
  <si>
    <t>MELGAREJO</t>
  </si>
  <si>
    <t>ADMINISTRATIVE OFFICER II</t>
  </si>
  <si>
    <t>RPDU</t>
  </si>
  <si>
    <t xml:space="preserve">BARIRING, </t>
  </si>
  <si>
    <t xml:space="preserve">SHERYL </t>
  </si>
  <si>
    <t>ALVIAR</t>
  </si>
  <si>
    <t>ADMINISTRATIVE ASSISTANT III</t>
  </si>
  <si>
    <t>RPDL</t>
  </si>
  <si>
    <t xml:space="preserve">TABLAN, </t>
  </si>
  <si>
    <t xml:space="preserve">AUBREY ANNE </t>
  </si>
  <si>
    <t>ALCAZAR</t>
  </si>
  <si>
    <t>RPDU/L</t>
  </si>
  <si>
    <t xml:space="preserve">DAGSIL, </t>
  </si>
  <si>
    <t xml:space="preserve">ROSE MAY </t>
  </si>
  <si>
    <t>GILLACO</t>
  </si>
  <si>
    <t>JC</t>
  </si>
  <si>
    <t xml:space="preserve">DINULOS, </t>
  </si>
  <si>
    <t xml:space="preserve">MARY ANNE </t>
  </si>
  <si>
    <t>NAVARRO</t>
  </si>
  <si>
    <t>FPD</t>
  </si>
  <si>
    <t xml:space="preserve">ESTANISLAO, </t>
  </si>
  <si>
    <t xml:space="preserve">RIGOR BRANDO </t>
  </si>
  <si>
    <t>CALALANG</t>
  </si>
  <si>
    <t>Ortho</t>
  </si>
  <si>
    <t xml:space="preserve">GALICIA, </t>
  </si>
  <si>
    <t xml:space="preserve">MARIA TONI </t>
  </si>
  <si>
    <t>GARCIA</t>
  </si>
  <si>
    <t xml:space="preserve">REYES, </t>
  </si>
  <si>
    <t xml:space="preserve">LAINEY ANNE </t>
  </si>
  <si>
    <t>ALPORHA</t>
  </si>
  <si>
    <t xml:space="preserve"> </t>
  </si>
  <si>
    <t xml:space="preserve">MORALES, </t>
  </si>
  <si>
    <t xml:space="preserve">ANNABELLE </t>
  </si>
  <si>
    <t>BELLA</t>
  </si>
  <si>
    <t>BARIRING,</t>
  </si>
  <si>
    <t xml:space="preserve"> JHOCKEY LYN </t>
  </si>
  <si>
    <t>MANZANARES</t>
  </si>
  <si>
    <t xml:space="preserve">GOTIONGCO, </t>
  </si>
  <si>
    <t xml:space="preserve">SHARON </t>
  </si>
  <si>
    <t>DIWA</t>
  </si>
  <si>
    <t>MONTESINES,</t>
  </si>
  <si>
    <t xml:space="preserve">LOVELY </t>
  </si>
  <si>
    <t>BARRIO</t>
  </si>
  <si>
    <t xml:space="preserve">SANCHEZ, </t>
  </si>
  <si>
    <t xml:space="preserve">ZANDY CHARLENE </t>
  </si>
  <si>
    <t>JAVIER</t>
  </si>
  <si>
    <t xml:space="preserve">LARINO, </t>
  </si>
  <si>
    <t xml:space="preserve">DINO </t>
  </si>
  <si>
    <t>PATIGA</t>
  </si>
  <si>
    <t>ADMINISTRATIVE ASSISTANT II</t>
  </si>
  <si>
    <t xml:space="preserve">VILLAPANDO, </t>
  </si>
  <si>
    <t xml:space="preserve">GERAMIE </t>
  </si>
  <si>
    <t>SANIANO</t>
  </si>
  <si>
    <t>Gingival</t>
  </si>
  <si>
    <t>G</t>
  </si>
  <si>
    <t xml:space="preserve">BELLA, </t>
  </si>
  <si>
    <t>BEN CARLOS</t>
  </si>
  <si>
    <t>ALORA</t>
  </si>
  <si>
    <t>Periodontal</t>
  </si>
  <si>
    <t>P</t>
  </si>
  <si>
    <t xml:space="preserve">CHAVEZ, </t>
  </si>
  <si>
    <t xml:space="preserve">ANN LORAINE </t>
  </si>
  <si>
    <t>ATIENZA</t>
  </si>
  <si>
    <t>ADMINISTRATIVE ASSISTANT I</t>
  </si>
  <si>
    <t xml:space="preserve">TEODORO, </t>
  </si>
  <si>
    <t xml:space="preserve">RAY MARK </t>
  </si>
  <si>
    <t>DIWATA</t>
  </si>
  <si>
    <t>ADMINISTRATIVE AIDE VI</t>
  </si>
  <si>
    <t xml:space="preserve">SANTIAGO, </t>
  </si>
  <si>
    <t xml:space="preserve">ANGELA FAE </t>
  </si>
  <si>
    <t>CIELOS</t>
  </si>
  <si>
    <t xml:space="preserve">VILLANUEVA, </t>
  </si>
  <si>
    <t>FERDINAND</t>
  </si>
  <si>
    <t xml:space="preserve"> AVILES</t>
  </si>
  <si>
    <t xml:space="preserve">SAYSON, </t>
  </si>
  <si>
    <t xml:space="preserve">JESSE COLEEN </t>
  </si>
  <si>
    <t>JOSOL</t>
  </si>
  <si>
    <t xml:space="preserve">LEDESMA, </t>
  </si>
  <si>
    <t xml:space="preserve">CHRIZL LEE </t>
  </si>
  <si>
    <t>BERNABE</t>
  </si>
  <si>
    <t xml:space="preserve">FLORES, </t>
  </si>
  <si>
    <t xml:space="preserve">GLIZELDA </t>
  </si>
  <si>
    <t>TURGO</t>
  </si>
  <si>
    <t xml:space="preserve">DEL ROSARIO, </t>
  </si>
  <si>
    <t xml:space="preserve">MARK GERALD </t>
  </si>
  <si>
    <t>LIBRADA</t>
  </si>
  <si>
    <t xml:space="preserve">ALINSUNURIN, </t>
  </si>
  <si>
    <t xml:space="preserve">JEFFREE GIL </t>
  </si>
  <si>
    <t>CALUNURAN</t>
  </si>
  <si>
    <t>ADMINISTRATIVE AIDE IV</t>
  </si>
  <si>
    <t xml:space="preserve">HEMEDEZ, </t>
  </si>
  <si>
    <t xml:space="preserve">EDNA </t>
  </si>
  <si>
    <t>FUROG</t>
  </si>
  <si>
    <t>CHIEF EDUCATION SUPERVISOR</t>
  </si>
  <si>
    <t>LABIGAN,</t>
  </si>
  <si>
    <t xml:space="preserve">ALBERTO </t>
  </si>
  <si>
    <t>PAMPANG</t>
  </si>
  <si>
    <t>EDUCATION PROGRAM SUPERVISOR</t>
  </si>
  <si>
    <t>NATIVIDAD,</t>
  </si>
  <si>
    <t xml:space="preserve"> MA LEONORA </t>
  </si>
  <si>
    <t>MANGABAT</t>
  </si>
  <si>
    <t xml:space="preserve">MARQUEZ, </t>
  </si>
  <si>
    <t xml:space="preserve">JONATHAN </t>
  </si>
  <si>
    <t>HIDARIA</t>
  </si>
  <si>
    <t>rpdu</t>
  </si>
  <si>
    <t>jc # 11</t>
  </si>
  <si>
    <t xml:space="preserve">CRUZ, </t>
  </si>
  <si>
    <t xml:space="preserve">PHILIP </t>
  </si>
  <si>
    <t>DAYA</t>
  </si>
  <si>
    <t xml:space="preserve">HERRERO, </t>
  </si>
  <si>
    <t>MARIBETH</t>
  </si>
  <si>
    <t>DELA GUARDIA</t>
  </si>
  <si>
    <t>MOBILE 43</t>
  </si>
  <si>
    <t xml:space="preserve">BERNABE, </t>
  </si>
  <si>
    <t>FORELO</t>
  </si>
  <si>
    <t xml:space="preserve">BUENA </t>
  </si>
  <si>
    <t>GALANG</t>
  </si>
  <si>
    <t xml:space="preserve">ENDAYA, </t>
  </si>
  <si>
    <t xml:space="preserve">GRACE </t>
  </si>
  <si>
    <t>CANTALEJO</t>
  </si>
  <si>
    <t xml:space="preserve">ALMIRA, </t>
  </si>
  <si>
    <t xml:space="preserve">JACKIE LOU </t>
  </si>
  <si>
    <t>ALULOD</t>
  </si>
  <si>
    <t xml:space="preserve">VELASCO, </t>
  </si>
  <si>
    <t xml:space="preserve">MARIANNE </t>
  </si>
  <si>
    <t>AVELLANA</t>
  </si>
  <si>
    <t xml:space="preserve">ORTIZ, </t>
  </si>
  <si>
    <t>NIMCY</t>
  </si>
  <si>
    <t xml:space="preserve"> MANIEGO</t>
  </si>
  <si>
    <t>PUBLIC SCHOOLS DISTRICT</t>
  </si>
  <si>
    <t>for ULRPD</t>
  </si>
  <si>
    <t xml:space="preserve">CANTALEJO, </t>
  </si>
  <si>
    <t xml:space="preserve">ALLAN </t>
  </si>
  <si>
    <t>DE GUZMAN</t>
  </si>
  <si>
    <t>CANTILLANO, MARIA FE LIBRADA</t>
  </si>
  <si>
    <t>MARIA FE</t>
  </si>
  <si>
    <t xml:space="preserve"> LIBRADA</t>
  </si>
  <si>
    <t xml:space="preserve">HARO, </t>
  </si>
  <si>
    <t>JENNETTEE</t>
  </si>
  <si>
    <t xml:space="preserve"> FABELLA</t>
  </si>
  <si>
    <t xml:space="preserve">MA. THERESA </t>
  </si>
  <si>
    <t xml:space="preserve">PAZ, </t>
  </si>
  <si>
    <t xml:space="preserve">JEAN </t>
  </si>
  <si>
    <t>ENDRACA</t>
  </si>
  <si>
    <t>PANTONIAL,</t>
  </si>
  <si>
    <t xml:space="preserve"> IRENE </t>
  </si>
  <si>
    <t>PUNONGBAYAN</t>
  </si>
  <si>
    <t>PUBLIC SCHOOLS DISTRICT SUPERVISOR</t>
  </si>
  <si>
    <t xml:space="preserve">TALAVERA, </t>
  </si>
  <si>
    <t xml:space="preserve">REYNALDO </t>
  </si>
  <si>
    <t>AMARGO</t>
  </si>
  <si>
    <t>RPDUL</t>
  </si>
  <si>
    <t xml:space="preserve">GIMUTAO, </t>
  </si>
  <si>
    <t xml:space="preserve">BELEN </t>
  </si>
  <si>
    <t xml:space="preserve">AUSTRIA, </t>
  </si>
  <si>
    <t xml:space="preserve">RACQUEL </t>
  </si>
  <si>
    <t>CARTANO</t>
  </si>
  <si>
    <t>RCT</t>
  </si>
  <si>
    <t>RCT #37</t>
  </si>
  <si>
    <t xml:space="preserve">TERRONES, </t>
  </si>
  <si>
    <t>LOURDES</t>
  </si>
  <si>
    <t xml:space="preserve"> ANILA</t>
  </si>
  <si>
    <t xml:space="preserve">FARENAS, </t>
  </si>
  <si>
    <t xml:space="preserve">ELOISA </t>
  </si>
  <si>
    <t>CASTILLO</t>
  </si>
  <si>
    <t>EDUCATION PROGRAM SPECIALIST II</t>
  </si>
  <si>
    <t xml:space="preserve">GAVASAN, </t>
  </si>
  <si>
    <t>JUNO</t>
  </si>
  <si>
    <t xml:space="preserve"> SALMETE</t>
  </si>
  <si>
    <t xml:space="preserve">GUERTA, </t>
  </si>
  <si>
    <t>ALLAINE JEAN</t>
  </si>
  <si>
    <t xml:space="preserve"> NIÑOFRANCO</t>
  </si>
  <si>
    <t>LIBRARIAN II</t>
  </si>
  <si>
    <t>MONTILLANO,</t>
  </si>
  <si>
    <t xml:space="preserve"> ALLEN CRIS</t>
  </si>
  <si>
    <t>PROJECT DEVELOPMENT OFFICER II</t>
  </si>
  <si>
    <t xml:space="preserve">FRANCO, </t>
  </si>
  <si>
    <t xml:space="preserve">MALCOLM RAY </t>
  </si>
  <si>
    <t>IBO</t>
  </si>
  <si>
    <t xml:space="preserve">ALOQUIN, </t>
  </si>
  <si>
    <t xml:space="preserve">JOSE CHARLIE </t>
  </si>
  <si>
    <t>SARMIENTO</t>
  </si>
  <si>
    <t>OIC, SGOD CHIEF</t>
  </si>
  <si>
    <t xml:space="preserve">ANIÑON, </t>
  </si>
  <si>
    <t xml:space="preserve">DONNA JEAN </t>
  </si>
  <si>
    <t>BERNARDO</t>
  </si>
  <si>
    <t>MEDICAL OFFICER III</t>
  </si>
  <si>
    <t xml:space="preserve">CASTILLO-LAGRADA, </t>
  </si>
  <si>
    <t>SARAH</t>
  </si>
  <si>
    <t xml:space="preserve"> BARON</t>
  </si>
  <si>
    <t>ENGINEER III</t>
  </si>
  <si>
    <t>ORTHO</t>
  </si>
  <si>
    <t>CRUZ,</t>
  </si>
  <si>
    <t xml:space="preserve"> REYARR </t>
  </si>
  <si>
    <t>LAVINA</t>
  </si>
  <si>
    <t>SENIOR EDUCATION PROGRAM SPECIALIST</t>
  </si>
  <si>
    <t>VILLANUEVA,</t>
  </si>
  <si>
    <t xml:space="preserve"> RONNIE </t>
  </si>
  <si>
    <t>ZAGUIRE</t>
  </si>
  <si>
    <t xml:space="preserve">DORADO, </t>
  </si>
  <si>
    <t xml:space="preserve">TOMAS </t>
  </si>
  <si>
    <t>BUENO</t>
  </si>
  <si>
    <t xml:space="preserve">ASTILLERO, </t>
  </si>
  <si>
    <t xml:space="preserve">JEFFREY </t>
  </si>
  <si>
    <t>ALMERA</t>
  </si>
  <si>
    <t>PEDRON,</t>
  </si>
  <si>
    <t xml:space="preserve"> TROY ALLAN</t>
  </si>
  <si>
    <t xml:space="preserve"> HERMOSO</t>
  </si>
  <si>
    <t>PLANNING OFFICER III</t>
  </si>
  <si>
    <t xml:space="preserve">CAPISTRANO, </t>
  </si>
  <si>
    <t xml:space="preserve">RUEL </t>
  </si>
  <si>
    <t>UMALI</t>
  </si>
  <si>
    <t>DENTIST II</t>
  </si>
  <si>
    <t>MAPOLA,</t>
  </si>
  <si>
    <t xml:space="preserve"> ANGELA MARIE </t>
  </si>
  <si>
    <t>ESCUADRO</t>
  </si>
  <si>
    <t xml:space="preserve">VICENTE, </t>
  </si>
  <si>
    <t xml:space="preserve">MARVIN </t>
  </si>
  <si>
    <t>REOSONDA</t>
  </si>
  <si>
    <t xml:space="preserve">PUNONGBAYAN, </t>
  </si>
  <si>
    <t>JOSIEL JOULIE</t>
  </si>
  <si>
    <t xml:space="preserve"> LEGASPI</t>
  </si>
  <si>
    <t xml:space="preserve">DELINGON, </t>
  </si>
  <si>
    <t xml:space="preserve">ROMEL </t>
  </si>
  <si>
    <t>ALCONES</t>
  </si>
  <si>
    <t xml:space="preserve">FABELLA, </t>
  </si>
  <si>
    <t xml:space="preserve">CATHERINE </t>
  </si>
  <si>
    <t>MENSALVAS</t>
  </si>
  <si>
    <t>NURSE II</t>
  </si>
  <si>
    <t xml:space="preserve">RAMILO, </t>
  </si>
  <si>
    <t xml:space="preserve">MARIO JR </t>
  </si>
  <si>
    <t>VESLINOS</t>
  </si>
  <si>
    <t xml:space="preserve">BAGSIC, </t>
  </si>
  <si>
    <t xml:space="preserve">GILBERT </t>
  </si>
  <si>
    <t xml:space="preserve">SAGUNI, </t>
  </si>
  <si>
    <t xml:space="preserve">JHUNEL </t>
  </si>
  <si>
    <t>QUILING</t>
  </si>
  <si>
    <t xml:space="preserve">ANDAYA, </t>
  </si>
  <si>
    <t xml:space="preserve">JOY </t>
  </si>
  <si>
    <t>OPINA</t>
  </si>
  <si>
    <t xml:space="preserve">JOMAR </t>
  </si>
  <si>
    <t>DEL RIO</t>
  </si>
  <si>
    <t>PROJECT DEVELOPMENT OFFICER</t>
  </si>
  <si>
    <t>TOTAL</t>
  </si>
  <si>
    <t>DONE W/ DENTAL EXAM</t>
  </si>
  <si>
    <t>NO DENTAL EXAM</t>
  </si>
  <si>
    <t>Instructions:qvBD</t>
  </si>
  <si>
    <t>BACLARAN ELEMENTARY SCHOOL</t>
  </si>
  <si>
    <t>PUROK 2, BARANGAY BACLARAN CITY OF CABUYAO, LAGUNA</t>
  </si>
  <si>
    <t>ALBAY</t>
  </si>
  <si>
    <t>GLENDA</t>
  </si>
  <si>
    <t>ARAPAN</t>
  </si>
  <si>
    <t>National</t>
  </si>
  <si>
    <t>FEMALE</t>
  </si>
  <si>
    <t>TEACHER I</t>
  </si>
  <si>
    <t>ALMONTE</t>
  </si>
  <si>
    <t>ANGELINA</t>
  </si>
  <si>
    <t>TEACHER 3</t>
  </si>
  <si>
    <t>CDU JC</t>
  </si>
  <si>
    <t>JC 46,45,44,33,34,35,36,37</t>
  </si>
  <si>
    <t>ALPANTE</t>
  </si>
  <si>
    <t>FLORITA</t>
  </si>
  <si>
    <t>HOMO</t>
  </si>
  <si>
    <t>TEACHER 1</t>
  </si>
  <si>
    <t>ANDAL</t>
  </si>
  <si>
    <t>LORY LYN</t>
  </si>
  <si>
    <t>MELENDREZ</t>
  </si>
  <si>
    <t>APAYA</t>
  </si>
  <si>
    <t>AIRA JOY</t>
  </si>
  <si>
    <t>ABUSTAN</t>
  </si>
  <si>
    <t>ARJONA</t>
  </si>
  <si>
    <t>MIA</t>
  </si>
  <si>
    <t>EGUILLOS</t>
  </si>
  <si>
    <t>ARRADAZA</t>
  </si>
  <si>
    <t>RIZA</t>
  </si>
  <si>
    <t xml:space="preserve">DEL MUNDO </t>
  </si>
  <si>
    <t xml:space="preserve">FEMALE </t>
  </si>
  <si>
    <t xml:space="preserve">MASTER TEACHER I </t>
  </si>
  <si>
    <t>JC 11,21,23,22</t>
  </si>
  <si>
    <t>BARUNDIA</t>
  </si>
  <si>
    <t>MARISSA</t>
  </si>
  <si>
    <t>TENORIO</t>
  </si>
  <si>
    <t>MASTER TEACHER I</t>
  </si>
  <si>
    <t>BIÑAS</t>
  </si>
  <si>
    <t>SHERYL</t>
  </si>
  <si>
    <t>DEOCAREZA</t>
  </si>
  <si>
    <t>BUENSALIDA</t>
  </si>
  <si>
    <t>LALLIE</t>
  </si>
  <si>
    <t>CATAQUIS</t>
  </si>
  <si>
    <t>U Retainer</t>
  </si>
  <si>
    <t>BUNYI</t>
  </si>
  <si>
    <t>MARIA LOURDES</t>
  </si>
  <si>
    <t>MABUTE</t>
  </si>
  <si>
    <t>CALAGO</t>
  </si>
  <si>
    <t>CHESIEL</t>
  </si>
  <si>
    <t>MILLA</t>
  </si>
  <si>
    <t>CARVAJAL</t>
  </si>
  <si>
    <t>JEFFRY</t>
  </si>
  <si>
    <t>PALSIMON</t>
  </si>
  <si>
    <t>MALE</t>
  </si>
  <si>
    <t xml:space="preserve">CASTILLO </t>
  </si>
  <si>
    <t>ANITA</t>
  </si>
  <si>
    <t xml:space="preserve">LORENZO </t>
  </si>
  <si>
    <t>CEÑIDO</t>
  </si>
  <si>
    <t>MARICRIS</t>
  </si>
  <si>
    <t>DICHE</t>
  </si>
  <si>
    <t>CERBATOS</t>
  </si>
  <si>
    <t>AIZA</t>
  </si>
  <si>
    <t>MAULLON</t>
  </si>
  <si>
    <t>COLLO</t>
  </si>
  <si>
    <t>ARLA MAE</t>
  </si>
  <si>
    <t>OCHOA</t>
  </si>
  <si>
    <t>DANCEL</t>
  </si>
  <si>
    <t>EXEQUIL</t>
  </si>
  <si>
    <t>LAGDA</t>
  </si>
  <si>
    <t>DAYRIT</t>
  </si>
  <si>
    <t xml:space="preserve">FLORDELIZA </t>
  </si>
  <si>
    <t xml:space="preserve">PANTONIA </t>
  </si>
  <si>
    <t>Master Teacher 1</t>
  </si>
  <si>
    <t>DEL MUNDO</t>
  </si>
  <si>
    <t>VERNADETH</t>
  </si>
  <si>
    <t>ENRIQUEZ</t>
  </si>
  <si>
    <t>U/L RETAINER W/PONTIC</t>
  </si>
  <si>
    <t>CATHERINE</t>
  </si>
  <si>
    <t>JIMENEZ</t>
  </si>
  <si>
    <t>ROSELYN</t>
  </si>
  <si>
    <t>GOZUM</t>
  </si>
  <si>
    <t>ESTREMOS</t>
  </si>
  <si>
    <t>SARAH JEAN</t>
  </si>
  <si>
    <t>ADVINCULA</t>
  </si>
  <si>
    <t>FOSCABLO</t>
  </si>
  <si>
    <t>LEONISA</t>
  </si>
  <si>
    <t>BARRERA</t>
  </si>
  <si>
    <t>GALLEGO</t>
  </si>
  <si>
    <t>ELLA</t>
  </si>
  <si>
    <t>DAVID</t>
  </si>
  <si>
    <t>TEACHER1</t>
  </si>
  <si>
    <t>GAMAS</t>
  </si>
  <si>
    <t>ELEONOR</t>
  </si>
  <si>
    <t>CABULOY</t>
  </si>
  <si>
    <t>GARCHITORENA</t>
  </si>
  <si>
    <t>CECILIA</t>
  </si>
  <si>
    <t>HELOTIN</t>
  </si>
  <si>
    <t>GENIZA</t>
  </si>
  <si>
    <t>JOY</t>
  </si>
  <si>
    <t>GAN</t>
  </si>
  <si>
    <t>GUNTANG</t>
  </si>
  <si>
    <t>RACHELLE</t>
  </si>
  <si>
    <t>CONTADO</t>
  </si>
  <si>
    <t>Teacher I</t>
  </si>
  <si>
    <t>HERNANDEZ</t>
  </si>
  <si>
    <t>JASMIN</t>
  </si>
  <si>
    <t xml:space="preserve">CYNTHIA LYN </t>
  </si>
  <si>
    <t>FLORES</t>
  </si>
  <si>
    <t>PRINCIPAL I</t>
  </si>
  <si>
    <t>HEMEDEZ</t>
  </si>
  <si>
    <t>MARIA KATRINA</t>
  </si>
  <si>
    <t>LAPITAN</t>
  </si>
  <si>
    <t>JANNAH</t>
  </si>
  <si>
    <t>ANZURES</t>
  </si>
  <si>
    <t>LUMOCSO</t>
  </si>
  <si>
    <t>CHARIE</t>
  </si>
  <si>
    <t>APYAG</t>
  </si>
  <si>
    <t xml:space="preserve">MANGANTI </t>
  </si>
  <si>
    <t xml:space="preserve">MARY JANE </t>
  </si>
  <si>
    <t xml:space="preserve">QUINTO </t>
  </si>
  <si>
    <t>MANUMBAS</t>
  </si>
  <si>
    <t>LAARNI</t>
  </si>
  <si>
    <t>MATIRA</t>
  </si>
  <si>
    <t>MARIA CONCEPCION</t>
  </si>
  <si>
    <t>SERAON</t>
  </si>
  <si>
    <t>FOR OP</t>
  </si>
  <si>
    <t>MATTERIG</t>
  </si>
  <si>
    <t>EVANGELINE</t>
  </si>
  <si>
    <t xml:space="preserve">MONSANTO </t>
  </si>
  <si>
    <t xml:space="preserve">MA CRISTINA </t>
  </si>
  <si>
    <t xml:space="preserve">ESCASURA </t>
  </si>
  <si>
    <t>OPENA</t>
  </si>
  <si>
    <t>PHILIP</t>
  </si>
  <si>
    <t>HINAGPIS</t>
  </si>
  <si>
    <t>PALUSTRE</t>
  </si>
  <si>
    <t>ALJONARD</t>
  </si>
  <si>
    <t>RETARDO</t>
  </si>
  <si>
    <t>TEACHER 2</t>
  </si>
  <si>
    <t>PORLARES</t>
  </si>
  <si>
    <t>JOSEFINA</t>
  </si>
  <si>
    <t>SANCHEZ</t>
  </si>
  <si>
    <t>QUINTO</t>
  </si>
  <si>
    <t>MYRA</t>
  </si>
  <si>
    <t>CRUZ</t>
  </si>
  <si>
    <t>Female</t>
  </si>
  <si>
    <t>RAMOS</t>
  </si>
  <si>
    <t>CARRY</t>
  </si>
  <si>
    <t>CARPENTERO</t>
  </si>
  <si>
    <t>Teacher 1</t>
  </si>
  <si>
    <t>ROCERO</t>
  </si>
  <si>
    <t>ELMA</t>
  </si>
  <si>
    <t>CAPALUNGAN</t>
  </si>
  <si>
    <t>MASTER TEACHER 1</t>
  </si>
  <si>
    <t>Recememtation of jc 45</t>
  </si>
  <si>
    <t>SEBASTIAN</t>
  </si>
  <si>
    <t>WINNIE</t>
  </si>
  <si>
    <t>BALTAZAR</t>
  </si>
  <si>
    <t>TADURAN</t>
  </si>
  <si>
    <t>MARIA BELEN</t>
  </si>
  <si>
    <t>MUZONES</t>
  </si>
  <si>
    <t>VILLANUEVA</t>
  </si>
  <si>
    <t>EDITHA</t>
  </si>
  <si>
    <t>LOPENA</t>
  </si>
  <si>
    <t>VIÑAS</t>
  </si>
  <si>
    <t>EDNA</t>
  </si>
  <si>
    <t xml:space="preserve">  </t>
  </si>
  <si>
    <t>f</t>
  </si>
  <si>
    <t>BANAY-BANAY ELEMENTARY SCHOOL</t>
  </si>
  <si>
    <t>GATCHALIAN SUBDIVISION, BANAY-BANAY CITY OF CABUYAO LAGUNA</t>
  </si>
  <si>
    <t>Ocampo</t>
  </si>
  <si>
    <t>Mona Liza</t>
  </si>
  <si>
    <t>Biscocho</t>
  </si>
  <si>
    <t>MT II/OIC</t>
  </si>
  <si>
    <t>Sullo</t>
  </si>
  <si>
    <t>Anita</t>
  </si>
  <si>
    <t>Siano</t>
  </si>
  <si>
    <t>AO II</t>
  </si>
  <si>
    <t>Aquino</t>
  </si>
  <si>
    <t>Marjorie</t>
  </si>
  <si>
    <t>Mangaoang</t>
  </si>
  <si>
    <t>T I</t>
  </si>
  <si>
    <t>Arzaga</t>
  </si>
  <si>
    <t>Arlyn</t>
  </si>
  <si>
    <t>Campania</t>
  </si>
  <si>
    <t>Avellana</t>
  </si>
  <si>
    <t>Nomie</t>
  </si>
  <si>
    <t>Lopez</t>
  </si>
  <si>
    <t>TI</t>
  </si>
  <si>
    <t>Galarosa</t>
  </si>
  <si>
    <t>Donna Lee</t>
  </si>
  <si>
    <t>Saniel</t>
  </si>
  <si>
    <t>Batalla</t>
  </si>
  <si>
    <t>Jessica Kim</t>
  </si>
  <si>
    <t>Dimapilis</t>
  </si>
  <si>
    <t>Biñan</t>
  </si>
  <si>
    <t>Baby Glydle</t>
  </si>
  <si>
    <t>Robledo</t>
  </si>
  <si>
    <t>Bulauan</t>
  </si>
  <si>
    <t>Diana</t>
  </si>
  <si>
    <t>Bautista</t>
  </si>
  <si>
    <t>Cecilia</t>
  </si>
  <si>
    <t>Ruby</t>
  </si>
  <si>
    <t>Semorlan</t>
  </si>
  <si>
    <t>T III</t>
  </si>
  <si>
    <t>Claveria</t>
  </si>
  <si>
    <t>Janette</t>
  </si>
  <si>
    <t>Ocaso</t>
  </si>
  <si>
    <t>COREA</t>
  </si>
  <si>
    <t>Estrella</t>
  </si>
  <si>
    <t>DUENAS</t>
  </si>
  <si>
    <t>Cornista</t>
  </si>
  <si>
    <t>Mary Rose</t>
  </si>
  <si>
    <t>Pino</t>
  </si>
  <si>
    <t>Cortuna</t>
  </si>
  <si>
    <t>Tacia Camille</t>
  </si>
  <si>
    <t>Desalisa</t>
  </si>
  <si>
    <t>Cura</t>
  </si>
  <si>
    <t>Rosemarie</t>
  </si>
  <si>
    <t>Delmo</t>
  </si>
  <si>
    <t>Celestina</t>
  </si>
  <si>
    <t>Batario</t>
  </si>
  <si>
    <t>MT I</t>
  </si>
  <si>
    <t>Demonteverde</t>
  </si>
  <si>
    <t>Rialina</t>
  </si>
  <si>
    <t>Casulucan</t>
  </si>
  <si>
    <t>Despi</t>
  </si>
  <si>
    <t>Sarah Jane</t>
  </si>
  <si>
    <t>Dig</t>
  </si>
  <si>
    <t>Escosia</t>
  </si>
  <si>
    <t>Milain</t>
  </si>
  <si>
    <t>Nabia</t>
  </si>
  <si>
    <t>Galindez</t>
  </si>
  <si>
    <t>Babeth Flor</t>
  </si>
  <si>
    <t>Esteva</t>
  </si>
  <si>
    <t>T II</t>
  </si>
  <si>
    <t>Gecolea</t>
  </si>
  <si>
    <t>Wennie</t>
  </si>
  <si>
    <t>Leviste</t>
  </si>
  <si>
    <t>JC42,41,11</t>
  </si>
  <si>
    <t>Gelaga</t>
  </si>
  <si>
    <t>Hezil</t>
  </si>
  <si>
    <t>Barcoma</t>
  </si>
  <si>
    <t>Isubol</t>
  </si>
  <si>
    <t>Jay Kenneth</t>
  </si>
  <si>
    <t>Macahilig</t>
  </si>
  <si>
    <t>Jain</t>
  </si>
  <si>
    <t>Jywell</t>
  </si>
  <si>
    <t>Ricohermoso</t>
  </si>
  <si>
    <t>W/ LRETAINER</t>
  </si>
  <si>
    <t>Leonida</t>
  </si>
  <si>
    <t>Grace</t>
  </si>
  <si>
    <t>Oliveria</t>
  </si>
  <si>
    <t>Male</t>
  </si>
  <si>
    <t>Luminis</t>
  </si>
  <si>
    <t>Renalyn</t>
  </si>
  <si>
    <t>Pablo</t>
  </si>
  <si>
    <t>Malabanan</t>
  </si>
  <si>
    <t>Menchie</t>
  </si>
  <si>
    <t>Salvador</t>
  </si>
  <si>
    <t>Marcial</t>
  </si>
  <si>
    <t>Mariane</t>
  </si>
  <si>
    <t>Castillo</t>
  </si>
  <si>
    <t>TIII</t>
  </si>
  <si>
    <t xml:space="preserve">Pampang </t>
  </si>
  <si>
    <t>Meredith</t>
  </si>
  <si>
    <t>Sobrevega</t>
  </si>
  <si>
    <t>Pastrana</t>
  </si>
  <si>
    <t>Shiela Mae</t>
  </si>
  <si>
    <t>Palacios</t>
  </si>
  <si>
    <t>Patio</t>
  </si>
  <si>
    <t>Celeste</t>
  </si>
  <si>
    <t>Alporha</t>
  </si>
  <si>
    <t xml:space="preserve">Perico </t>
  </si>
  <si>
    <t xml:space="preserve">Amelita </t>
  </si>
  <si>
    <t>Espera</t>
  </si>
  <si>
    <t xml:space="preserve">Rachelle Anne </t>
  </si>
  <si>
    <t>Abracosa</t>
  </si>
  <si>
    <t>Punongbayan</t>
  </si>
  <si>
    <t>Joanna</t>
  </si>
  <si>
    <t>De Borja</t>
  </si>
  <si>
    <t>Recinto</t>
  </si>
  <si>
    <t>Regine</t>
  </si>
  <si>
    <t>Altarejos</t>
  </si>
  <si>
    <t>Reobilo</t>
  </si>
  <si>
    <t>Shara May</t>
  </si>
  <si>
    <t>Relunia</t>
  </si>
  <si>
    <t>Ricafort</t>
  </si>
  <si>
    <t>April Joy</t>
  </si>
  <si>
    <t>Salinas</t>
  </si>
  <si>
    <t>Rubas</t>
  </si>
  <si>
    <t>Agnes</t>
  </si>
  <si>
    <t>Rodriguez</t>
  </si>
  <si>
    <t>Sagasayan</t>
  </si>
  <si>
    <t xml:space="preserve">Evangeline </t>
  </si>
  <si>
    <t>Antioquia</t>
  </si>
  <si>
    <t>Sarmiento</t>
  </si>
  <si>
    <t>Maricar</t>
  </si>
  <si>
    <t>Velina</t>
  </si>
  <si>
    <t>Instructions:</t>
  </si>
  <si>
    <t>BANLIC ELEMENTARY SCHOOL</t>
  </si>
  <si>
    <t>NATIONAL HIWAY, BANLIC, CITY OF CABUYAO, LAGUNA</t>
  </si>
  <si>
    <t>Lapugot</t>
  </si>
  <si>
    <t>Arpie</t>
  </si>
  <si>
    <t>Panganiban</t>
  </si>
  <si>
    <t>Principal I</t>
  </si>
  <si>
    <t>09171503739</t>
  </si>
  <si>
    <t>Delminguez</t>
  </si>
  <si>
    <t>Joseph Matthew</t>
  </si>
  <si>
    <t>Isleta</t>
  </si>
  <si>
    <t>Administrative Officer II</t>
  </si>
  <si>
    <t>09173511536</t>
  </si>
  <si>
    <t>Alilio</t>
  </si>
  <si>
    <t>Felisa</t>
  </si>
  <si>
    <t>Clemen</t>
  </si>
  <si>
    <t>Teacher III</t>
  </si>
  <si>
    <t>09682954176</t>
  </si>
  <si>
    <t>URPD</t>
  </si>
  <si>
    <t>Amponin</t>
  </si>
  <si>
    <t>Michelle</t>
  </si>
  <si>
    <t>Refrea</t>
  </si>
  <si>
    <t>09610997628</t>
  </si>
  <si>
    <t>Badilla</t>
  </si>
  <si>
    <t>Jenisa</t>
  </si>
  <si>
    <t>Fuentes</t>
  </si>
  <si>
    <t>09605314597</t>
  </si>
  <si>
    <t>Badillo</t>
  </si>
  <si>
    <t>April</t>
  </si>
  <si>
    <t>Medrano</t>
  </si>
  <si>
    <t>09569509083</t>
  </si>
  <si>
    <t>Balanac</t>
  </si>
  <si>
    <t>Carlo Abraham</t>
  </si>
  <si>
    <t>Teacher II</t>
  </si>
  <si>
    <t>09124651624</t>
  </si>
  <si>
    <t>Balisacan</t>
  </si>
  <si>
    <t>Chanda</t>
  </si>
  <si>
    <t>Maigting</t>
  </si>
  <si>
    <t>09298207314</t>
  </si>
  <si>
    <t>Ballares</t>
  </si>
  <si>
    <t>Florlyn Niña</t>
  </si>
  <si>
    <t>Colandog</t>
  </si>
  <si>
    <t>09510088510</t>
  </si>
  <si>
    <t>Barangay</t>
  </si>
  <si>
    <t>Ilagan</t>
  </si>
  <si>
    <t>09455605283</t>
  </si>
  <si>
    <t>Batacan</t>
  </si>
  <si>
    <t>Cindy</t>
  </si>
  <si>
    <t>Esguerra</t>
  </si>
  <si>
    <t>09553944134</t>
  </si>
  <si>
    <t>Bombita</t>
  </si>
  <si>
    <t>Emelia</t>
  </si>
  <si>
    <t>Alebio</t>
  </si>
  <si>
    <t>09099809045</t>
  </si>
  <si>
    <t>Brigeldo</t>
  </si>
  <si>
    <t>Cherry Ann</t>
  </si>
  <si>
    <t>Pedroso</t>
  </si>
  <si>
    <t>09063460730</t>
  </si>
  <si>
    <t>Burce</t>
  </si>
  <si>
    <t>Jay Ann</t>
  </si>
  <si>
    <t>Lumangaya</t>
  </si>
  <si>
    <t>09486765121</t>
  </si>
  <si>
    <t>W/ ORTHO</t>
  </si>
  <si>
    <t>Calogmaton</t>
  </si>
  <si>
    <t>Raquel</t>
  </si>
  <si>
    <t>Arostiqe</t>
  </si>
  <si>
    <t>09395188409</t>
  </si>
  <si>
    <t>Carlos</t>
  </si>
  <si>
    <t>Jovelyn</t>
  </si>
  <si>
    <t>Egula</t>
  </si>
  <si>
    <t>09615044421</t>
  </si>
  <si>
    <t>Carpio</t>
  </si>
  <si>
    <t>Maria Shiena</t>
  </si>
  <si>
    <t>Dinulos</t>
  </si>
  <si>
    <t>09501958514</t>
  </si>
  <si>
    <t>Carta</t>
  </si>
  <si>
    <t>Norma</t>
  </si>
  <si>
    <t>Balbieran</t>
  </si>
  <si>
    <t>Master Teacher I</t>
  </si>
  <si>
    <t>09215115153</t>
  </si>
  <si>
    <t>JC 13,12,11,21,22,23</t>
  </si>
  <si>
    <t>Delos Santos</t>
  </si>
  <si>
    <t>Meryl</t>
  </si>
  <si>
    <t>Antinero</t>
  </si>
  <si>
    <t>09286664240</t>
  </si>
  <si>
    <t>Espejo</t>
  </si>
  <si>
    <t>Criselda</t>
  </si>
  <si>
    <t>Larumbi</t>
  </si>
  <si>
    <t>09068402172</t>
  </si>
  <si>
    <t>Fajiculay</t>
  </si>
  <si>
    <t>Jescel</t>
  </si>
  <si>
    <t>Gamo</t>
  </si>
  <si>
    <t>09208526816</t>
  </si>
  <si>
    <t>Fetalino</t>
  </si>
  <si>
    <t>Joseph Oliver</t>
  </si>
  <si>
    <t>Mendoza</t>
  </si>
  <si>
    <t>09218002303</t>
  </si>
  <si>
    <t>Forteza</t>
  </si>
  <si>
    <t>Vida</t>
  </si>
  <si>
    <t>San Andres</t>
  </si>
  <si>
    <t>09391108714</t>
  </si>
  <si>
    <t>Gaviño</t>
  </si>
  <si>
    <t>Filipina</t>
  </si>
  <si>
    <t>Velasco</t>
  </si>
  <si>
    <t>09497119593</t>
  </si>
  <si>
    <t>Juanir</t>
  </si>
  <si>
    <t>Maria Philipina</t>
  </si>
  <si>
    <t>Abary</t>
  </si>
  <si>
    <t>Master Teacher II</t>
  </si>
  <si>
    <t>09998894182</t>
  </si>
  <si>
    <t>Manzanero</t>
  </si>
  <si>
    <t>Rose Ann</t>
  </si>
  <si>
    <t>Bagasala</t>
  </si>
  <si>
    <t>09518559851</t>
  </si>
  <si>
    <t>Manzano</t>
  </si>
  <si>
    <t>Aivy</t>
  </si>
  <si>
    <t>Contreras</t>
  </si>
  <si>
    <t>09958976833</t>
  </si>
  <si>
    <t>Melisa</t>
  </si>
  <si>
    <t>Baet</t>
  </si>
  <si>
    <t>09507142368</t>
  </si>
  <si>
    <t>Miranda</t>
  </si>
  <si>
    <t>Josephine</t>
  </si>
  <si>
    <t>Barbosa</t>
  </si>
  <si>
    <t>09387393340</t>
  </si>
  <si>
    <t>Mutya</t>
  </si>
  <si>
    <t>Beverly</t>
  </si>
  <si>
    <t>09128196926</t>
  </si>
  <si>
    <t>Ogayon</t>
  </si>
  <si>
    <t>Leah</t>
  </si>
  <si>
    <t>Francisco</t>
  </si>
  <si>
    <t>09487153236</t>
  </si>
  <si>
    <t>Oña</t>
  </si>
  <si>
    <t>Aida</t>
  </si>
  <si>
    <t>Masaredo</t>
  </si>
  <si>
    <t>09334329132</t>
  </si>
  <si>
    <t>Peña</t>
  </si>
  <si>
    <t>Rhodalyn</t>
  </si>
  <si>
    <t>Rivadeneira</t>
  </si>
  <si>
    <t>09605314793</t>
  </si>
  <si>
    <t>Pereja</t>
  </si>
  <si>
    <t>Rustom</t>
  </si>
  <si>
    <t>Salvacion</t>
  </si>
  <si>
    <t>09351049117</t>
  </si>
  <si>
    <t>Perez</t>
  </si>
  <si>
    <t>Revelyn</t>
  </si>
  <si>
    <t>Guevarra</t>
  </si>
  <si>
    <t>09179003463</t>
  </si>
  <si>
    <t>Pineda</t>
  </si>
  <si>
    <t>Adelle</t>
  </si>
  <si>
    <t>Buot</t>
  </si>
  <si>
    <t>09657266029</t>
  </si>
  <si>
    <t>Pomar</t>
  </si>
  <si>
    <t>Julie</t>
  </si>
  <si>
    <t>Eleazar</t>
  </si>
  <si>
    <t>09763103468</t>
  </si>
  <si>
    <t>ULRPD</t>
  </si>
  <si>
    <t>Pura</t>
  </si>
  <si>
    <t>Marites</t>
  </si>
  <si>
    <t>Garrate</t>
  </si>
  <si>
    <t>09159306734</t>
  </si>
  <si>
    <t>Quebrata</t>
  </si>
  <si>
    <t>Edith</t>
  </si>
  <si>
    <t>Cuala</t>
  </si>
  <si>
    <t>09684993372</t>
  </si>
  <si>
    <t>Reyes</t>
  </si>
  <si>
    <t>Catherine</t>
  </si>
  <si>
    <t>David</t>
  </si>
  <si>
    <t>09152849045</t>
  </si>
  <si>
    <t>Rivera</t>
  </si>
  <si>
    <t>Ma. May</t>
  </si>
  <si>
    <t>Campos</t>
  </si>
  <si>
    <t>09158671532</t>
  </si>
  <si>
    <t>Sapitanan</t>
  </si>
  <si>
    <t>Rovelyn</t>
  </si>
  <si>
    <t>Gabrillo</t>
  </si>
  <si>
    <t>09192065258</t>
  </si>
  <si>
    <t>Tiu</t>
  </si>
  <si>
    <t>Madelyn</t>
  </si>
  <si>
    <t>Samson</t>
  </si>
  <si>
    <t>09358694539</t>
  </si>
  <si>
    <t>Valenzuela</t>
  </si>
  <si>
    <t>Jomar</t>
  </si>
  <si>
    <t>Fabon</t>
  </si>
  <si>
    <t>09605314800</t>
  </si>
  <si>
    <t>Villafranca</t>
  </si>
  <si>
    <t>Reina Mae</t>
  </si>
  <si>
    <t>09187609182</t>
  </si>
  <si>
    <t>BIGAA ELEMENTARY SCHOOL</t>
  </si>
  <si>
    <t>PUROK 4 BIGAA, CITY OF CABUYAO, LAGUNA</t>
  </si>
  <si>
    <t>049 5020449</t>
  </si>
  <si>
    <t>BILLONES</t>
  </si>
  <si>
    <t>ROMEO</t>
  </si>
  <si>
    <t>GUILARAN</t>
  </si>
  <si>
    <t>PRINCIPAL II</t>
  </si>
  <si>
    <t>for lrpd</t>
  </si>
  <si>
    <t>ABRUGAR</t>
  </si>
  <si>
    <t>NARITO</t>
  </si>
  <si>
    <t>ALAISA</t>
  </si>
  <si>
    <t xml:space="preserve">LILIAN </t>
  </si>
  <si>
    <t>ALBEROS</t>
  </si>
  <si>
    <t xml:space="preserve">PREMALYN </t>
  </si>
  <si>
    <t>PUGGAY</t>
  </si>
  <si>
    <t>TEACHER II</t>
  </si>
  <si>
    <t>ALEMANIA</t>
  </si>
  <si>
    <t xml:space="preserve">JOSELLE </t>
  </si>
  <si>
    <t>ALTILLO</t>
  </si>
  <si>
    <t xml:space="preserve">ARCELI </t>
  </si>
  <si>
    <t>BUAGA</t>
  </si>
  <si>
    <t>TEACHER III</t>
  </si>
  <si>
    <t>ARCITA</t>
  </si>
  <si>
    <t xml:space="preserve">FLORINA </t>
  </si>
  <si>
    <t>VERGARA</t>
  </si>
  <si>
    <t>BANATICLA</t>
  </si>
  <si>
    <t xml:space="preserve">MA. ESPERANZA </t>
  </si>
  <si>
    <t>CHAN</t>
  </si>
  <si>
    <t>BARREDO</t>
  </si>
  <si>
    <t xml:space="preserve">GERELYN </t>
  </si>
  <si>
    <t>ROQUERO</t>
  </si>
  <si>
    <t>rpdul</t>
  </si>
  <si>
    <t>BATITIS</t>
  </si>
  <si>
    <t xml:space="preserve">MARIFE </t>
  </si>
  <si>
    <t>BARRIENTOS</t>
  </si>
  <si>
    <t>BELDIA</t>
  </si>
  <si>
    <t xml:space="preserve">CHENDY </t>
  </si>
  <si>
    <t>BADE</t>
  </si>
  <si>
    <t xml:space="preserve">NEDDIE </t>
  </si>
  <si>
    <t>RIVERA</t>
  </si>
  <si>
    <t>BRIONES</t>
  </si>
  <si>
    <t xml:space="preserve">ANGELA </t>
  </si>
  <si>
    <t>CAINGAL</t>
  </si>
  <si>
    <t>CAGURANGAN</t>
  </si>
  <si>
    <t>MERRY ANN</t>
  </si>
  <si>
    <t>CAPOLE</t>
  </si>
  <si>
    <t>CANSICIO</t>
  </si>
  <si>
    <t xml:space="preserve">ALICIA </t>
  </si>
  <si>
    <t>GUTIERREZ</t>
  </si>
  <si>
    <t xml:space="preserve">MA. LINA FLOR </t>
  </si>
  <si>
    <t>SERDENA</t>
  </si>
  <si>
    <t xml:space="preserve">MARIAN </t>
  </si>
  <si>
    <t>fpd</t>
  </si>
  <si>
    <t>fpd 21-23</t>
  </si>
  <si>
    <t>CATACUTAN</t>
  </si>
  <si>
    <t xml:space="preserve">ANTHONY </t>
  </si>
  <si>
    <t>ARENAS</t>
  </si>
  <si>
    <t>DE MATA</t>
  </si>
  <si>
    <t>SUSANA</t>
  </si>
  <si>
    <t>MATIENZO</t>
  </si>
  <si>
    <t>DE TORRES</t>
  </si>
  <si>
    <t xml:space="preserve">EVELINA </t>
  </si>
  <si>
    <t>ESTABILLO</t>
  </si>
  <si>
    <t>DELA CRUZ</t>
  </si>
  <si>
    <t xml:space="preserve">GLENDA </t>
  </si>
  <si>
    <t>RAFAEL</t>
  </si>
  <si>
    <t>ESPELITA</t>
  </si>
  <si>
    <t xml:space="preserve">MARIA MERCY </t>
  </si>
  <si>
    <t>LOPEZ</t>
  </si>
  <si>
    <t>GALUZ</t>
  </si>
  <si>
    <t xml:space="preserve">RUBILYN </t>
  </si>
  <si>
    <t>NODORA</t>
  </si>
  <si>
    <t>GENOVA</t>
  </si>
  <si>
    <t>SOLVEN</t>
  </si>
  <si>
    <t>DOMINGUEZ</t>
  </si>
  <si>
    <t>GREGANDA</t>
  </si>
  <si>
    <t xml:space="preserve">MA. SAHLEE </t>
  </si>
  <si>
    <t>DE VEGA</t>
  </si>
  <si>
    <t>HAPA</t>
  </si>
  <si>
    <t>RUBY</t>
  </si>
  <si>
    <t>ESCUETA</t>
  </si>
  <si>
    <t>MACALINTAL</t>
  </si>
  <si>
    <t xml:space="preserve">NIÑA MAY </t>
  </si>
  <si>
    <t>MANDAP</t>
  </si>
  <si>
    <t xml:space="preserve">EMELYN </t>
  </si>
  <si>
    <t>TUBICE</t>
  </si>
  <si>
    <t>MELGAR</t>
  </si>
  <si>
    <t xml:space="preserve">DONNA </t>
  </si>
  <si>
    <t>DEACOSTA</t>
  </si>
  <si>
    <t>MILES</t>
  </si>
  <si>
    <t xml:space="preserve">GIMELE </t>
  </si>
  <si>
    <t>ALEGRE</t>
  </si>
  <si>
    <t>MURILLO</t>
  </si>
  <si>
    <t>CYNTHIA</t>
  </si>
  <si>
    <t>MANZANADES</t>
  </si>
  <si>
    <t>NATAYA</t>
  </si>
  <si>
    <t xml:space="preserve">RAIDIZ </t>
  </si>
  <si>
    <t>PAZ</t>
  </si>
  <si>
    <t>cd/rpdl</t>
  </si>
  <si>
    <t>NOBLES</t>
  </si>
  <si>
    <t xml:space="preserve">CECILIA </t>
  </si>
  <si>
    <t>FRANCO</t>
  </si>
  <si>
    <t>PANES</t>
  </si>
  <si>
    <t xml:space="preserve">MA. LUISA </t>
  </si>
  <si>
    <t>DIMARAAN</t>
  </si>
  <si>
    <t>PARAMI</t>
  </si>
  <si>
    <t xml:space="preserve">AILYN </t>
  </si>
  <si>
    <t>MAROMA</t>
  </si>
  <si>
    <t>retainer with pontic</t>
  </si>
  <si>
    <t>PERANTE</t>
  </si>
  <si>
    <t>BRIAN FRANCIS</t>
  </si>
  <si>
    <t>MALAPAD</t>
  </si>
  <si>
    <t xml:space="preserve">EMILY </t>
  </si>
  <si>
    <t>DUEZA</t>
  </si>
  <si>
    <t>REYES</t>
  </si>
  <si>
    <t xml:space="preserve">GINA </t>
  </si>
  <si>
    <t>ALMINE</t>
  </si>
  <si>
    <t>SALES</t>
  </si>
  <si>
    <t xml:space="preserve">MARIA MELISSA </t>
  </si>
  <si>
    <t>BALMES</t>
  </si>
  <si>
    <t>SANGAHIN</t>
  </si>
  <si>
    <t xml:space="preserve">ERIKA NIÑA </t>
  </si>
  <si>
    <t>DATON</t>
  </si>
  <si>
    <t>SANTIAGO</t>
  </si>
  <si>
    <t xml:space="preserve">ARCHIVAL </t>
  </si>
  <si>
    <t>TABAN</t>
  </si>
  <si>
    <t>ADORA</t>
  </si>
  <si>
    <t>TATLONGHARI</t>
  </si>
  <si>
    <t xml:space="preserve">TAMBOONG </t>
  </si>
  <si>
    <t xml:space="preserve">ROMNICK </t>
  </si>
  <si>
    <t>SALVADOR</t>
  </si>
  <si>
    <t xml:space="preserve">JOSEPHINE </t>
  </si>
  <si>
    <t>BATINO</t>
  </si>
  <si>
    <t>TIMOTEO</t>
  </si>
  <si>
    <t xml:space="preserve">ESMERALDA </t>
  </si>
  <si>
    <t>BATIAO</t>
  </si>
  <si>
    <t>MT II</t>
  </si>
  <si>
    <t>TRAJANO</t>
  </si>
  <si>
    <t>KATHELYN</t>
  </si>
  <si>
    <t>CAJA</t>
  </si>
  <si>
    <t xml:space="preserve">DATTY </t>
  </si>
  <si>
    <t>ABINDAN</t>
  </si>
  <si>
    <t>NARAGA</t>
  </si>
  <si>
    <t>ALLAIN JOANN</t>
  </si>
  <si>
    <t>Fill out this form by accomplishing the necessary details. Please do not leave any blank spaces and input data appropriately. Please enciode updated list of school personnel</t>
  </si>
  <si>
    <t>BIGAA INTEGRATED NATIONAL HIGH SCHOOL</t>
  </si>
  <si>
    <t>PUROK 5, BIGAA, CITY OF CABUYAO, LAGUNA</t>
  </si>
  <si>
    <t>School Contact Number:</t>
  </si>
  <si>
    <t>503-9289</t>
  </si>
  <si>
    <t>ABEO</t>
  </si>
  <si>
    <t>REYNALDO</t>
  </si>
  <si>
    <t>DADULLA</t>
  </si>
  <si>
    <t>T-III</t>
  </si>
  <si>
    <t>ABLES</t>
  </si>
  <si>
    <t>MERCY</t>
  </si>
  <si>
    <t>OBIAS</t>
  </si>
  <si>
    <t>T-I</t>
  </si>
  <si>
    <t>AGAS</t>
  </si>
  <si>
    <t>SERGIA</t>
  </si>
  <si>
    <t>CAPUSO</t>
  </si>
  <si>
    <t>AGNAL</t>
  </si>
  <si>
    <t>ANASTACIA</t>
  </si>
  <si>
    <t>YULAS</t>
  </si>
  <si>
    <t>AGUILAR</t>
  </si>
  <si>
    <t>DURON</t>
  </si>
  <si>
    <t>BARBA</t>
  </si>
  <si>
    <t>MYLENE</t>
  </si>
  <si>
    <t>ORTHO LOWER, FPD 12 -22</t>
  </si>
  <si>
    <t>BARIRING</t>
  </si>
  <si>
    <t>JANET</t>
  </si>
  <si>
    <t>BERWELA</t>
  </si>
  <si>
    <t>BARRON</t>
  </si>
  <si>
    <t>MARIA VICTORIA</t>
  </si>
  <si>
    <t>PARDUCHO</t>
  </si>
  <si>
    <t>BASALO</t>
  </si>
  <si>
    <t>JOAN</t>
  </si>
  <si>
    <t>AVILES</t>
  </si>
  <si>
    <t>BINZA</t>
  </si>
  <si>
    <t>WILLIAM</t>
  </si>
  <si>
    <t>BOHOLST</t>
  </si>
  <si>
    <t>T-II</t>
  </si>
  <si>
    <t>BORROMEO</t>
  </si>
  <si>
    <t>JANNA KATRINA</t>
  </si>
  <si>
    <t>BARORO</t>
  </si>
  <si>
    <t>ADAS III</t>
  </si>
  <si>
    <t>09684997655</t>
  </si>
  <si>
    <t>CADUHADA</t>
  </si>
  <si>
    <t>YVONNE</t>
  </si>
  <si>
    <t>TORRILLO</t>
  </si>
  <si>
    <t>CAPARAS</t>
  </si>
  <si>
    <t>KENT GABRIEL</t>
  </si>
  <si>
    <t>ADAS II</t>
  </si>
  <si>
    <t>09476488060</t>
  </si>
  <si>
    <t>CATAYAS</t>
  </si>
  <si>
    <t>COSME</t>
  </si>
  <si>
    <t>MUANA</t>
  </si>
  <si>
    <t>DABATOS</t>
  </si>
  <si>
    <t>MARITA</t>
  </si>
  <si>
    <t>CD/RPDL</t>
  </si>
  <si>
    <t>DE RAMOS</t>
  </si>
  <si>
    <t>REINA MARIE</t>
  </si>
  <si>
    <t>PABALAY</t>
  </si>
  <si>
    <t>ESCALA</t>
  </si>
  <si>
    <t>GILBERT</t>
  </si>
  <si>
    <t>MT-II</t>
  </si>
  <si>
    <t>09471048947</t>
  </si>
  <si>
    <t>ESCONDE</t>
  </si>
  <si>
    <t>SHARRINNA MEL DIFERLYN</t>
  </si>
  <si>
    <t>DELA FUENTE</t>
  </si>
  <si>
    <t>FONTE</t>
  </si>
  <si>
    <t>MARY JOY</t>
  </si>
  <si>
    <t>BENEDICTO</t>
  </si>
  <si>
    <t>REYNALD JOSEPH</t>
  </si>
  <si>
    <t>BAYANAY</t>
  </si>
  <si>
    <t>MT-I</t>
  </si>
  <si>
    <t>CATHRINE</t>
  </si>
  <si>
    <t>NAVEA</t>
  </si>
  <si>
    <t>GABELO</t>
  </si>
  <si>
    <t>RAYMUNDO</t>
  </si>
  <si>
    <t>RENCIO</t>
  </si>
  <si>
    <t>TEODORA</t>
  </si>
  <si>
    <t>MANALO</t>
  </si>
  <si>
    <t>P-II</t>
  </si>
  <si>
    <t>CHRISTIAN EMMANUEL</t>
  </si>
  <si>
    <t>SALASIBAN</t>
  </si>
  <si>
    <t>GATDULA</t>
  </si>
  <si>
    <t>EMIE KIMBERLY</t>
  </si>
  <si>
    <t>GALISTE</t>
  </si>
  <si>
    <t>GENER</t>
  </si>
  <si>
    <t>ARMANDO</t>
  </si>
  <si>
    <t>SALAMAT</t>
  </si>
  <si>
    <t>11 JC</t>
  </si>
  <si>
    <t>GESITE</t>
  </si>
  <si>
    <t>GLENN</t>
  </si>
  <si>
    <t>PANTARAS</t>
  </si>
  <si>
    <t>JULIEN KRISTI</t>
  </si>
  <si>
    <t>CARBON</t>
  </si>
  <si>
    <t>HINAGPISAN</t>
  </si>
  <si>
    <t>KENLYN</t>
  </si>
  <si>
    <t>CORONACION</t>
  </si>
  <si>
    <t>09187925501</t>
  </si>
  <si>
    <t>LANTE</t>
  </si>
  <si>
    <t>DOROTEA</t>
  </si>
  <si>
    <t>ENCARNACION</t>
  </si>
  <si>
    <t>LAPIDARIO</t>
  </si>
  <si>
    <t>KHARINA</t>
  </si>
  <si>
    <t>TURANG</t>
  </si>
  <si>
    <t>LARIDA</t>
  </si>
  <si>
    <t>DONNABELL</t>
  </si>
  <si>
    <t>METICA</t>
  </si>
  <si>
    <t>CHARISMA</t>
  </si>
  <si>
    <t>SAN JOSE</t>
  </si>
  <si>
    <t>LAYUG</t>
  </si>
  <si>
    <t>ALBERTO</t>
  </si>
  <si>
    <t>NAGRAMPA</t>
  </si>
  <si>
    <t>LAZANAS</t>
  </si>
  <si>
    <t>KATHLEEN</t>
  </si>
  <si>
    <t>CANCERAN</t>
  </si>
  <si>
    <t>LINGON</t>
  </si>
  <si>
    <t>ABIGAIL JOYCE</t>
  </si>
  <si>
    <t>MANZO</t>
  </si>
  <si>
    <t>LOGO</t>
  </si>
  <si>
    <t>MARI JOYCE</t>
  </si>
  <si>
    <t>ALTOVEROS</t>
  </si>
  <si>
    <t>LONTOC</t>
  </si>
  <si>
    <t>MARGIE</t>
  </si>
  <si>
    <t>MONJE</t>
  </si>
  <si>
    <t>HT-III</t>
  </si>
  <si>
    <t>RICHIL</t>
  </si>
  <si>
    <t>DACUYA</t>
  </si>
  <si>
    <t>MAGCALING</t>
  </si>
  <si>
    <t>DIVINA MARIE</t>
  </si>
  <si>
    <t>TALDO</t>
  </si>
  <si>
    <t>MAHINAY</t>
  </si>
  <si>
    <t>RHEA</t>
  </si>
  <si>
    <t>MANGANA</t>
  </si>
  <si>
    <t>MAIGTING</t>
  </si>
  <si>
    <t>ROSALIE</t>
  </si>
  <si>
    <t>MARANAN</t>
  </si>
  <si>
    <t>LEO BRIAN</t>
  </si>
  <si>
    <t>MARTINEZ</t>
  </si>
  <si>
    <t>JOEL</t>
  </si>
  <si>
    <t>RAMILO</t>
  </si>
  <si>
    <t>MERZA</t>
  </si>
  <si>
    <t>THELMA</t>
  </si>
  <si>
    <t>HT-II</t>
  </si>
  <si>
    <t>MILLONES</t>
  </si>
  <si>
    <t>ARNOLD</t>
  </si>
  <si>
    <t>TADIAQUE</t>
  </si>
  <si>
    <t>MONREAL</t>
  </si>
  <si>
    <t>SHELLA MARIE</t>
  </si>
  <si>
    <t>ISTURIS</t>
  </si>
  <si>
    <t>HONNEY GRACE</t>
  </si>
  <si>
    <t>PAULINO</t>
  </si>
  <si>
    <t>JENIELYN</t>
  </si>
  <si>
    <t>TONEL</t>
  </si>
  <si>
    <t>NINIA</t>
  </si>
  <si>
    <t>PAMATIAN</t>
  </si>
  <si>
    <t>DIANA JANE</t>
  </si>
  <si>
    <t>PADILLA</t>
  </si>
  <si>
    <t>HT-I</t>
  </si>
  <si>
    <t>PATRICK LEMUEL</t>
  </si>
  <si>
    <t>VILLARBA</t>
  </si>
  <si>
    <t>RODRIGUEZ</t>
  </si>
  <si>
    <t>RAZZEL</t>
  </si>
  <si>
    <t>SID</t>
  </si>
  <si>
    <t>909 774 7326</t>
  </si>
  <si>
    <t>SALMAZAN</t>
  </si>
  <si>
    <t>MARK ANTHONY</t>
  </si>
  <si>
    <t>SAN DIEGO</t>
  </si>
  <si>
    <t>PAULA BIANCA</t>
  </si>
  <si>
    <t>NAZARENO</t>
  </si>
  <si>
    <t>VERENA</t>
  </si>
  <si>
    <t>ALIPIO</t>
  </si>
  <si>
    <t>SIBUG</t>
  </si>
  <si>
    <t>JANICE</t>
  </si>
  <si>
    <t>LLANETA</t>
  </si>
  <si>
    <t>SILAPAN</t>
  </si>
  <si>
    <t>ALICIA</t>
  </si>
  <si>
    <t>SOLABO</t>
  </si>
  <si>
    <t>DELOS REYES</t>
  </si>
  <si>
    <t>SOTERIO</t>
  </si>
  <si>
    <t>DELFIN</t>
  </si>
  <si>
    <t>NICOLAS</t>
  </si>
  <si>
    <t>LINA</t>
  </si>
  <si>
    <t>34 RCT</t>
  </si>
  <si>
    <t>SULIT</t>
  </si>
  <si>
    <t>ANGELICA</t>
  </si>
  <si>
    <t>PRANADA</t>
  </si>
  <si>
    <t>TABAFUNDA</t>
  </si>
  <si>
    <t>KRISTIAN</t>
  </si>
  <si>
    <t>VIJUAN</t>
  </si>
  <si>
    <t>LEO</t>
  </si>
  <si>
    <t>PIAPES</t>
  </si>
  <si>
    <t>MARIA MONICA</t>
  </si>
  <si>
    <t>MARILYN</t>
  </si>
  <si>
    <t>PEREZ</t>
  </si>
  <si>
    <t>retainer with pontic ul</t>
  </si>
  <si>
    <t>Butong Elementary School</t>
  </si>
  <si>
    <t>Purok 3, Brgy Butong,Cabuyao City</t>
  </si>
  <si>
    <t>BIEN</t>
  </si>
  <si>
    <t xml:space="preserve">MA. CORAZON </t>
  </si>
  <si>
    <t>DRIZA</t>
  </si>
  <si>
    <t>PRINCIPAL 1</t>
  </si>
  <si>
    <t>ALIPARO</t>
  </si>
  <si>
    <t xml:space="preserve">TRISHA </t>
  </si>
  <si>
    <t>RAMIREZ</t>
  </si>
  <si>
    <t>ANI</t>
  </si>
  <si>
    <t>ALFONSO JAIRUS</t>
  </si>
  <si>
    <t>ANGELITUD</t>
  </si>
  <si>
    <t>AVILA</t>
  </si>
  <si>
    <t>LEBRILLA</t>
  </si>
  <si>
    <t>BARQUIO</t>
  </si>
  <si>
    <t>LIZIEL</t>
  </si>
  <si>
    <t>ARGON</t>
  </si>
  <si>
    <t>BELISON</t>
  </si>
  <si>
    <t>FLORENTINA</t>
  </si>
  <si>
    <t>OFONG</t>
  </si>
  <si>
    <t>CONSTANTINO</t>
  </si>
  <si>
    <t>CONCEPCION</t>
  </si>
  <si>
    <t>CORDERO</t>
  </si>
  <si>
    <t>ROWELA</t>
  </si>
  <si>
    <t>ROYERAS</t>
  </si>
  <si>
    <t>EMERGENCY</t>
  </si>
  <si>
    <t>DONATO</t>
  </si>
  <si>
    <t>MARLETTE</t>
  </si>
  <si>
    <t>MATEMATICO</t>
  </si>
  <si>
    <t>BERLIN</t>
  </si>
  <si>
    <t>LAURIANO</t>
  </si>
  <si>
    <t>PENAFLORIDA</t>
  </si>
  <si>
    <t>ELOMINA</t>
  </si>
  <si>
    <t>ANACLETA</t>
  </si>
  <si>
    <t>CONDINO</t>
  </si>
  <si>
    <t>RACEL</t>
  </si>
  <si>
    <t>FERNANDEZ</t>
  </si>
  <si>
    <t>MICHELLE</t>
  </si>
  <si>
    <t>FUYOC</t>
  </si>
  <si>
    <t>BANAG</t>
  </si>
  <si>
    <t>GIMENEZ</t>
  </si>
  <si>
    <t>JESSICA</t>
  </si>
  <si>
    <t>TABURNAL</t>
  </si>
  <si>
    <t>CONNIE</t>
  </si>
  <si>
    <t>RONQUILLO</t>
  </si>
  <si>
    <t>HOPICO</t>
  </si>
  <si>
    <t>GLADY</t>
  </si>
  <si>
    <t>DAVE</t>
  </si>
  <si>
    <t>IRABON</t>
  </si>
  <si>
    <t>ELSIE</t>
  </si>
  <si>
    <t>MARIANO</t>
  </si>
  <si>
    <t>LUCERO</t>
  </si>
  <si>
    <t>LARISSA</t>
  </si>
  <si>
    <t>HACHERO</t>
  </si>
  <si>
    <t>MISA</t>
  </si>
  <si>
    <t>MARK JOHN PAULO</t>
  </si>
  <si>
    <t>MONTEZON</t>
  </si>
  <si>
    <t>MAUREEN</t>
  </si>
  <si>
    <t>MORALES</t>
  </si>
  <si>
    <t>MAYLENE</t>
  </si>
  <si>
    <t>DELMO</t>
  </si>
  <si>
    <t>NEQUINTO</t>
  </si>
  <si>
    <t>NELSON</t>
  </si>
  <si>
    <t>NEVALGA</t>
  </si>
  <si>
    <t>JENILYN</t>
  </si>
  <si>
    <t>PARALEJAS</t>
  </si>
  <si>
    <t>MAURENE</t>
  </si>
  <si>
    <t>MALIT</t>
  </si>
  <si>
    <t>PUNTILAR</t>
  </si>
  <si>
    <t>ALIJANDRA</t>
  </si>
  <si>
    <t>SOPINO</t>
  </si>
  <si>
    <t>SILVA</t>
  </si>
  <si>
    <t>MARIVIC</t>
  </si>
  <si>
    <t>AUTOS</t>
  </si>
  <si>
    <t>RELOZA</t>
  </si>
  <si>
    <t xml:space="preserve">JULIE ROSE </t>
  </si>
  <si>
    <t>RIEGO</t>
  </si>
  <si>
    <t>LSB</t>
  </si>
  <si>
    <t>LSB TEACHER 1</t>
  </si>
  <si>
    <t>LOGRONIO</t>
  </si>
  <si>
    <t>MARCELA</t>
  </si>
  <si>
    <t>ADMINISTRATIVE OFFICE 2</t>
  </si>
  <si>
    <t>JC 12, 22</t>
  </si>
  <si>
    <t>ARNELSON</t>
  </si>
  <si>
    <t>LABIS</t>
  </si>
  <si>
    <t>MOOE</t>
  </si>
  <si>
    <t>UTILITY</t>
  </si>
  <si>
    <t>MARAÑA</t>
  </si>
  <si>
    <t>MICHAEL</t>
  </si>
  <si>
    <t>PRECILLA</t>
  </si>
  <si>
    <t>SCHOOL GUARD</t>
  </si>
  <si>
    <t>DIZON</t>
  </si>
  <si>
    <t>JESSIE</t>
  </si>
  <si>
    <t>DEL ROSARIO</t>
  </si>
  <si>
    <t>CABUYAO CENTRAL SCHOOL</t>
  </si>
  <si>
    <t>OSMENA ST. POBLACION DOS, CITY OF CABUYAO , LAGUNA</t>
  </si>
  <si>
    <t>531-2631</t>
  </si>
  <si>
    <t>MECIJA</t>
  </si>
  <si>
    <t xml:space="preserve">DEZERIE </t>
  </si>
  <si>
    <t>BAUTISTA</t>
  </si>
  <si>
    <t>PRINCIPAL III</t>
  </si>
  <si>
    <t>09190958192</t>
  </si>
  <si>
    <t>ABAYA</t>
  </si>
  <si>
    <t>JENNIFER</t>
  </si>
  <si>
    <t>09772353040</t>
  </si>
  <si>
    <t>ANABEL</t>
  </si>
  <si>
    <t>09186636774</t>
  </si>
  <si>
    <t>AGUJETAS</t>
  </si>
  <si>
    <t>GLADYS</t>
  </si>
  <si>
    <t>LOTIVIO</t>
  </si>
  <si>
    <t>ADMIN. OFFICER II</t>
  </si>
  <si>
    <t>09173227669</t>
  </si>
  <si>
    <t>ALDANESE</t>
  </si>
  <si>
    <t>JULIE</t>
  </si>
  <si>
    <t>TANAY</t>
  </si>
  <si>
    <t>09270359964</t>
  </si>
  <si>
    <t>ALINSUNURIN</t>
  </si>
  <si>
    <t>ESTRELLA</t>
  </si>
  <si>
    <t>MANUEL</t>
  </si>
  <si>
    <t>09615807645</t>
  </si>
  <si>
    <t>ALTAREJOS</t>
  </si>
  <si>
    <t>BONNALYN</t>
  </si>
  <si>
    <t>RABE</t>
  </si>
  <si>
    <t>09126610729</t>
  </si>
  <si>
    <t>ANABELLE</t>
  </si>
  <si>
    <t>MOLINYAWE</t>
  </si>
  <si>
    <t>09663587785</t>
  </si>
  <si>
    <t>ANDAYA</t>
  </si>
  <si>
    <t>EVA</t>
  </si>
  <si>
    <t>SIGUA</t>
  </si>
  <si>
    <t>09157377800</t>
  </si>
  <si>
    <t>ANTONIO</t>
  </si>
  <si>
    <t>09325939113</t>
  </si>
  <si>
    <t>CRISTINA</t>
  </si>
  <si>
    <t>VILLAFUERTE</t>
  </si>
  <si>
    <t>09514696860</t>
  </si>
  <si>
    <t>ARCEBUCHE</t>
  </si>
  <si>
    <t>CHERRY</t>
  </si>
  <si>
    <t>09338219398</t>
  </si>
  <si>
    <t>ASTILLERO</t>
  </si>
  <si>
    <t>CARINGAL</t>
  </si>
  <si>
    <t>09164395391</t>
  </si>
  <si>
    <t xml:space="preserve">BARCALA </t>
  </si>
  <si>
    <t xml:space="preserve">VIVIAN </t>
  </si>
  <si>
    <t xml:space="preserve">AZUPARDO </t>
  </si>
  <si>
    <t>09564769554</t>
  </si>
  <si>
    <t>BATAYON</t>
  </si>
  <si>
    <t>MARISOL</t>
  </si>
  <si>
    <t>GURTIZA</t>
  </si>
  <si>
    <t>09283556433</t>
  </si>
  <si>
    <t>RYAN PAUL</t>
  </si>
  <si>
    <t>LABIGAN</t>
  </si>
  <si>
    <t>MASTER TEACHER II</t>
  </si>
  <si>
    <t>09053468593</t>
  </si>
  <si>
    <t>MARIA JEANETTE</t>
  </si>
  <si>
    <t>BACSAFRA</t>
  </si>
  <si>
    <t>SPET I</t>
  </si>
  <si>
    <t>09276028287</t>
  </si>
  <si>
    <t>BELBES</t>
  </si>
  <si>
    <t>MAURA</t>
  </si>
  <si>
    <t>EVANGELISTA</t>
  </si>
  <si>
    <t>09764556153</t>
  </si>
  <si>
    <t xml:space="preserve">BUENNAAGUA </t>
  </si>
  <si>
    <t>MA.ELSA</t>
  </si>
  <si>
    <t>PONAYA</t>
  </si>
  <si>
    <t>SPET II</t>
  </si>
  <si>
    <t>09566643218</t>
  </si>
  <si>
    <t>ERICSON</t>
  </si>
  <si>
    <t>CAPURAL</t>
  </si>
  <si>
    <t>MARC ELES</t>
  </si>
  <si>
    <t>VENTURA</t>
  </si>
  <si>
    <t>09125068814</t>
  </si>
  <si>
    <t>TRISTEL</t>
  </si>
  <si>
    <t>09398608652</t>
  </si>
  <si>
    <t>CASTRO</t>
  </si>
  <si>
    <t>MARIA CELESTE</t>
  </si>
  <si>
    <t>09083030255</t>
  </si>
  <si>
    <t>CONAY</t>
  </si>
  <si>
    <t>JOXAN</t>
  </si>
  <si>
    <t>NARAG</t>
  </si>
  <si>
    <t>09976586936</t>
  </si>
  <si>
    <t>CRESCINI</t>
  </si>
  <si>
    <t>ELLEN</t>
  </si>
  <si>
    <t>SAMERA</t>
  </si>
  <si>
    <t>09661327230</t>
  </si>
  <si>
    <t>CRISOLOGO</t>
  </si>
  <si>
    <t>RHODORA</t>
  </si>
  <si>
    <t>BANASIHAN</t>
  </si>
  <si>
    <t>09463382424</t>
  </si>
  <si>
    <t>#21 &amp; 22 For observation</t>
  </si>
  <si>
    <t>DALIDA</t>
  </si>
  <si>
    <t>ROSEMARIE</t>
  </si>
  <si>
    <t>09774594404</t>
  </si>
  <si>
    <t>DE JESUS</t>
  </si>
  <si>
    <t>KATHERINE</t>
  </si>
  <si>
    <t>PAPA</t>
  </si>
  <si>
    <t>09293126307</t>
  </si>
  <si>
    <t>DE LEON</t>
  </si>
  <si>
    <t>EMMANUEL</t>
  </si>
  <si>
    <t>DADIOS</t>
  </si>
  <si>
    <t>09059729056</t>
  </si>
  <si>
    <t>LOIDA</t>
  </si>
  <si>
    <t>BATHAN</t>
  </si>
  <si>
    <t>09282850146</t>
  </si>
  <si>
    <t>2 JC</t>
  </si>
  <si>
    <t>JC 11,21</t>
  </si>
  <si>
    <t>DELALAMON</t>
  </si>
  <si>
    <t>CAPILIT</t>
  </si>
  <si>
    <t>09196538818</t>
  </si>
  <si>
    <t>RODERICK</t>
  </si>
  <si>
    <t>OBLENO</t>
  </si>
  <si>
    <t>09231198264</t>
  </si>
  <si>
    <t>AURORA</t>
  </si>
  <si>
    <t>DUNGO</t>
  </si>
  <si>
    <t>09067714332</t>
  </si>
  <si>
    <t>DIANELA</t>
  </si>
  <si>
    <t>PERALTA</t>
  </si>
  <si>
    <t>09176516097</t>
  </si>
  <si>
    <t>DULOG</t>
  </si>
  <si>
    <t>LUZ</t>
  </si>
  <si>
    <t>09451494060</t>
  </si>
  <si>
    <t>ERENO</t>
  </si>
  <si>
    <t>IRENE</t>
  </si>
  <si>
    <t>DEALCA</t>
  </si>
  <si>
    <t>09062833122</t>
  </si>
  <si>
    <t>EREVE</t>
  </si>
  <si>
    <t>GREGORY</t>
  </si>
  <si>
    <t>09060954776</t>
  </si>
  <si>
    <t>EUGENIO</t>
  </si>
  <si>
    <t xml:space="preserve">KRISTINE JOY </t>
  </si>
  <si>
    <t>CAYAB</t>
  </si>
  <si>
    <t>09974652114</t>
  </si>
  <si>
    <t>LYKA</t>
  </si>
  <si>
    <t>DUMA</t>
  </si>
  <si>
    <t>09389875553</t>
  </si>
  <si>
    <t>FRANDO</t>
  </si>
  <si>
    <t>MA. KRISTINA BERNADETTE</t>
  </si>
  <si>
    <t>BARCENAS</t>
  </si>
  <si>
    <t>09385711276</t>
  </si>
  <si>
    <t>MARICEL</t>
  </si>
  <si>
    <t>09321027962</t>
  </si>
  <si>
    <t>GOLOSINDA</t>
  </si>
  <si>
    <t>CECILE</t>
  </si>
  <si>
    <t>FUENTEBELLA</t>
  </si>
  <si>
    <t>SPET III</t>
  </si>
  <si>
    <t>09218991519</t>
  </si>
  <si>
    <t xml:space="preserve">RPD </t>
  </si>
  <si>
    <t>JALINAO</t>
  </si>
  <si>
    <t>DONNA MAY</t>
  </si>
  <si>
    <t>SAGUINSIN</t>
  </si>
  <si>
    <t>09178711165</t>
  </si>
  <si>
    <t>W/ L REMOVABLE FULL BRIDGE</t>
  </si>
  <si>
    <t>LEONIZO</t>
  </si>
  <si>
    <t>MARIBEL</t>
  </si>
  <si>
    <t>COMPAY</t>
  </si>
  <si>
    <t>09982845088</t>
  </si>
  <si>
    <t>MADRIAGA</t>
  </si>
  <si>
    <t>MA. TERESA</t>
  </si>
  <si>
    <t>CARGAR</t>
  </si>
  <si>
    <t>09224127927</t>
  </si>
  <si>
    <t xml:space="preserve"> n</t>
  </si>
  <si>
    <t>DARINA</t>
  </si>
  <si>
    <t>ADMIN ASST II</t>
  </si>
  <si>
    <t>09985531652</t>
  </si>
  <si>
    <t>MASCARDO</t>
  </si>
  <si>
    <t>ZENAIDA</t>
  </si>
  <si>
    <t>MERABITE</t>
  </si>
  <si>
    <t>09084846519</t>
  </si>
  <si>
    <t>MENDOZA</t>
  </si>
  <si>
    <t>MELANIE</t>
  </si>
  <si>
    <t>LANDERITO</t>
  </si>
  <si>
    <t>09195285638</t>
  </si>
  <si>
    <t>NAONG</t>
  </si>
  <si>
    <t>ANNALYN</t>
  </si>
  <si>
    <t>PERNIA</t>
  </si>
  <si>
    <t>09103835551</t>
  </si>
  <si>
    <t>FPD 12-23</t>
  </si>
  <si>
    <t>NAVASERO</t>
  </si>
  <si>
    <t>MARILOU</t>
  </si>
  <si>
    <t>JACOBE</t>
  </si>
  <si>
    <t>09338219522</t>
  </si>
  <si>
    <t>NONAILLADA</t>
  </si>
  <si>
    <t>MA JOANNALYN</t>
  </si>
  <si>
    <t>MANACSA</t>
  </si>
  <si>
    <t>09278390633</t>
  </si>
  <si>
    <t>OBISPO</t>
  </si>
  <si>
    <t>TOGADO</t>
  </si>
  <si>
    <t>09996877982</t>
  </si>
  <si>
    <t>PACO</t>
  </si>
  <si>
    <t>DOREIZA</t>
  </si>
  <si>
    <t xml:space="preserve">SARMIENTO </t>
  </si>
  <si>
    <t xml:space="preserve">09655241225 </t>
  </si>
  <si>
    <t>PAGUIO</t>
  </si>
  <si>
    <t>JOCELYN</t>
  </si>
  <si>
    <t>ENCINAS</t>
  </si>
  <si>
    <t>09423577851</t>
  </si>
  <si>
    <t>PASTRANA</t>
  </si>
  <si>
    <t>ALVIN</t>
  </si>
  <si>
    <t>GABILO</t>
  </si>
  <si>
    <t>09772652878</t>
  </si>
  <si>
    <t>PASUQUIN</t>
  </si>
  <si>
    <t>ASUNCION</t>
  </si>
  <si>
    <t>NABIA</t>
  </si>
  <si>
    <t>09098733382</t>
  </si>
  <si>
    <t>ARIANNE</t>
  </si>
  <si>
    <t>BATALLA</t>
  </si>
  <si>
    <t>09483570797</t>
  </si>
  <si>
    <t>PONCE</t>
  </si>
  <si>
    <t>AMELIA</t>
  </si>
  <si>
    <t>09661320666</t>
  </si>
  <si>
    <t>09153969333</t>
  </si>
  <si>
    <t>PRIETO, JR</t>
  </si>
  <si>
    <t>FELIPE</t>
  </si>
  <si>
    <t>CATOT</t>
  </si>
  <si>
    <t>09484129391</t>
  </si>
  <si>
    <t>PRINCIPE</t>
  </si>
  <si>
    <t>ELOISA</t>
  </si>
  <si>
    <t>09634890564</t>
  </si>
  <si>
    <t>QUIDATO</t>
  </si>
  <si>
    <t>ANGELY</t>
  </si>
  <si>
    <t>REDILLAS</t>
  </si>
  <si>
    <t>CHONA</t>
  </si>
  <si>
    <t>BARRAMEDA</t>
  </si>
  <si>
    <t>09653421536</t>
  </si>
  <si>
    <t>REFREA</t>
  </si>
  <si>
    <t>SANDOVAL</t>
  </si>
  <si>
    <t>09294181865</t>
  </si>
  <si>
    <t>Regondon</t>
  </si>
  <si>
    <t>Joana Marie</t>
  </si>
  <si>
    <t>Urias</t>
  </si>
  <si>
    <t>09173072368</t>
  </si>
  <si>
    <t>SALOMON</t>
  </si>
  <si>
    <t>JESETTE</t>
  </si>
  <si>
    <t>PAULE</t>
  </si>
  <si>
    <t>09093921755</t>
  </si>
  <si>
    <t>RTPDU</t>
  </si>
  <si>
    <t>SAN JUAN</t>
  </si>
  <si>
    <t>ROMANA</t>
  </si>
  <si>
    <t>PESQUESA</t>
  </si>
  <si>
    <t>09996464733</t>
  </si>
  <si>
    <t>SARZA</t>
  </si>
  <si>
    <t>MARY NANCY</t>
  </si>
  <si>
    <t>09052646470</t>
  </si>
  <si>
    <t>SEÑA</t>
  </si>
  <si>
    <t>EMELYN CHRISTI</t>
  </si>
  <si>
    <t>BOCALING</t>
  </si>
  <si>
    <t>09950249562</t>
  </si>
  <si>
    <t>CAROLINE</t>
  </si>
  <si>
    <t>SANSANO</t>
  </si>
  <si>
    <t>09193773066</t>
  </si>
  <si>
    <t>SOLIS</t>
  </si>
  <si>
    <t>SARAH MAE</t>
  </si>
  <si>
    <t>MARINAO</t>
  </si>
  <si>
    <t>09478774859</t>
  </si>
  <si>
    <t>SOLOGASTUA</t>
  </si>
  <si>
    <t>JAZMINE</t>
  </si>
  <si>
    <t>MABULAC</t>
  </si>
  <si>
    <t>09958977245</t>
  </si>
  <si>
    <t>TABAGO</t>
  </si>
  <si>
    <t>HANAH LOUE</t>
  </si>
  <si>
    <t>OLAGUERA</t>
  </si>
  <si>
    <t>09679314124</t>
  </si>
  <si>
    <t>TAN</t>
  </si>
  <si>
    <t>DELIA</t>
  </si>
  <si>
    <t>09087087532</t>
  </si>
  <si>
    <t>RUTH</t>
  </si>
  <si>
    <t>PERRY</t>
  </si>
  <si>
    <t>09075210551</t>
  </si>
  <si>
    <t>TIBURCIO</t>
  </si>
  <si>
    <t>TACIANA RUBI</t>
  </si>
  <si>
    <t>MONTEMAYOR</t>
  </si>
  <si>
    <t>09458718502</t>
  </si>
  <si>
    <t>TOLOSA</t>
  </si>
  <si>
    <t>FLOREJANE</t>
  </si>
  <si>
    <t>CUATERNO</t>
  </si>
  <si>
    <t>09098947052</t>
  </si>
  <si>
    <t>VALENZUELA</t>
  </si>
  <si>
    <t>MARIA CRISTINA</t>
  </si>
  <si>
    <t>TUDOR</t>
  </si>
  <si>
    <t>ADMINISTRATIVE ASST III</t>
  </si>
  <si>
    <t>09171297897</t>
  </si>
  <si>
    <t>VICENTE</t>
  </si>
  <si>
    <t>VINCE IRVIN</t>
  </si>
  <si>
    <t>REASONDA</t>
  </si>
  <si>
    <t>09517608180</t>
  </si>
  <si>
    <t>CASILE INTEGRATED NATIONAL HIGH SCHOOL</t>
  </si>
  <si>
    <t>PUROK 2, BARANGAY CASILE, CITY OF CABUYAO, LAGUNA</t>
  </si>
  <si>
    <t>0956-466-6234/0912-645-6999</t>
  </si>
  <si>
    <t>CYRIL</t>
  </si>
  <si>
    <t>ENDAYA</t>
  </si>
  <si>
    <t>PRINCIPAL-I</t>
  </si>
  <si>
    <t>ANGCAO</t>
  </si>
  <si>
    <t>MARITES</t>
  </si>
  <si>
    <t>T - III</t>
  </si>
  <si>
    <t>BURGOS</t>
  </si>
  <si>
    <t>RAZEL</t>
  </si>
  <si>
    <t>CARISTEA</t>
  </si>
  <si>
    <t>T - I</t>
  </si>
  <si>
    <t>w/ ortho</t>
  </si>
  <si>
    <t>APRILYN</t>
  </si>
  <si>
    <t>SORIANO</t>
  </si>
  <si>
    <t xml:space="preserve">DOBLES </t>
  </si>
  <si>
    <t>MARICYLLE</t>
  </si>
  <si>
    <t xml:space="preserve">MATIENZO </t>
  </si>
  <si>
    <t>JOE VAN</t>
  </si>
  <si>
    <t>CHICO</t>
  </si>
  <si>
    <t>PALANDO</t>
  </si>
  <si>
    <t>C</t>
  </si>
  <si>
    <t>09764306242</t>
  </si>
  <si>
    <t>PETATE</t>
  </si>
  <si>
    <t>GRAZIE AGNESSIE</t>
  </si>
  <si>
    <t>PAITA</t>
  </si>
  <si>
    <t xml:space="preserve">PLATON </t>
  </si>
  <si>
    <t>RODELIZA</t>
  </si>
  <si>
    <t>LATO</t>
  </si>
  <si>
    <t>for OP</t>
  </si>
  <si>
    <t>TERRIBLE</t>
  </si>
  <si>
    <t>JENNYLYN</t>
  </si>
  <si>
    <t>ODPER</t>
  </si>
  <si>
    <t>MARIA REDENTA</t>
  </si>
  <si>
    <t>COBONG</t>
  </si>
  <si>
    <t>T - II</t>
  </si>
  <si>
    <t>w/ UL ORTHO</t>
  </si>
  <si>
    <t>HATUINA</t>
  </si>
  <si>
    <t>HERBITO</t>
  </si>
  <si>
    <t>BABYLYKA</t>
  </si>
  <si>
    <t>ZAMORA</t>
  </si>
  <si>
    <t xml:space="preserve">MARIQUIT </t>
  </si>
  <si>
    <t>JOANNA MARIVENE</t>
  </si>
  <si>
    <t>BITUIN</t>
  </si>
  <si>
    <t>TOLENTINO</t>
  </si>
  <si>
    <t>JOSHUA IAN</t>
  </si>
  <si>
    <t>SOLOMON</t>
  </si>
  <si>
    <t>VILLA</t>
  </si>
  <si>
    <t>CAMILLE</t>
  </si>
  <si>
    <t>MOSEQUERA</t>
  </si>
  <si>
    <t>PITTLAND ELEMENTARY SCHOOL</t>
  </si>
  <si>
    <t>BLK 2 LT 19, TERELAY SUBDIVISION, BRGY. PITTLAND, CITY OF CABUYAO, LAGUNA</t>
  </si>
  <si>
    <t>(049) 502-5324</t>
  </si>
  <si>
    <t>Maranan</t>
  </si>
  <si>
    <t>Virnalisa</t>
  </si>
  <si>
    <t>Flores</t>
  </si>
  <si>
    <t>Areno</t>
  </si>
  <si>
    <t>Richel</t>
  </si>
  <si>
    <t>Merca</t>
  </si>
  <si>
    <t>Baliuag</t>
  </si>
  <si>
    <t>Balauag</t>
  </si>
  <si>
    <t>Bartolome</t>
  </si>
  <si>
    <t>Mayzee</t>
  </si>
  <si>
    <t>Baltazar</t>
  </si>
  <si>
    <t>Noemi</t>
  </si>
  <si>
    <t>Muzares</t>
  </si>
  <si>
    <t>Burgos</t>
  </si>
  <si>
    <t>Erica Jane</t>
  </si>
  <si>
    <t>Amparo</t>
  </si>
  <si>
    <t>De Mesa</t>
  </si>
  <si>
    <t>Mishelle</t>
  </si>
  <si>
    <t>Rentosa</t>
  </si>
  <si>
    <t>Demafelis</t>
  </si>
  <si>
    <t>Ruth</t>
  </si>
  <si>
    <t>Dioso</t>
  </si>
  <si>
    <t>Garbolo</t>
  </si>
  <si>
    <t>Magnolia</t>
  </si>
  <si>
    <t>Abadilla</t>
  </si>
  <si>
    <t>Hermosa</t>
  </si>
  <si>
    <t>Jhamaica</t>
  </si>
  <si>
    <t>Bolibol</t>
  </si>
  <si>
    <t>Manalo</t>
  </si>
  <si>
    <t>Marion</t>
  </si>
  <si>
    <t>Siman</t>
  </si>
  <si>
    <t>Rambayon</t>
  </si>
  <si>
    <t>Armie Joy</t>
  </si>
  <si>
    <t>Getalaga</t>
  </si>
  <si>
    <t>Saclag</t>
  </si>
  <si>
    <t>Antonio</t>
  </si>
  <si>
    <t>Sandigan</t>
  </si>
  <si>
    <t>Lydia</t>
  </si>
  <si>
    <t>Molinar</t>
  </si>
  <si>
    <t>Santidad</t>
  </si>
  <si>
    <t>Judy Marie</t>
  </si>
  <si>
    <t>Villamiel</t>
  </si>
  <si>
    <t>Sayson</t>
  </si>
  <si>
    <t>Kristine Joy</t>
  </si>
  <si>
    <t>Ricario</t>
  </si>
  <si>
    <t>Tolentino</t>
  </si>
  <si>
    <t>Vanessa</t>
  </si>
  <si>
    <t>Soberano</t>
  </si>
  <si>
    <t>w/ U denture</t>
  </si>
  <si>
    <t>Villegas</t>
  </si>
  <si>
    <t>Neil</t>
  </si>
  <si>
    <t>Lanao</t>
  </si>
  <si>
    <t>DIEZMO ELEMENTARY SCHOOL</t>
  </si>
  <si>
    <t>BRGY. DIEZMO, CITY OF CABUYAO, LAGUNA</t>
  </si>
  <si>
    <t>SAMPAGA</t>
  </si>
  <si>
    <t>ROWENA</t>
  </si>
  <si>
    <t>Principal  I</t>
  </si>
  <si>
    <t>GARGANTA</t>
  </si>
  <si>
    <t>JOHN LOREN</t>
  </si>
  <si>
    <t>ANDRADE</t>
  </si>
  <si>
    <t>Administrative Officeer II</t>
  </si>
  <si>
    <t>ABRIGO</t>
  </si>
  <si>
    <t>JHIESCELLE MAE</t>
  </si>
  <si>
    <t>U denture</t>
  </si>
  <si>
    <t>ALJAS</t>
  </si>
  <si>
    <t>JULITA</t>
  </si>
  <si>
    <t>TOLEDO</t>
  </si>
  <si>
    <t>U Denture</t>
  </si>
  <si>
    <t>ANSAY</t>
  </si>
  <si>
    <t>RHONA</t>
  </si>
  <si>
    <t>CALUPIG</t>
  </si>
  <si>
    <t>ARGAO</t>
  </si>
  <si>
    <t>MARIE ABIGAIL</t>
  </si>
  <si>
    <t>CARDONA</t>
  </si>
  <si>
    <t>BESAVILLA</t>
  </si>
  <si>
    <t>JOSEPH</t>
  </si>
  <si>
    <t>BONA CRUZ</t>
  </si>
  <si>
    <t>BUMAGAT</t>
  </si>
  <si>
    <t>GRACE</t>
  </si>
  <si>
    <t>PASCUA</t>
  </si>
  <si>
    <t>RUSSEL</t>
  </si>
  <si>
    <t>LAUGUICO</t>
  </si>
  <si>
    <t>COMBOY</t>
  </si>
  <si>
    <t>DONABE</t>
  </si>
  <si>
    <t>CASILAO</t>
  </si>
  <si>
    <t>Teacher Il</t>
  </si>
  <si>
    <t>RACHEL</t>
  </si>
  <si>
    <t>ANIEL</t>
  </si>
  <si>
    <t>w u denture</t>
  </si>
  <si>
    <t>DELA PUNTA</t>
  </si>
  <si>
    <t>LUMBO</t>
  </si>
  <si>
    <t>AILEEN</t>
  </si>
  <si>
    <t>RECIDO</t>
  </si>
  <si>
    <t>CHARLENE</t>
  </si>
  <si>
    <t>RACINES</t>
  </si>
  <si>
    <t xml:space="preserve">Female </t>
  </si>
  <si>
    <t>ESPINEDA</t>
  </si>
  <si>
    <t>JOSEPHINE</t>
  </si>
  <si>
    <t>LOZANO</t>
  </si>
  <si>
    <t>GALOS</t>
  </si>
  <si>
    <t>ANNA MARIE</t>
  </si>
  <si>
    <t>NAREZ</t>
  </si>
  <si>
    <t>JC #11</t>
  </si>
  <si>
    <t>YZAVEL BEVERLY</t>
  </si>
  <si>
    <t>GELOS</t>
  </si>
  <si>
    <t>NOVIE MARIE</t>
  </si>
  <si>
    <t>VOLUNTATE</t>
  </si>
  <si>
    <t>GONZALES</t>
  </si>
  <si>
    <t>AYESA</t>
  </si>
  <si>
    <t>GUNOS</t>
  </si>
  <si>
    <t>JOIE</t>
  </si>
  <si>
    <t>LIZETTE</t>
  </si>
  <si>
    <t>CANTUBA</t>
  </si>
  <si>
    <t>MARLON</t>
  </si>
  <si>
    <t>CABRERA</t>
  </si>
  <si>
    <t>LLANTO</t>
  </si>
  <si>
    <t>SHERYLL</t>
  </si>
  <si>
    <t>ROMULO</t>
  </si>
  <si>
    <t>LINSANGAN</t>
  </si>
  <si>
    <t>GISELLE</t>
  </si>
  <si>
    <t>MAGPANTAY</t>
  </si>
  <si>
    <t>LORICA</t>
  </si>
  <si>
    <t>ROSLYN</t>
  </si>
  <si>
    <t>DAYAP</t>
  </si>
  <si>
    <t>MAGPUGAY</t>
  </si>
  <si>
    <t>JECIAH</t>
  </si>
  <si>
    <t>MINDONG</t>
  </si>
  <si>
    <t>ANGELI MARIE</t>
  </si>
  <si>
    <t>LORENZO</t>
  </si>
  <si>
    <t>NEBRIDA</t>
  </si>
  <si>
    <t>ANNABELLE</t>
  </si>
  <si>
    <t>OLIVAREZ</t>
  </si>
  <si>
    <t>ONDE</t>
  </si>
  <si>
    <t>LOVELY</t>
  </si>
  <si>
    <t>FABELLO</t>
  </si>
  <si>
    <t>ROXAS</t>
  </si>
  <si>
    <t>MARY JANE</t>
  </si>
  <si>
    <t>ARANZANSO</t>
  </si>
  <si>
    <t>RUBIA</t>
  </si>
  <si>
    <t>MELISSA</t>
  </si>
  <si>
    <t>AREVALO</t>
  </si>
  <si>
    <t>TANO</t>
  </si>
  <si>
    <t>ROWELLA MAE</t>
  </si>
  <si>
    <t>BARONG</t>
  </si>
  <si>
    <t>TORRECAMPO</t>
  </si>
  <si>
    <t>SHIRLEY FE</t>
  </si>
  <si>
    <t>RUBIO</t>
  </si>
  <si>
    <t>YPIL</t>
  </si>
  <si>
    <t>GERALYN</t>
  </si>
  <si>
    <t xml:space="preserve">ALGABRE </t>
  </si>
  <si>
    <t>CASILE ELEMENTARY SCHOOL</t>
  </si>
  <si>
    <r>
      <rPr>
        <rFont val="Bookman Old Style"/>
        <b/>
        <color theme="1"/>
        <sz val="13.0"/>
      </rPr>
      <t xml:space="preserve">PUROK 2 </t>
    </r>
    <r>
      <rPr>
        <rFont val="Calibri"/>
        <b/>
        <color theme="1"/>
        <sz val="13.0"/>
      </rPr>
      <t>B</t>
    </r>
    <r>
      <rPr>
        <rFont val="Bookman Old Style"/>
        <b/>
        <color theme="1"/>
        <sz val="13.0"/>
      </rPr>
      <t>RGY. CASILE CITY OF CA</t>
    </r>
    <r>
      <rPr>
        <rFont val="Calibri"/>
        <b/>
        <color theme="1"/>
        <sz val="13.0"/>
      </rPr>
      <t>b</t>
    </r>
    <r>
      <rPr>
        <rFont val="Bookman Old Style"/>
        <b/>
        <color theme="1"/>
        <sz val="13.0"/>
      </rPr>
      <t>UYAO LAGUNA</t>
    </r>
  </si>
  <si>
    <t>LUMBRES</t>
  </si>
  <si>
    <t>ROYDA</t>
  </si>
  <si>
    <t>CORPUZ</t>
  </si>
  <si>
    <t>OIC-PRINCIPAL, HT III</t>
  </si>
  <si>
    <t>09543017557</t>
  </si>
  <si>
    <t>LAILA</t>
  </si>
  <si>
    <t>CARAAN</t>
  </si>
  <si>
    <t>09159436085</t>
  </si>
  <si>
    <t>ROSITA</t>
  </si>
  <si>
    <t>ANTONINA</t>
  </si>
  <si>
    <t>09452693748</t>
  </si>
  <si>
    <t>MUSA</t>
  </si>
  <si>
    <t>RUBEN JR.</t>
  </si>
  <si>
    <t>ROMUALDO</t>
  </si>
  <si>
    <t>09101852612</t>
  </si>
  <si>
    <t>FLORDELIZA</t>
  </si>
  <si>
    <t>BALON</t>
  </si>
  <si>
    <t>09351705141</t>
  </si>
  <si>
    <t>KAREN</t>
  </si>
  <si>
    <t>09084560562</t>
  </si>
  <si>
    <t>BADILLO</t>
  </si>
  <si>
    <t>ANGELICA JOY</t>
  </si>
  <si>
    <t>MAIGUE</t>
  </si>
  <si>
    <t>09209811827</t>
  </si>
  <si>
    <t>REGINIO</t>
  </si>
  <si>
    <t>MARLONA</t>
  </si>
  <si>
    <t>TII</t>
  </si>
  <si>
    <t>09568318509</t>
  </si>
  <si>
    <t>11-22 FPD</t>
  </si>
  <si>
    <t>CASUMPONG</t>
  </si>
  <si>
    <t>MARJON</t>
  </si>
  <si>
    <t>09634334248</t>
  </si>
  <si>
    <t>SARA</t>
  </si>
  <si>
    <t>GUBAN</t>
  </si>
  <si>
    <t>09603127003</t>
  </si>
  <si>
    <t>ABAY</t>
  </si>
  <si>
    <t>DACULLO</t>
  </si>
  <si>
    <t>09652834599</t>
  </si>
  <si>
    <t>DE SAGUN</t>
  </si>
  <si>
    <t>MARY GRACE</t>
  </si>
  <si>
    <t>09654592136</t>
  </si>
  <si>
    <t>LACDAO</t>
  </si>
  <si>
    <t xml:space="preserve">LIEZL </t>
  </si>
  <si>
    <t>MONTALES</t>
  </si>
  <si>
    <t>09494886539</t>
  </si>
  <si>
    <t>REGINE</t>
  </si>
  <si>
    <t>LISTANA</t>
  </si>
  <si>
    <t>09156449803</t>
  </si>
  <si>
    <t>DECANO</t>
  </si>
  <si>
    <t>CONDA</t>
  </si>
  <si>
    <t>09183520114</t>
  </si>
  <si>
    <t>GUINTING ELEMENTARY SCHOOL</t>
  </si>
  <si>
    <r>
      <rPr>
        <rFont val="Bookman Old Style"/>
        <b/>
        <color theme="1"/>
        <sz val="13.0"/>
      </rPr>
      <t xml:space="preserve">SITIO GUINTING </t>
    </r>
    <r>
      <rPr>
        <rFont val="Calibri"/>
        <b/>
        <color theme="1"/>
        <sz val="13.0"/>
      </rPr>
      <t>B</t>
    </r>
    <r>
      <rPr>
        <rFont val="Bookman Old Style"/>
        <b/>
        <color theme="1"/>
        <sz val="13.0"/>
      </rPr>
      <t>RGY. CASILE CITY OF CA</t>
    </r>
    <r>
      <rPr>
        <rFont val="Calibri"/>
        <b/>
        <color theme="1"/>
        <sz val="13.0"/>
      </rPr>
      <t>b</t>
    </r>
    <r>
      <rPr>
        <rFont val="Bookman Old Style"/>
        <b/>
        <color theme="1"/>
        <sz val="13.0"/>
      </rPr>
      <t>UYAO LAGUNA</t>
    </r>
  </si>
  <si>
    <t>JOSELITO</t>
  </si>
  <si>
    <t>HT 2</t>
  </si>
  <si>
    <t>0967-370-6565</t>
  </si>
  <si>
    <t>ALLYSSA JEANNE</t>
  </si>
  <si>
    <t>BARLETA</t>
  </si>
  <si>
    <t>0948-443-4574</t>
  </si>
  <si>
    <t>BOLANO</t>
  </si>
  <si>
    <t>RUBELYN</t>
  </si>
  <si>
    <t>BEQUIN</t>
  </si>
  <si>
    <t>0938-522-7898</t>
  </si>
  <si>
    <t>HANNAH KIMBERLY</t>
  </si>
  <si>
    <t>TAMASHIRO</t>
  </si>
  <si>
    <t>0948-173-3247</t>
  </si>
  <si>
    <t>NACIONAL</t>
  </si>
  <si>
    <t>ESCAÑELA</t>
  </si>
  <si>
    <t>0977-358-6814</t>
  </si>
  <si>
    <t>w/ RPD</t>
  </si>
  <si>
    <t>PADUL</t>
  </si>
  <si>
    <t>ELAIZA</t>
  </si>
  <si>
    <t>PAGAD</t>
  </si>
  <si>
    <t>0951-367-3931</t>
  </si>
  <si>
    <t>REVIDAD</t>
  </si>
  <si>
    <t>AMILYN</t>
  </si>
  <si>
    <t>BULALACAO</t>
  </si>
  <si>
    <t>0994-797-7045</t>
  </si>
  <si>
    <t>NIEVES</t>
  </si>
  <si>
    <t>0915-752-6653</t>
  </si>
  <si>
    <t>U/L RPD</t>
  </si>
  <si>
    <t>MA. CRISTINA</t>
  </si>
  <si>
    <t>CORBELLA</t>
  </si>
  <si>
    <t>0975-438-1014</t>
  </si>
  <si>
    <t>BERCASIO</t>
  </si>
  <si>
    <t>MARK</t>
  </si>
  <si>
    <t>AO 2</t>
  </si>
  <si>
    <t>0968-254-7010</t>
  </si>
  <si>
    <t>GULOD ELEMENTARY SCHOOL</t>
  </si>
  <si>
    <t>PUROK 3, BRGY. GULOD, CITY OF CABUYAO, LAGUNA</t>
  </si>
  <si>
    <t>(049) 508-5967</t>
  </si>
  <si>
    <t>RATON</t>
  </si>
  <si>
    <t>ALONA</t>
  </si>
  <si>
    <t>MAITIM</t>
  </si>
  <si>
    <t>ABULOC</t>
  </si>
  <si>
    <t>BETH</t>
  </si>
  <si>
    <t>PANTONIA</t>
  </si>
  <si>
    <t>ARELLANO</t>
  </si>
  <si>
    <t>DAHLIA</t>
  </si>
  <si>
    <t>LEGASPI</t>
  </si>
  <si>
    <t>BACINILLO</t>
  </si>
  <si>
    <t>JOHN VINCENT</t>
  </si>
  <si>
    <t>BALAG</t>
  </si>
  <si>
    <t>MAGALLANES</t>
  </si>
  <si>
    <t>MIC BRYAN</t>
  </si>
  <si>
    <t>BATARIO</t>
  </si>
  <si>
    <t>SUSAN</t>
  </si>
  <si>
    <t>DALISAY</t>
  </si>
  <si>
    <t>JANETH</t>
  </si>
  <si>
    <t>CABRILLOS</t>
  </si>
  <si>
    <t>MORADOS</t>
  </si>
  <si>
    <t>CADELIÑA</t>
  </si>
  <si>
    <t>JO-NALYN</t>
  </si>
  <si>
    <t>BALA</t>
  </si>
  <si>
    <t>CAPITAL</t>
  </si>
  <si>
    <t>RENEELYN JOYCE</t>
  </si>
  <si>
    <t>HATULAN</t>
  </si>
  <si>
    <t>CAPUNPON</t>
  </si>
  <si>
    <t xml:space="preserve">ROSALYN </t>
  </si>
  <si>
    <t>PULIDO</t>
  </si>
  <si>
    <t>CATIGHOD</t>
  </si>
  <si>
    <t>LYNIE</t>
  </si>
  <si>
    <t>MAGSALAY</t>
  </si>
  <si>
    <t>Diastema 11 21</t>
  </si>
  <si>
    <t>ELVIRA</t>
  </si>
  <si>
    <t>LAPUZ</t>
  </si>
  <si>
    <t>CERBOLLES</t>
  </si>
  <si>
    <t>LEA</t>
  </si>
  <si>
    <t>DEDICATORIA</t>
  </si>
  <si>
    <t>CUATE</t>
  </si>
  <si>
    <t>MYLA</t>
  </si>
  <si>
    <t>SUSPEÑA</t>
  </si>
  <si>
    <t>DAYO</t>
  </si>
  <si>
    <t>JEONILO</t>
  </si>
  <si>
    <t>CORSINO</t>
  </si>
  <si>
    <t>JAVELOZA</t>
  </si>
  <si>
    <t>FABITO</t>
  </si>
  <si>
    <t>GEMMA</t>
  </si>
  <si>
    <t>FERRANCO</t>
  </si>
  <si>
    <t>VILORIA</t>
  </si>
  <si>
    <t>DITAS</t>
  </si>
  <si>
    <t>MAQUIMOT</t>
  </si>
  <si>
    <t xml:space="preserve">GALANG </t>
  </si>
  <si>
    <t>JOANNA</t>
  </si>
  <si>
    <t xml:space="preserve">GARCIA </t>
  </si>
  <si>
    <t>DULCE CORAZON</t>
  </si>
  <si>
    <t>OPIÑA</t>
  </si>
  <si>
    <t>GUERRERO</t>
  </si>
  <si>
    <t>RAUL</t>
  </si>
  <si>
    <t>BANUELOS</t>
  </si>
  <si>
    <t>ANNA JEAN</t>
  </si>
  <si>
    <t>IMPERIAL</t>
  </si>
  <si>
    <t>ADELINE</t>
  </si>
  <si>
    <t>ALMOJANO</t>
  </si>
  <si>
    <t>JUANITES</t>
  </si>
  <si>
    <t>ASTRED</t>
  </si>
  <si>
    <t>OFALLA</t>
  </si>
  <si>
    <t>LARIOZA</t>
  </si>
  <si>
    <t>LEA ANN</t>
  </si>
  <si>
    <t>BOCALA</t>
  </si>
  <si>
    <t>MA ELENA</t>
  </si>
  <si>
    <t>BATALON</t>
  </si>
  <si>
    <t>VELASQUEZ</t>
  </si>
  <si>
    <t>ORTHO U</t>
  </si>
  <si>
    <t>LUSTRE</t>
  </si>
  <si>
    <t>MENACIO</t>
  </si>
  <si>
    <t>SCHENLEY</t>
  </si>
  <si>
    <t>CALLEJO</t>
  </si>
  <si>
    <t>MARIÑAS</t>
  </si>
  <si>
    <t>CHRISTINE HAZEL</t>
  </si>
  <si>
    <t>BATALLONES</t>
  </si>
  <si>
    <t>MARUDO</t>
  </si>
  <si>
    <t>FRANCES CAMILLE</t>
  </si>
  <si>
    <t>RPDL RET/U</t>
  </si>
  <si>
    <t>MEDINA</t>
  </si>
  <si>
    <t>GALLOGO</t>
  </si>
  <si>
    <t>MERCADO</t>
  </si>
  <si>
    <t>QUILA</t>
  </si>
  <si>
    <t>OLIVERIA</t>
  </si>
  <si>
    <t>MILDRED</t>
  </si>
  <si>
    <t>LACERNA</t>
  </si>
  <si>
    <t>PAREDES</t>
  </si>
  <si>
    <t>JAYETH</t>
  </si>
  <si>
    <t>LABADAN</t>
  </si>
  <si>
    <t>PRIETO</t>
  </si>
  <si>
    <t>NENITA</t>
  </si>
  <si>
    <t>RACELIS</t>
  </si>
  <si>
    <t>SHIELA</t>
  </si>
  <si>
    <t>SALVATIERRA</t>
  </si>
  <si>
    <t>SABINO</t>
  </si>
  <si>
    <t>GABUN</t>
  </si>
  <si>
    <t>ARNIE</t>
  </si>
  <si>
    <t>TARNATE</t>
  </si>
  <si>
    <t>IMELDA</t>
  </si>
  <si>
    <t>ADAN</t>
  </si>
  <si>
    <t>CDU RPDL</t>
  </si>
  <si>
    <t>TARRONAS</t>
  </si>
  <si>
    <t>VENUS</t>
  </si>
  <si>
    <t>GIMUTAO</t>
  </si>
  <si>
    <t>RAYMOND</t>
  </si>
  <si>
    <t>BACURIN</t>
  </si>
  <si>
    <t>ADA I</t>
  </si>
  <si>
    <t>MAMATID ELEMENTARY SCHOOL</t>
  </si>
  <si>
    <t>BRGY. MAMATID, CITY OF CABUYAO, LAGUNA</t>
  </si>
  <si>
    <t>(049)576 5245</t>
  </si>
  <si>
    <t>CERDA</t>
  </si>
  <si>
    <t>BATAC</t>
  </si>
  <si>
    <t>Principal III</t>
  </si>
  <si>
    <t>w/ extra r premolar</t>
  </si>
  <si>
    <t>ABAIRO</t>
  </si>
  <si>
    <t>SUZETTE</t>
  </si>
  <si>
    <t>ESCOBAR</t>
  </si>
  <si>
    <t>ABELLAR</t>
  </si>
  <si>
    <t>JONALIZA</t>
  </si>
  <si>
    <t>DIOLA</t>
  </si>
  <si>
    <t>BORCELIS</t>
  </si>
  <si>
    <t>ACHA</t>
  </si>
  <si>
    <t>ELYSSA JERKINS</t>
  </si>
  <si>
    <t>LAGRIMAS</t>
  </si>
  <si>
    <t>09948696386</t>
  </si>
  <si>
    <t>ANGELA</t>
  </si>
  <si>
    <t>GERONIMO</t>
  </si>
  <si>
    <t>ALFARO</t>
  </si>
  <si>
    <t>ROSE JOY</t>
  </si>
  <si>
    <t>PACILONA</t>
  </si>
  <si>
    <t>ALGOZO</t>
  </si>
  <si>
    <t>RENA JANE</t>
  </si>
  <si>
    <t>CUERDO</t>
  </si>
  <si>
    <t>ALIDO</t>
  </si>
  <si>
    <t>IVY</t>
  </si>
  <si>
    <t>GALIGAO</t>
  </si>
  <si>
    <t>ALMOCERA</t>
  </si>
  <si>
    <t>MA. IMELDA</t>
  </si>
  <si>
    <t>ISLA</t>
  </si>
  <si>
    <t>ALORO</t>
  </si>
  <si>
    <t>JAMES</t>
  </si>
  <si>
    <t>TORIANO</t>
  </si>
  <si>
    <t>ANDES</t>
  </si>
  <si>
    <t>APAO</t>
  </si>
  <si>
    <t>CARISSA MARIE</t>
  </si>
  <si>
    <t>CABACTULAN</t>
  </si>
  <si>
    <t>ARAGON</t>
  </si>
  <si>
    <t>AVECILLA</t>
  </si>
  <si>
    <t>09605314294</t>
  </si>
  <si>
    <t>ASAY</t>
  </si>
  <si>
    <t>NOVELITA</t>
  </si>
  <si>
    <t>RASE</t>
  </si>
  <si>
    <t>22 peg</t>
  </si>
  <si>
    <t>BACULA</t>
  </si>
  <si>
    <t>CHRISTIAN</t>
  </si>
  <si>
    <t>TOBIO</t>
  </si>
  <si>
    <t>BACUNOT</t>
  </si>
  <si>
    <t>FELISA</t>
  </si>
  <si>
    <t>AGATEP</t>
  </si>
  <si>
    <t>BALISACAN</t>
  </si>
  <si>
    <t>JENNY VI</t>
  </si>
  <si>
    <t>ALMEDA</t>
  </si>
  <si>
    <t>BARTOLAY</t>
  </si>
  <si>
    <t>GINALYN</t>
  </si>
  <si>
    <t>ORBISTA</t>
  </si>
  <si>
    <t>BASA</t>
  </si>
  <si>
    <t>BETTY</t>
  </si>
  <si>
    <t>DACILLO</t>
  </si>
  <si>
    <t>BATOLINAO</t>
  </si>
  <si>
    <t>NORMA</t>
  </si>
  <si>
    <t>JOARTH</t>
  </si>
  <si>
    <t>AVENO</t>
  </si>
  <si>
    <t>BAYAWA</t>
  </si>
  <si>
    <t>MACABIHAG</t>
  </si>
  <si>
    <t>BELASA</t>
  </si>
  <si>
    <t>MHARISA</t>
  </si>
  <si>
    <t>MAPERAQUE</t>
  </si>
  <si>
    <t>BENAID</t>
  </si>
  <si>
    <t>JACQUILINE</t>
  </si>
  <si>
    <t>AZAÑES</t>
  </si>
  <si>
    <t>BETONIO</t>
  </si>
  <si>
    <t>SHERLINA</t>
  </si>
  <si>
    <t>CABSAG</t>
  </si>
  <si>
    <t>09163050814</t>
  </si>
  <si>
    <t>BISCOCHO</t>
  </si>
  <si>
    <t>SARRAH MAY</t>
  </si>
  <si>
    <t>SONICIO</t>
  </si>
  <si>
    <t>BRON</t>
  </si>
  <si>
    <t>MELINDA</t>
  </si>
  <si>
    <t>CORRAL</t>
  </si>
  <si>
    <t>BUMOHYA</t>
  </si>
  <si>
    <t>PINAY-AN</t>
  </si>
  <si>
    <t>CABAGYO</t>
  </si>
  <si>
    <t>TANDADO</t>
  </si>
  <si>
    <t>CABINIAN</t>
  </si>
  <si>
    <t>USTARES</t>
  </si>
  <si>
    <t>CACERES</t>
  </si>
  <si>
    <t>DONNA MARIE</t>
  </si>
  <si>
    <t>CALUCIN</t>
  </si>
  <si>
    <t>JOHN MARC</t>
  </si>
  <si>
    <t>MANAOG</t>
  </si>
  <si>
    <t>CAMACHO</t>
  </si>
  <si>
    <t>GINGKIE</t>
  </si>
  <si>
    <t>CREDO</t>
  </si>
  <si>
    <t>CARDOZA</t>
  </si>
  <si>
    <t>MAMALAYAN</t>
  </si>
  <si>
    <t>CATEMBUNG</t>
  </si>
  <si>
    <t>ANGELICA MAE</t>
  </si>
  <si>
    <t>UBIÑA</t>
  </si>
  <si>
    <t>CELERIO</t>
  </si>
  <si>
    <t>CHERRY ANN</t>
  </si>
  <si>
    <t>ORTHO L</t>
  </si>
  <si>
    <t>CEMANES</t>
  </si>
  <si>
    <t>JOENIL</t>
  </si>
  <si>
    <t>NUEZ</t>
  </si>
  <si>
    <t>CHOZAS</t>
  </si>
  <si>
    <t>JULES IVAN</t>
  </si>
  <si>
    <t>ALVERO</t>
  </si>
  <si>
    <t>CLEOFE</t>
  </si>
  <si>
    <t xml:space="preserve">RAQUEL </t>
  </si>
  <si>
    <t xml:space="preserve">MARBELLA </t>
  </si>
  <si>
    <t>ANN SHIERLY</t>
  </si>
  <si>
    <t>MANA-AY</t>
  </si>
  <si>
    <t xml:space="preserve">CORDON </t>
  </si>
  <si>
    <t>RONALD</t>
  </si>
  <si>
    <t>DE OCAMPO</t>
  </si>
  <si>
    <t>CORONADO</t>
  </si>
  <si>
    <t>KRHYSTINE</t>
  </si>
  <si>
    <t>CANGCO</t>
  </si>
  <si>
    <t>FLOR ANNE</t>
  </si>
  <si>
    <t>FRANCISCO</t>
  </si>
  <si>
    <t>CUNANAN</t>
  </si>
  <si>
    <t>DOMINGO</t>
  </si>
  <si>
    <t>DAÑO</t>
  </si>
  <si>
    <t>LYN</t>
  </si>
  <si>
    <t>GOMBA</t>
  </si>
  <si>
    <t>23,24</t>
  </si>
  <si>
    <t>DATU</t>
  </si>
  <si>
    <t>CHUA</t>
  </si>
  <si>
    <t>DELLORO</t>
  </si>
  <si>
    <t>SAPINOSO</t>
  </si>
  <si>
    <t xml:space="preserve">DE LUNA </t>
  </si>
  <si>
    <t>KRIZZA</t>
  </si>
  <si>
    <t xml:space="preserve">DE MESA </t>
  </si>
  <si>
    <t>LUISA</t>
  </si>
  <si>
    <t>MADULA</t>
  </si>
  <si>
    <t>LIEZEL</t>
  </si>
  <si>
    <t>DELA PAZ</t>
  </si>
  <si>
    <t>VIVIAN</t>
  </si>
  <si>
    <t>SALANGAD</t>
  </si>
  <si>
    <t>DE LA PUZ</t>
  </si>
  <si>
    <t>ERPE</t>
  </si>
  <si>
    <t>DELFINADO</t>
  </si>
  <si>
    <t>JERRYLYN</t>
  </si>
  <si>
    <t>GAMBOA</t>
  </si>
  <si>
    <t>DE LOS REYES</t>
  </si>
  <si>
    <t>ARNEL</t>
  </si>
  <si>
    <t>JAVELOSA</t>
  </si>
  <si>
    <t>ELENOR</t>
  </si>
  <si>
    <t>09957869560</t>
  </si>
  <si>
    <t>ALLAN JOSHUA</t>
  </si>
  <si>
    <t>PAULI</t>
  </si>
  <si>
    <t>DICHOSO</t>
  </si>
  <si>
    <t>MA. DAISY</t>
  </si>
  <si>
    <t>RODIS</t>
  </si>
  <si>
    <t>ECASA</t>
  </si>
  <si>
    <t>LYRA ADORA</t>
  </si>
  <si>
    <t>HIZARSA</t>
  </si>
  <si>
    <t xml:space="preserve">ECOY </t>
  </si>
  <si>
    <t>MARIAN JOY</t>
  </si>
  <si>
    <t>BAYLOSIS</t>
  </si>
  <si>
    <t>ELQUINTO</t>
  </si>
  <si>
    <t>MARS</t>
  </si>
  <si>
    <t>ENRIGUEZ</t>
  </si>
  <si>
    <t>EMBUDO</t>
  </si>
  <si>
    <t>CHERRY MAY</t>
  </si>
  <si>
    <t>JOVELO</t>
  </si>
  <si>
    <t>ERISPE</t>
  </si>
  <si>
    <t>DOJETA</t>
  </si>
  <si>
    <t>ESPINIDA</t>
  </si>
  <si>
    <t>ANALYN</t>
  </si>
  <si>
    <t xml:space="preserve"> jc 44,43 31,32</t>
  </si>
  <si>
    <t>ESTIVA</t>
  </si>
  <si>
    <t>YANSON</t>
  </si>
  <si>
    <t>FIACO</t>
  </si>
  <si>
    <t>MARINETTE</t>
  </si>
  <si>
    <t>BALIUAG</t>
  </si>
  <si>
    <t>GACUS</t>
  </si>
  <si>
    <t>PRECIOSA</t>
  </si>
  <si>
    <t>GAELA</t>
  </si>
  <si>
    <t>JERNNIFER</t>
  </si>
  <si>
    <t>CELY</t>
  </si>
  <si>
    <t>GALVEZ</t>
  </si>
  <si>
    <t>SHERLYN</t>
  </si>
  <si>
    <t>ISLETA</t>
  </si>
  <si>
    <t>GARAN</t>
  </si>
  <si>
    <t>MARY-JOY</t>
  </si>
  <si>
    <t>GAYGAY</t>
  </si>
  <si>
    <t>RAYNETTE</t>
  </si>
  <si>
    <t>CARANDANG</t>
  </si>
  <si>
    <t>JC/RCT 11</t>
  </si>
  <si>
    <t>GAYUNAN</t>
  </si>
  <si>
    <t>CHIAO</t>
  </si>
  <si>
    <t>GRAJO</t>
  </si>
  <si>
    <t>JEANETTE</t>
  </si>
  <si>
    <t>MIÑA</t>
  </si>
  <si>
    <t>CARMELA</t>
  </si>
  <si>
    <t>LUNA</t>
  </si>
  <si>
    <t>MAUREEN DEMPEL</t>
  </si>
  <si>
    <t>CEREZO</t>
  </si>
  <si>
    <t>GREGORIO</t>
  </si>
  <si>
    <t>AÑONUEVO</t>
  </si>
  <si>
    <t>MERIE JOICE</t>
  </si>
  <si>
    <t xml:space="preserve">RAVELAS </t>
  </si>
  <si>
    <t>JORILLO</t>
  </si>
  <si>
    <t>SHARON</t>
  </si>
  <si>
    <t>MARAVILLAS</t>
  </si>
  <si>
    <t>JUNIA</t>
  </si>
  <si>
    <t>REBECCA</t>
  </si>
  <si>
    <t>PALACIO</t>
  </si>
  <si>
    <t>KATIGBAK</t>
  </si>
  <si>
    <t>CRISITNE LU</t>
  </si>
  <si>
    <t xml:space="preserve">LABANG </t>
  </si>
  <si>
    <t>JOVELYN</t>
  </si>
  <si>
    <t>PASCUAL</t>
  </si>
  <si>
    <t>LACAP</t>
  </si>
  <si>
    <t>MYRNA</t>
  </si>
  <si>
    <t>LANGAS</t>
  </si>
  <si>
    <t>FERRER</t>
  </si>
  <si>
    <t>LAPAZ</t>
  </si>
  <si>
    <t>MARY ANNE</t>
  </si>
  <si>
    <t>ABAD</t>
  </si>
  <si>
    <t>09684992626</t>
  </si>
  <si>
    <t>LAWAS</t>
  </si>
  <si>
    <t>LICAYU</t>
  </si>
  <si>
    <t>RICHARD</t>
  </si>
  <si>
    <t>BULUSAN</t>
  </si>
  <si>
    <t>ROSANNA</t>
  </si>
  <si>
    <t>LORIO</t>
  </si>
  <si>
    <t>HAYDE</t>
  </si>
  <si>
    <t>JOBELLE</t>
  </si>
  <si>
    <t>CABELLO</t>
  </si>
  <si>
    <t xml:space="preserve">LUNA </t>
  </si>
  <si>
    <t>MONSERRAT</t>
  </si>
  <si>
    <t>SUICO</t>
  </si>
  <si>
    <t>MABALAY</t>
  </si>
  <si>
    <t>LORENA</t>
  </si>
  <si>
    <t>FAJARDO</t>
  </si>
  <si>
    <t>MA. CHARLYN</t>
  </si>
  <si>
    <t>SANTILLAN</t>
  </si>
  <si>
    <t>MAGARARU</t>
  </si>
  <si>
    <t>DONABEL</t>
  </si>
  <si>
    <t>MAGO</t>
  </si>
  <si>
    <t>`</t>
  </si>
  <si>
    <t>MALABANAN</t>
  </si>
  <si>
    <t>MARILET</t>
  </si>
  <si>
    <t>MANCENIDO</t>
  </si>
  <si>
    <t>MALACAS</t>
  </si>
  <si>
    <t>FEDIS MARIE</t>
  </si>
  <si>
    <t>Supernumerary Premolar 4th Quadrant</t>
  </si>
  <si>
    <t xml:space="preserve">MALICAY </t>
  </si>
  <si>
    <t>NORIEL</t>
  </si>
  <si>
    <t>SALAC</t>
  </si>
  <si>
    <t>MALITIC</t>
  </si>
  <si>
    <t>LEIRA</t>
  </si>
  <si>
    <t>PESTOLANTE</t>
  </si>
  <si>
    <t>MAMARIL</t>
  </si>
  <si>
    <t>PEDRITO</t>
  </si>
  <si>
    <t>JUADINES</t>
  </si>
  <si>
    <t>MANLANGIT</t>
  </si>
  <si>
    <t>DONNA</t>
  </si>
  <si>
    <t>MARALLI</t>
  </si>
  <si>
    <t>TITO</t>
  </si>
  <si>
    <t>ARIOLA</t>
  </si>
  <si>
    <t>MATEO</t>
  </si>
  <si>
    <t>ALLEN</t>
  </si>
  <si>
    <t>EVITA</t>
  </si>
  <si>
    <t>HYDEE</t>
  </si>
  <si>
    <t>PRESADO</t>
  </si>
  <si>
    <t>MIRANDA</t>
  </si>
  <si>
    <t>ROLITA</t>
  </si>
  <si>
    <t>CUBIO</t>
  </si>
  <si>
    <t>MONTIANO</t>
  </si>
  <si>
    <t>JAYPEE</t>
  </si>
  <si>
    <t>ROMASANTA</t>
  </si>
  <si>
    <t>NAPIZA</t>
  </si>
  <si>
    <t>MARICAR</t>
  </si>
  <si>
    <t>BENHUR</t>
  </si>
  <si>
    <t>PRESAS</t>
  </si>
  <si>
    <t>NIPAS</t>
  </si>
  <si>
    <t>JE JE</t>
  </si>
  <si>
    <t>PABAYOS</t>
  </si>
  <si>
    <t>NOVA</t>
  </si>
  <si>
    <t>GONZALVO</t>
  </si>
  <si>
    <t>NOVERO</t>
  </si>
  <si>
    <t>OBSEQUIO</t>
  </si>
  <si>
    <t>SORAIDA</t>
  </si>
  <si>
    <t>OGAYA</t>
  </si>
  <si>
    <t>JOCYLINE</t>
  </si>
  <si>
    <t>EGOT</t>
  </si>
  <si>
    <t>ORBON JR.</t>
  </si>
  <si>
    <t>EDILBERTO</t>
  </si>
  <si>
    <t>ORIENDO</t>
  </si>
  <si>
    <t>FELJAN ROBERT</t>
  </si>
  <si>
    <t>BARTOLOME</t>
  </si>
  <si>
    <t>PANTALEON</t>
  </si>
  <si>
    <t>MA. CHRISTINE</t>
  </si>
  <si>
    <t>ESPLANA</t>
  </si>
  <si>
    <t>PARADO</t>
  </si>
  <si>
    <t>KARL JYASCENT</t>
  </si>
  <si>
    <t>AZAGRA</t>
  </si>
  <si>
    <t>PARAGUA</t>
  </si>
  <si>
    <t>JOGILITO</t>
  </si>
  <si>
    <t>PAZZIUAGAN</t>
  </si>
  <si>
    <t>VICKY</t>
  </si>
  <si>
    <t>PALATTAO</t>
  </si>
  <si>
    <t>PEQUERAS</t>
  </si>
  <si>
    <t>MARY ANTOINETTE</t>
  </si>
  <si>
    <t>CARPIO</t>
  </si>
  <si>
    <t>PINEDA</t>
  </si>
  <si>
    <t>JERRYDITH</t>
  </si>
  <si>
    <t>REA</t>
  </si>
  <si>
    <t>LANNIE</t>
  </si>
  <si>
    <t>QUIBAN</t>
  </si>
  <si>
    <t>WILFREDO JR.</t>
  </si>
  <si>
    <t>LEE</t>
  </si>
  <si>
    <t>09124643111</t>
  </si>
  <si>
    <t>QUIBRAL</t>
  </si>
  <si>
    <t>FRANSICO</t>
  </si>
  <si>
    <t>REGASPI</t>
  </si>
  <si>
    <t>ISABEL</t>
  </si>
  <si>
    <t>SABIO</t>
  </si>
  <si>
    <t>MERIAN</t>
  </si>
  <si>
    <t>CANTOR</t>
  </si>
  <si>
    <t>RICAFRANCA</t>
  </si>
  <si>
    <t>PERLITA</t>
  </si>
  <si>
    <t>RAZA</t>
  </si>
  <si>
    <t>RIEZA</t>
  </si>
  <si>
    <t>JAEL</t>
  </si>
  <si>
    <t>ENOVA</t>
  </si>
  <si>
    <t>RIGILYN</t>
  </si>
  <si>
    <t>MAPIGA</t>
  </si>
  <si>
    <t>ROQUE</t>
  </si>
  <si>
    <t>ROCHELLE</t>
  </si>
  <si>
    <t>MONTES</t>
  </si>
  <si>
    <t>ROSALES</t>
  </si>
  <si>
    <t>DE LUNA</t>
  </si>
  <si>
    <t>SALAZAR</t>
  </si>
  <si>
    <t>LORILEN</t>
  </si>
  <si>
    <t>SALON</t>
  </si>
  <si>
    <t>SANDRA</t>
  </si>
  <si>
    <t>TUMBADO</t>
  </si>
  <si>
    <t>SAMIANO</t>
  </si>
  <si>
    <t>GERALDINE</t>
  </si>
  <si>
    <t>MONTEROZO</t>
  </si>
  <si>
    <t>SAMOTIA</t>
  </si>
  <si>
    <t>NOVELLE</t>
  </si>
  <si>
    <t>GRANADA</t>
  </si>
  <si>
    <t>SIBUGAN</t>
  </si>
  <si>
    <t>MA. FE</t>
  </si>
  <si>
    <t>CERNECHEZ</t>
  </si>
  <si>
    <t>SILONG</t>
  </si>
  <si>
    <t>LILIBETH</t>
  </si>
  <si>
    <t>LICUANAN</t>
  </si>
  <si>
    <t>TAMBOBONG</t>
  </si>
  <si>
    <t>AILYN</t>
  </si>
  <si>
    <t>BENITEZ</t>
  </si>
  <si>
    <t>(0935) 873 9332</t>
  </si>
  <si>
    <t>TRABALLO</t>
  </si>
  <si>
    <t>ANNIELO</t>
  </si>
  <si>
    <t>RONNIE</t>
  </si>
  <si>
    <t>TENORIA</t>
  </si>
  <si>
    <t>ULGASAN</t>
  </si>
  <si>
    <t>JINGIE</t>
  </si>
  <si>
    <t>VERDADERO</t>
  </si>
  <si>
    <t>ROD</t>
  </si>
  <si>
    <t>B</t>
  </si>
  <si>
    <t>VILLARAZA</t>
  </si>
  <si>
    <t>ANDREA</t>
  </si>
  <si>
    <t>CANCISIO</t>
  </si>
  <si>
    <t>09434668879</t>
  </si>
  <si>
    <t>MANANQUIL</t>
  </si>
  <si>
    <t>GENECIRAN</t>
  </si>
  <si>
    <t>Admin Aide I</t>
  </si>
  <si>
    <t>QUERUBIN</t>
  </si>
  <si>
    <t>ANNA LIZA</t>
  </si>
  <si>
    <t>ARGAMOSA</t>
  </si>
  <si>
    <t>O.</t>
  </si>
  <si>
    <t>NATIONAL</t>
  </si>
  <si>
    <t>MARINIG SOUTH ELEMENTARY SCHOOL</t>
  </si>
  <si>
    <t>Purok 5, Brgy. Marinig, City of Cabuyao, Laguna</t>
  </si>
  <si>
    <t>09512497749/09532144745</t>
  </si>
  <si>
    <t>Caparas</t>
  </si>
  <si>
    <t>Melinda</t>
  </si>
  <si>
    <t>Nevalga</t>
  </si>
  <si>
    <t>HT III</t>
  </si>
  <si>
    <t>0922-692-7303</t>
  </si>
  <si>
    <t>Bermillo</t>
  </si>
  <si>
    <t>Susana</t>
  </si>
  <si>
    <t>Pabingwit</t>
  </si>
  <si>
    <t>0915-780-1596</t>
  </si>
  <si>
    <t>Sanchez</t>
  </si>
  <si>
    <t>Princess Glorie</t>
  </si>
  <si>
    <t>0960-531-4040</t>
  </si>
  <si>
    <t>VILLAMIN</t>
  </si>
  <si>
    <t>PAGADUAN</t>
  </si>
  <si>
    <t>Cabato</t>
  </si>
  <si>
    <t>Robles</t>
  </si>
  <si>
    <t>Yumena</t>
  </si>
  <si>
    <t>Juan Mario</t>
  </si>
  <si>
    <t>Pastolero</t>
  </si>
  <si>
    <t xml:space="preserve">                                                                                                                                                                                                   </t>
  </si>
  <si>
    <t>Agravante</t>
  </si>
  <si>
    <t>Jessa</t>
  </si>
  <si>
    <t>Morfe</t>
  </si>
  <si>
    <t>Guevara</t>
  </si>
  <si>
    <t>Alicia</t>
  </si>
  <si>
    <t>Manuel</t>
  </si>
  <si>
    <t>HERBOSA</t>
  </si>
  <si>
    <t>DORIS</t>
  </si>
  <si>
    <t>DONOR</t>
  </si>
  <si>
    <t>LEILA</t>
  </si>
  <si>
    <t>NIDOY</t>
  </si>
  <si>
    <t>LANGCAON</t>
  </si>
  <si>
    <t>AIDALLA</t>
  </si>
  <si>
    <t>KIM ALDEN</t>
  </si>
  <si>
    <t>T1</t>
  </si>
  <si>
    <t>ABAÑO</t>
  </si>
  <si>
    <t>LEONIDA</t>
  </si>
  <si>
    <t>LABONETE</t>
  </si>
  <si>
    <t xml:space="preserve">MERIAM </t>
  </si>
  <si>
    <t>ANGAC</t>
  </si>
  <si>
    <t>SUMA-OY</t>
  </si>
  <si>
    <t>BALILING</t>
  </si>
  <si>
    <t>0960 5314045</t>
  </si>
  <si>
    <t>AQUINO</t>
  </si>
  <si>
    <t>EDGAR</t>
  </si>
  <si>
    <t>GARDUQUE</t>
  </si>
  <si>
    <t>MARIA CORAZON</t>
  </si>
  <si>
    <t>JALECO</t>
  </si>
  <si>
    <t>GUMAPON</t>
  </si>
  <si>
    <t>FLORABILLE</t>
  </si>
  <si>
    <t>IBARDOLAZA</t>
  </si>
  <si>
    <t>DIONEDA</t>
  </si>
  <si>
    <t>LORILLA</t>
  </si>
  <si>
    <t>MABUTI</t>
  </si>
  <si>
    <t xml:space="preserve">LUNINGNING </t>
  </si>
  <si>
    <t>PALACIOS</t>
  </si>
  <si>
    <t>MACASERO</t>
  </si>
  <si>
    <t>ANGELA FATIMA</t>
  </si>
  <si>
    <t>QUILLOY</t>
  </si>
  <si>
    <t>HAYDEE</t>
  </si>
  <si>
    <t>SINANG</t>
  </si>
  <si>
    <t>DOROL</t>
  </si>
  <si>
    <t>VILMA</t>
  </si>
  <si>
    <t>ALLAYBAN</t>
  </si>
  <si>
    <t>DUCA</t>
  </si>
  <si>
    <t>CESTINA</t>
  </si>
  <si>
    <t>DIANA WIZA</t>
  </si>
  <si>
    <t>MERCANO</t>
  </si>
  <si>
    <t>CAPACETE</t>
  </si>
  <si>
    <t>MARY ANN</t>
  </si>
  <si>
    <t>MARISTELA</t>
  </si>
  <si>
    <t>PAJARES</t>
  </si>
  <si>
    <t xml:space="preserve">IMIE DIANN </t>
  </si>
  <si>
    <t>CRUZADA</t>
  </si>
  <si>
    <t>ANGELES</t>
  </si>
  <si>
    <t>RAYEL</t>
  </si>
  <si>
    <t>ROSE KAREEN</t>
  </si>
  <si>
    <t>ARTURO</t>
  </si>
  <si>
    <t>PAPAGAYO</t>
  </si>
  <si>
    <t>CAYAS</t>
  </si>
  <si>
    <t>JULIETA</t>
  </si>
  <si>
    <t>MANICLANG</t>
  </si>
  <si>
    <t>SAYGO</t>
  </si>
  <si>
    <t>MERLY</t>
  </si>
  <si>
    <t>TIJARES</t>
  </si>
  <si>
    <t>LUCANAS</t>
  </si>
  <si>
    <t>MA. THERESA MARIZ</t>
  </si>
  <si>
    <t>SON</t>
  </si>
  <si>
    <t>ESCALANTE</t>
  </si>
  <si>
    <t>EDELENE</t>
  </si>
  <si>
    <t>TROMPETA</t>
  </si>
  <si>
    <t>RIZALDO</t>
  </si>
  <si>
    <t>JULIA</t>
  </si>
  <si>
    <t>SOLON</t>
  </si>
  <si>
    <t>JOYCE</t>
  </si>
  <si>
    <t>VITUSIS</t>
  </si>
  <si>
    <t>ALFORHA</t>
  </si>
  <si>
    <t>GALPO</t>
  </si>
  <si>
    <t>PASTORAL</t>
  </si>
  <si>
    <t>FILLORES</t>
  </si>
  <si>
    <t>JESSA</t>
  </si>
  <si>
    <t>IGLESIA</t>
  </si>
  <si>
    <t>PENA</t>
  </si>
  <si>
    <t>TAGLE</t>
  </si>
  <si>
    <t>ROSEFE</t>
  </si>
  <si>
    <t>BUTEN</t>
  </si>
  <si>
    <t>SUAREZ</t>
  </si>
  <si>
    <t>REYNA</t>
  </si>
  <si>
    <t>BABY GINA</t>
  </si>
  <si>
    <t>ARRIETA</t>
  </si>
  <si>
    <t>BONAGUA</t>
  </si>
  <si>
    <t>BUGAWAN</t>
  </si>
  <si>
    <t>09107510258</t>
  </si>
  <si>
    <t>DELOS SANTOS</t>
  </si>
  <si>
    <t>IMEE CZERINA</t>
  </si>
  <si>
    <t>NATAC</t>
  </si>
  <si>
    <t>LOZADA</t>
  </si>
  <si>
    <t>DIANA JEAN</t>
  </si>
  <si>
    <t>DESEPEDA</t>
  </si>
  <si>
    <t xml:space="preserve">VENECIO </t>
  </si>
  <si>
    <t>MARIA SHIELA</t>
  </si>
  <si>
    <t>VILLEGAS</t>
  </si>
  <si>
    <t>JHENELYN</t>
  </si>
  <si>
    <t>CORDENETE</t>
  </si>
  <si>
    <t>MYLEN</t>
  </si>
  <si>
    <t>ORDANEL</t>
  </si>
  <si>
    <t>LOVELLA</t>
  </si>
  <si>
    <t>ILAG</t>
  </si>
  <si>
    <t>LAGANZ0</t>
  </si>
  <si>
    <t>ARCHIE</t>
  </si>
  <si>
    <t>SAEZ</t>
  </si>
  <si>
    <t xml:space="preserve">VALENCIA </t>
  </si>
  <si>
    <t>DYRILLE</t>
  </si>
  <si>
    <t>RAMIRO</t>
  </si>
  <si>
    <t>TOCMO</t>
  </si>
  <si>
    <t>MARQUEZ</t>
  </si>
  <si>
    <t>JC 11,21,22</t>
  </si>
  <si>
    <t>ARIMBUYOTAN</t>
  </si>
  <si>
    <t xml:space="preserve">JENNIFER </t>
  </si>
  <si>
    <t>AGULLANA</t>
  </si>
  <si>
    <t>MONTALBAN</t>
  </si>
  <si>
    <t>HONEY GRACE</t>
  </si>
  <si>
    <t>R</t>
  </si>
  <si>
    <t xml:space="preserve">QUIDATO </t>
  </si>
  <si>
    <t xml:space="preserve">ANGELI </t>
  </si>
  <si>
    <t xml:space="preserve"> TEACHER 1</t>
  </si>
  <si>
    <t>NIUGAN ELEMENTAY SCHOOL</t>
  </si>
  <si>
    <t>NATIONAL HI-WAY BRGY. NIUGAN, CITY OF CABUYAO, LAGUNA</t>
  </si>
  <si>
    <t>ALBOR</t>
  </si>
  <si>
    <t>MARIA LUISA</t>
  </si>
  <si>
    <t>RUGERIA</t>
  </si>
  <si>
    <t>NERISSA</t>
  </si>
  <si>
    <t>LAGANZO</t>
  </si>
  <si>
    <t>ALOQUIN</t>
  </si>
  <si>
    <t>AURENE</t>
  </si>
  <si>
    <t>MA. MONICA</t>
  </si>
  <si>
    <t>JOSIE</t>
  </si>
  <si>
    <t>BERTILLO</t>
  </si>
  <si>
    <t>PLAQUIA</t>
  </si>
  <si>
    <t>BOYTIGUEL</t>
  </si>
  <si>
    <t>ROLDAN</t>
  </si>
  <si>
    <t>MORIAL</t>
  </si>
  <si>
    <t>ADMINISTRATIVE AIDE I</t>
  </si>
  <si>
    <t>CAMPUS</t>
  </si>
  <si>
    <t>MARGIE NIÑA</t>
  </si>
  <si>
    <t>RULOMA</t>
  </si>
  <si>
    <t>CHAVENIA</t>
  </si>
  <si>
    <t>MA. CHARO</t>
  </si>
  <si>
    <t>BONTO</t>
  </si>
  <si>
    <t>COLONIA</t>
  </si>
  <si>
    <t>cd</t>
  </si>
  <si>
    <t>DE BORJA</t>
  </si>
  <si>
    <t>PRADO</t>
  </si>
  <si>
    <t>DE CASTRO</t>
  </si>
  <si>
    <t>ALYSSA JOONE</t>
  </si>
  <si>
    <t>CAPULONG</t>
  </si>
  <si>
    <t>REMEDIOS</t>
  </si>
  <si>
    <t>PAYUMO</t>
  </si>
  <si>
    <t>MARYJANE</t>
  </si>
  <si>
    <t>DIGO</t>
  </si>
  <si>
    <t>EFEGENIA</t>
  </si>
  <si>
    <t>SALE</t>
  </si>
  <si>
    <t>EDGARD</t>
  </si>
  <si>
    <t>FIDERIO</t>
  </si>
  <si>
    <t>DON</t>
  </si>
  <si>
    <t>AARON PAUL</t>
  </si>
  <si>
    <t>jc</t>
  </si>
  <si>
    <t>jc/rct 12</t>
  </si>
  <si>
    <t>ESPIRITU</t>
  </si>
  <si>
    <t>EDUARDO</t>
  </si>
  <si>
    <t>TANDUYAN</t>
  </si>
  <si>
    <t>GARBIN</t>
  </si>
  <si>
    <t xml:space="preserve">FERNANDO </t>
  </si>
  <si>
    <t>EMERITA</t>
  </si>
  <si>
    <t>HATAD</t>
  </si>
  <si>
    <t>DOLORES</t>
  </si>
  <si>
    <t>BALASE</t>
  </si>
  <si>
    <t>ILAO</t>
  </si>
  <si>
    <t>INEE</t>
  </si>
  <si>
    <t>LAUREL</t>
  </si>
  <si>
    <t>RHODA</t>
  </si>
  <si>
    <t>MAUNAHAN</t>
  </si>
  <si>
    <t>LAURENARIA</t>
  </si>
  <si>
    <t xml:space="preserve">SHIRLEY </t>
  </si>
  <si>
    <t>MEDEL</t>
  </si>
  <si>
    <t>CHRISTINE</t>
  </si>
  <si>
    <t>RAVELLO</t>
  </si>
  <si>
    <t>MALIJAN</t>
  </si>
  <si>
    <t>SHEENA FE</t>
  </si>
  <si>
    <t>MANZANO</t>
  </si>
  <si>
    <t>MERLYN</t>
  </si>
  <si>
    <t>MATAMPALE</t>
  </si>
  <si>
    <t>MAQUIRAS</t>
  </si>
  <si>
    <t>JOHANN</t>
  </si>
  <si>
    <t>MARTIN</t>
  </si>
  <si>
    <t>GINA</t>
  </si>
  <si>
    <t>SALINAS</t>
  </si>
  <si>
    <t>MATILLA</t>
  </si>
  <si>
    <t>CAPURIHAN</t>
  </si>
  <si>
    <t>MATIAS</t>
  </si>
  <si>
    <t>IRISH ARIANNE</t>
  </si>
  <si>
    <t xml:space="preserve">BATALLA </t>
  </si>
  <si>
    <t xml:space="preserve">TEACHER III </t>
  </si>
  <si>
    <t>PATRICK</t>
  </si>
  <si>
    <t>PLACIDO</t>
  </si>
  <si>
    <t>14-13, 24-25</t>
  </si>
  <si>
    <t>SAWAL</t>
  </si>
  <si>
    <t>MARIFE</t>
  </si>
  <si>
    <t>LLORERA</t>
  </si>
  <si>
    <t>PDO I</t>
  </si>
  <si>
    <t>11,22</t>
  </si>
  <si>
    <t>VILLAREZ</t>
  </si>
  <si>
    <t>22-23</t>
  </si>
  <si>
    <t>PULO ELEMENTARY SCHOOL</t>
  </si>
  <si>
    <t>NATIONAL HIGHWAY, BRGY. PULO, CITY OF CABUYAO, LAGUNA</t>
  </si>
  <si>
    <t>(049)-549-5825</t>
  </si>
  <si>
    <t>EDNALINO</t>
  </si>
  <si>
    <t>JENNY</t>
  </si>
  <si>
    <t>0951-871-0191</t>
  </si>
  <si>
    <t>ARMOGENIA</t>
  </si>
  <si>
    <t>ROCHEL</t>
  </si>
  <si>
    <t>LAZAGA</t>
  </si>
  <si>
    <t>0943-132-3148</t>
  </si>
  <si>
    <t>PANEDA</t>
  </si>
  <si>
    <t>BENJIE</t>
  </si>
  <si>
    <t>MACASAOL</t>
  </si>
  <si>
    <t>0927-495-8953</t>
  </si>
  <si>
    <t>MARIA BABYLYN</t>
  </si>
  <si>
    <t>BARERA</t>
  </si>
  <si>
    <t>0993-277-8859</t>
  </si>
  <si>
    <t>GARZON</t>
  </si>
  <si>
    <t>RIZELLE</t>
  </si>
  <si>
    <t>0947-809-9692</t>
  </si>
  <si>
    <t>ERAÑA</t>
  </si>
  <si>
    <t>NERIZA</t>
  </si>
  <si>
    <t>0915-284-0153</t>
  </si>
  <si>
    <t>U-CD, LRPD</t>
  </si>
  <si>
    <t>REGENCIA</t>
  </si>
  <si>
    <t>PLATINO</t>
  </si>
  <si>
    <t>0951-954-0321</t>
  </si>
  <si>
    <t>SAGUNI</t>
  </si>
  <si>
    <t>DYAN JANE</t>
  </si>
  <si>
    <t>0976-221-7002</t>
  </si>
  <si>
    <t>ARAMBULO</t>
  </si>
  <si>
    <t>SHARA MAE</t>
  </si>
  <si>
    <t>ANNALIZA</t>
  </si>
  <si>
    <t>MAYOR</t>
  </si>
  <si>
    <t>JORELYN</t>
  </si>
  <si>
    <t>REFEREZA</t>
  </si>
  <si>
    <t>CADUAN</t>
  </si>
  <si>
    <t>EPIS</t>
  </si>
  <si>
    <t>ACOSTA</t>
  </si>
  <si>
    <t>BAYLE</t>
  </si>
  <si>
    <t>RODOLFO</t>
  </si>
  <si>
    <t>BAYBAY</t>
  </si>
  <si>
    <t>BARIT</t>
  </si>
  <si>
    <t>SANDY</t>
  </si>
  <si>
    <t>CANSADO</t>
  </si>
  <si>
    <t>SHIELA MAE</t>
  </si>
  <si>
    <t>ORTIZ</t>
  </si>
  <si>
    <t>SACLAG</t>
  </si>
  <si>
    <t>CASANTUSAN</t>
  </si>
  <si>
    <t>PERIO- MOBILE 41,31</t>
  </si>
  <si>
    <t>MARICHER</t>
  </si>
  <si>
    <t>SUILAN</t>
  </si>
  <si>
    <t>MT-1</t>
  </si>
  <si>
    <t>ERICA</t>
  </si>
  <si>
    <t>REMOLIN</t>
  </si>
  <si>
    <t>DEE</t>
  </si>
  <si>
    <t>NIEVA</t>
  </si>
  <si>
    <t>BERNARDINO</t>
  </si>
  <si>
    <t>MT 1</t>
  </si>
  <si>
    <t>U-CD, L-RPD</t>
  </si>
  <si>
    <t>SENADOS</t>
  </si>
  <si>
    <t>FEDELYN</t>
  </si>
  <si>
    <t>SAGARAL</t>
  </si>
  <si>
    <t>T 1</t>
  </si>
  <si>
    <t>ALCABASA</t>
  </si>
  <si>
    <t>RESILYN</t>
  </si>
  <si>
    <t>JC 24 25</t>
  </si>
  <si>
    <t>GEMARINO</t>
  </si>
  <si>
    <t>BAYNOSA</t>
  </si>
  <si>
    <t>ROSA</t>
  </si>
  <si>
    <t>MORAL</t>
  </si>
  <si>
    <t>SHAPELYN</t>
  </si>
  <si>
    <t>ILAGAN</t>
  </si>
  <si>
    <t>ALMENANA</t>
  </si>
  <si>
    <t>NATIVIDAD</t>
  </si>
  <si>
    <t>SACAY</t>
  </si>
  <si>
    <t>FILIPINA JANE</t>
  </si>
  <si>
    <t>RAGASA</t>
  </si>
  <si>
    <t>LEONILA</t>
  </si>
  <si>
    <t>VIRAY</t>
  </si>
  <si>
    <t>INGAL</t>
  </si>
  <si>
    <t>TOMAS</t>
  </si>
  <si>
    <t>BASTO</t>
  </si>
  <si>
    <t>T111</t>
  </si>
  <si>
    <t>impacted 38</t>
  </si>
  <si>
    <t>KATRINA JOY</t>
  </si>
  <si>
    <t>PELOTA</t>
  </si>
  <si>
    <t>BABY SHIMLA</t>
  </si>
  <si>
    <t>REMPILLO</t>
  </si>
  <si>
    <t>CARRERA</t>
  </si>
  <si>
    <t>LADYLENE CARLA</t>
  </si>
  <si>
    <t>Teacher 3</t>
  </si>
  <si>
    <t>IMPACTED 38</t>
  </si>
  <si>
    <t>DYNA</t>
  </si>
  <si>
    <t>MONETTE</t>
  </si>
  <si>
    <t>LARGADO</t>
  </si>
  <si>
    <t>CAMARADOR</t>
  </si>
  <si>
    <t>VIERNEZA</t>
  </si>
  <si>
    <t>LAGDAMEN</t>
  </si>
  <si>
    <t>ANNA PORTIA</t>
  </si>
  <si>
    <t>ALMIRA</t>
  </si>
  <si>
    <t>CAUNIN</t>
  </si>
  <si>
    <t>VILLAR</t>
  </si>
  <si>
    <t>CANELA</t>
  </si>
  <si>
    <t>PADERNAL</t>
  </si>
  <si>
    <t>Teacher 2</t>
  </si>
  <si>
    <t>BALDICAÑAS</t>
  </si>
  <si>
    <t>JUSSEL TRIXIA</t>
  </si>
  <si>
    <t>ARIAS</t>
  </si>
  <si>
    <t>BRACEROS</t>
  </si>
  <si>
    <t>HERRADURA</t>
  </si>
  <si>
    <t>TALISIC</t>
  </si>
  <si>
    <t>ENCONTRO</t>
  </si>
  <si>
    <t>GARINGO</t>
  </si>
  <si>
    <t>TABLANG</t>
  </si>
  <si>
    <t>ALMENDRAZ</t>
  </si>
  <si>
    <t>MARY ROSE</t>
  </si>
  <si>
    <t>SITCHON</t>
  </si>
  <si>
    <t>ELGIEN</t>
  </si>
  <si>
    <t>ESTILLES</t>
  </si>
  <si>
    <t>DELA CERNA</t>
  </si>
  <si>
    <t>BECHEVA</t>
  </si>
  <si>
    <t>MARENTES</t>
  </si>
  <si>
    <t>MA. CAMILLE</t>
  </si>
  <si>
    <t>YAMBAO</t>
  </si>
  <si>
    <t>APILADO</t>
  </si>
  <si>
    <t>ILYNN</t>
  </si>
  <si>
    <t>ADVINGCULA</t>
  </si>
  <si>
    <t>RALLESTAN</t>
  </si>
  <si>
    <t>MARY SUSAINE</t>
  </si>
  <si>
    <t>OPIALA</t>
  </si>
  <si>
    <t>PAPELLERAS</t>
  </si>
  <si>
    <t>DESIREE KATE</t>
  </si>
  <si>
    <t>ORDES</t>
  </si>
  <si>
    <t>JESUSANA</t>
  </si>
  <si>
    <t>ALCIRA</t>
  </si>
  <si>
    <t>LRPD</t>
  </si>
  <si>
    <t>ARQUINEZ</t>
  </si>
  <si>
    <t>MORELO</t>
  </si>
  <si>
    <t>MT-2</t>
  </si>
  <si>
    <t>MABALOT</t>
  </si>
  <si>
    <t>PALULAN</t>
  </si>
  <si>
    <t>T-1</t>
  </si>
  <si>
    <t>EBRON</t>
  </si>
  <si>
    <t>ALFANTE</t>
  </si>
  <si>
    <t>T-2</t>
  </si>
  <si>
    <t>U/LRPD</t>
  </si>
  <si>
    <t>MAGOS</t>
  </si>
  <si>
    <t>T-3</t>
  </si>
  <si>
    <t>MALBATAAN</t>
  </si>
  <si>
    <t>AMABEL</t>
  </si>
  <si>
    <t>MACANDILI</t>
  </si>
  <si>
    <t>ZOLETA</t>
  </si>
  <si>
    <t>JAKE</t>
  </si>
  <si>
    <t>MAMING</t>
  </si>
  <si>
    <t>TINDOC</t>
  </si>
  <si>
    <t>CARL LAWRENCE</t>
  </si>
  <si>
    <t>EBRADO</t>
  </si>
  <si>
    <t>NEPOMUCENO</t>
  </si>
  <si>
    <t>MARICRYS</t>
  </si>
  <si>
    <t>SAMSON</t>
  </si>
  <si>
    <t>JAZMIN</t>
  </si>
  <si>
    <t>NEMIA</t>
  </si>
  <si>
    <t>REBOSURA</t>
  </si>
  <si>
    <t>PERIA</t>
  </si>
  <si>
    <t>MA. ZHARINA</t>
  </si>
  <si>
    <t>NOCIDO</t>
  </si>
  <si>
    <t>ANGEL KRYSHIA MAY</t>
  </si>
  <si>
    <t>NIRO</t>
  </si>
  <si>
    <t>REBONG</t>
  </si>
  <si>
    <t>FE MONICA</t>
  </si>
  <si>
    <t>KAMPITAN</t>
  </si>
  <si>
    <t>CAUDILLA</t>
  </si>
  <si>
    <t>VERONICA</t>
  </si>
  <si>
    <t>L RETAINER</t>
  </si>
  <si>
    <t>FAMALO-AN</t>
  </si>
  <si>
    <t>SENCIL</t>
  </si>
  <si>
    <t>MILAGROS</t>
  </si>
  <si>
    <t>CAPATI</t>
  </si>
  <si>
    <t>BERNARDITA</t>
  </si>
  <si>
    <t>VISTA</t>
  </si>
  <si>
    <t>PEDROZO</t>
  </si>
  <si>
    <t>DEMISANA</t>
  </si>
  <si>
    <t>POBLETE</t>
  </si>
  <si>
    <t>RET/PONTIC -L, RETAINER -U</t>
  </si>
  <si>
    <t>GABRIEL</t>
  </si>
  <si>
    <t>MONALIZA</t>
  </si>
  <si>
    <t>PALERMO</t>
  </si>
  <si>
    <t>TAMBOONG</t>
  </si>
  <si>
    <t>JOLOURDES</t>
  </si>
  <si>
    <t>ALEJO</t>
  </si>
  <si>
    <t>PORAS</t>
  </si>
  <si>
    <t>CIRILA</t>
  </si>
  <si>
    <t>CADENAS</t>
  </si>
  <si>
    <t>ABALLE</t>
  </si>
  <si>
    <t>RAVINA</t>
  </si>
  <si>
    <t>CONDEZ</t>
  </si>
  <si>
    <t>AMPARADO</t>
  </si>
  <si>
    <t>CABEROY</t>
  </si>
  <si>
    <t>ALJOHN</t>
  </si>
  <si>
    <t>BASAL</t>
  </si>
  <si>
    <t>RED</t>
  </si>
  <si>
    <t>HILDA</t>
  </si>
  <si>
    <t>RICON</t>
  </si>
  <si>
    <t>DIANA</t>
  </si>
  <si>
    <t>RET</t>
  </si>
  <si>
    <t>BERGONIO</t>
  </si>
  <si>
    <t>EVELYN</t>
  </si>
  <si>
    <t>PATAROQUE</t>
  </si>
  <si>
    <t>MALIHAN</t>
  </si>
  <si>
    <t>EDJEL</t>
  </si>
  <si>
    <t>BUOT</t>
  </si>
  <si>
    <t>JULIANITA</t>
  </si>
  <si>
    <t>T-ll</t>
  </si>
  <si>
    <t>ABELARDE</t>
  </si>
  <si>
    <t>GARY</t>
  </si>
  <si>
    <t>PETINES</t>
  </si>
  <si>
    <t>DENA</t>
  </si>
  <si>
    <t>JERALD</t>
  </si>
  <si>
    <t>ERIBAL</t>
  </si>
  <si>
    <t>MARLYN</t>
  </si>
  <si>
    <t>MILLO</t>
  </si>
  <si>
    <t>SHEENA JOY</t>
  </si>
  <si>
    <t>VALDEZ</t>
  </si>
  <si>
    <t>FUENTES</t>
  </si>
  <si>
    <t>ANDREA MAUREEN</t>
  </si>
  <si>
    <t>T- III</t>
  </si>
  <si>
    <t>ROWEL</t>
  </si>
  <si>
    <t>LEVISTE</t>
  </si>
  <si>
    <t>MADEJA</t>
  </si>
  <si>
    <t>ZORAIDA</t>
  </si>
  <si>
    <t>MAZO</t>
  </si>
  <si>
    <t>MILANBELEN</t>
  </si>
  <si>
    <t>DONALYN</t>
  </si>
  <si>
    <t>SUASBA</t>
  </si>
  <si>
    <t>BEATRIZ</t>
  </si>
  <si>
    <t>MORATAL</t>
  </si>
  <si>
    <t>DEOCARIZA</t>
  </si>
  <si>
    <t>AUDIJE</t>
  </si>
  <si>
    <t>JELAH</t>
  </si>
  <si>
    <t>SABIDURIA</t>
  </si>
  <si>
    <t>RYANJAY</t>
  </si>
  <si>
    <t>CONDONAR</t>
  </si>
  <si>
    <t>TANGGOTE</t>
  </si>
  <si>
    <t>SAMANODEN</t>
  </si>
  <si>
    <t>ALO</t>
  </si>
  <si>
    <t>Teacher1</t>
  </si>
  <si>
    <t>AUDIFER</t>
  </si>
  <si>
    <t>RUECO</t>
  </si>
  <si>
    <t>PACHICA</t>
  </si>
  <si>
    <t>FRANCISCA</t>
  </si>
  <si>
    <t>Head Teacher I</t>
  </si>
  <si>
    <t>MUZARES</t>
  </si>
  <si>
    <t>RIO JEAN</t>
  </si>
  <si>
    <t>MAGAYAM</t>
  </si>
  <si>
    <t>ARMAN</t>
  </si>
  <si>
    <t>GESTA</t>
  </si>
  <si>
    <t>Project Development Officer I</t>
  </si>
  <si>
    <t>North Marinig Elementary School</t>
  </si>
  <si>
    <t>Marinig Cabuyao Laguna</t>
  </si>
  <si>
    <t>(049) 508-1331</t>
  </si>
  <si>
    <t>AFUANG</t>
  </si>
  <si>
    <t>CHIPRE</t>
  </si>
  <si>
    <t xml:space="preserve">AGOSTO </t>
  </si>
  <si>
    <t>FELY</t>
  </si>
  <si>
    <t>MACATANGAY</t>
  </si>
  <si>
    <t>DOLOROSA</t>
  </si>
  <si>
    <t>lower retainer</t>
  </si>
  <si>
    <t>ALAGANO</t>
  </si>
  <si>
    <t>MARIA NARCIEVELLE</t>
  </si>
  <si>
    <t>RIZAL</t>
  </si>
  <si>
    <t>TONGUE TIED</t>
  </si>
  <si>
    <t>Alegria</t>
  </si>
  <si>
    <t>Monreal</t>
  </si>
  <si>
    <t>09199942801</t>
  </si>
  <si>
    <t>ALEJANDRO</t>
  </si>
  <si>
    <t>CORTEZ</t>
  </si>
  <si>
    <t>09656677952</t>
  </si>
  <si>
    <t>ALERTA</t>
  </si>
  <si>
    <t>YUSAY</t>
  </si>
  <si>
    <t>CARINA</t>
  </si>
  <si>
    <t>ARMASA</t>
  </si>
  <si>
    <t>SOLIVERES</t>
  </si>
  <si>
    <t>IGNAS</t>
  </si>
  <si>
    <t>JOSIELYN</t>
  </si>
  <si>
    <t xml:space="preserve">BARUNDIA </t>
  </si>
  <si>
    <t>BELTRAN</t>
  </si>
  <si>
    <t>SHEILA</t>
  </si>
  <si>
    <t>BERNAL</t>
  </si>
  <si>
    <t>LANQUINO</t>
  </si>
  <si>
    <t>09955023440</t>
  </si>
  <si>
    <t>BUCOY</t>
  </si>
  <si>
    <t>MAY LANIE</t>
  </si>
  <si>
    <t>ROLOYAN</t>
  </si>
  <si>
    <t>BULAHAN</t>
  </si>
  <si>
    <t>AGNES</t>
  </si>
  <si>
    <t>DEMEJER</t>
  </si>
  <si>
    <t>09178463460</t>
  </si>
  <si>
    <t>BULATAO</t>
  </si>
  <si>
    <t>CABIGCABIG</t>
  </si>
  <si>
    <t>ALICIA ANN</t>
  </si>
  <si>
    <t>BACARRA</t>
  </si>
  <si>
    <t>09471030064</t>
  </si>
  <si>
    <t>CAPACIO</t>
  </si>
  <si>
    <t>BAYAUA</t>
  </si>
  <si>
    <t xml:space="preserve">Carandang </t>
  </si>
  <si>
    <t>Manilyn</t>
  </si>
  <si>
    <t>Salas</t>
  </si>
  <si>
    <t>RPD FOR DIASTEMA</t>
  </si>
  <si>
    <t xml:space="preserve">CARVAJAL </t>
  </si>
  <si>
    <t>IRMA</t>
  </si>
  <si>
    <t>09295965996</t>
  </si>
  <si>
    <t>COMPRADO</t>
  </si>
  <si>
    <t>GRAZIEL</t>
  </si>
  <si>
    <t>VALENCIA</t>
  </si>
  <si>
    <t>JC 23,24,26</t>
  </si>
  <si>
    <t>De Castro</t>
  </si>
  <si>
    <t>Janice</t>
  </si>
  <si>
    <t>Buerano</t>
  </si>
  <si>
    <t>09954485362</t>
  </si>
  <si>
    <t>ANGELO</t>
  </si>
  <si>
    <t>09155337799</t>
  </si>
  <si>
    <t>JC17,16,15,14</t>
  </si>
  <si>
    <t>Del Rosario</t>
  </si>
  <si>
    <t>Irene</t>
  </si>
  <si>
    <t>Manahan</t>
  </si>
  <si>
    <t>09772312957</t>
  </si>
  <si>
    <t>Delingon</t>
  </si>
  <si>
    <t xml:space="preserve">Olivia </t>
  </si>
  <si>
    <t>Alcones</t>
  </si>
  <si>
    <t>09178376491</t>
  </si>
  <si>
    <t xml:space="preserve">CHANTELLE RICHELLE </t>
  </si>
  <si>
    <t>09262515901</t>
  </si>
  <si>
    <t>DINCO</t>
  </si>
  <si>
    <t>ESPIN</t>
  </si>
  <si>
    <t>FEROLYN ANNE</t>
  </si>
  <si>
    <t>ROTILLES</t>
  </si>
  <si>
    <t>09282318778</t>
  </si>
  <si>
    <t xml:space="preserve">Florentino </t>
  </si>
  <si>
    <t>Morena</t>
  </si>
  <si>
    <t>Gimutao</t>
  </si>
  <si>
    <t>FRADES</t>
  </si>
  <si>
    <t>PALCONAN</t>
  </si>
  <si>
    <t>PRESCILLA</t>
  </si>
  <si>
    <t>ROMINA ROSE</t>
  </si>
  <si>
    <t>PABALAN</t>
  </si>
  <si>
    <t>ROMNEL</t>
  </si>
  <si>
    <t xml:space="preserve">MALE </t>
  </si>
  <si>
    <t>09684992838</t>
  </si>
  <si>
    <t>09393785347</t>
  </si>
  <si>
    <t>09283428813</t>
  </si>
  <si>
    <t xml:space="preserve">RIZZA LYN </t>
  </si>
  <si>
    <t>09083900032</t>
  </si>
  <si>
    <t>GUNDRAN</t>
  </si>
  <si>
    <t>SEVERINO</t>
  </si>
  <si>
    <t>09276310336</t>
  </si>
  <si>
    <t>MA. CHRISTINA</t>
  </si>
  <si>
    <t>Hubilla</t>
  </si>
  <si>
    <t>Pamela Karen</t>
  </si>
  <si>
    <t>Mangundayao</t>
  </si>
  <si>
    <t>09472071530</t>
  </si>
  <si>
    <t>IDO</t>
  </si>
  <si>
    <t>CLAIRA</t>
  </si>
  <si>
    <t>OTIC</t>
  </si>
  <si>
    <t>Iriola</t>
  </si>
  <si>
    <t xml:space="preserve">Roselyn </t>
  </si>
  <si>
    <t>ISALOS</t>
  </si>
  <si>
    <t xml:space="preserve">JASTILLANA </t>
  </si>
  <si>
    <t xml:space="preserve">FRANCIS </t>
  </si>
  <si>
    <t>0936 1491542</t>
  </si>
  <si>
    <t xml:space="preserve">JAY </t>
  </si>
  <si>
    <t>VELASCO</t>
  </si>
  <si>
    <t>Lagarto</t>
  </si>
  <si>
    <t>Rowena</t>
  </si>
  <si>
    <t>Landicho</t>
  </si>
  <si>
    <t>Lazanas</t>
  </si>
  <si>
    <t>Maribel</t>
  </si>
  <si>
    <t>09632574993</t>
  </si>
  <si>
    <t>LERIOS</t>
  </si>
  <si>
    <t xml:space="preserve">HARRY </t>
  </si>
  <si>
    <t>LLOBIT</t>
  </si>
  <si>
    <t xml:space="preserve">LLABANES </t>
  </si>
  <si>
    <t>VINA MAE</t>
  </si>
  <si>
    <t>LLANTINO</t>
  </si>
  <si>
    <t>Mendez</t>
  </si>
  <si>
    <t>Aiza</t>
  </si>
  <si>
    <t>JC 2,11, 21</t>
  </si>
  <si>
    <t>ANTHONY</t>
  </si>
  <si>
    <t>ZAPANTA</t>
  </si>
  <si>
    <t>OCA</t>
  </si>
  <si>
    <t>ITCHON</t>
  </si>
  <si>
    <t>09067158659</t>
  </si>
  <si>
    <t>09214197643</t>
  </si>
  <si>
    <r>
      <rPr>
        <rFont val="Bookman Old Style"/>
        <b/>
        <color theme="1"/>
        <sz val="12.0"/>
      </rPr>
      <t>PE</t>
    </r>
    <r>
      <rPr>
        <rFont val="Calibri"/>
        <b/>
        <color rgb="FF000000"/>
        <sz val="12.0"/>
      </rPr>
      <t>Ñ</t>
    </r>
    <r>
      <rPr>
        <rFont val="Bookman Old Style"/>
        <b/>
        <color rgb="FF000000"/>
        <sz val="12.0"/>
      </rPr>
      <t>ASCOSAS</t>
    </r>
  </si>
  <si>
    <t>MAILA</t>
  </si>
  <si>
    <t>PIELAGO</t>
  </si>
  <si>
    <t>09431332513</t>
  </si>
  <si>
    <t>09171553363</t>
  </si>
  <si>
    <t>Ria</t>
  </si>
  <si>
    <t>Pascua</t>
  </si>
  <si>
    <t>RINT</t>
  </si>
  <si>
    <t>RAQUEL</t>
  </si>
  <si>
    <t xml:space="preserve">SABAN </t>
  </si>
  <si>
    <t>RICHEN</t>
  </si>
  <si>
    <t xml:space="preserve">LINDONG </t>
  </si>
  <si>
    <t>09183794566</t>
  </si>
  <si>
    <t>San Mateo</t>
  </si>
  <si>
    <t>Heidi</t>
  </si>
  <si>
    <t>Eguaras</t>
  </si>
  <si>
    <t>09350282462</t>
  </si>
  <si>
    <t>SANTILLANA</t>
  </si>
  <si>
    <t>MAYETH</t>
  </si>
  <si>
    <t>AMBAS</t>
  </si>
  <si>
    <t>09326189527</t>
  </si>
  <si>
    <t>Santos</t>
  </si>
  <si>
    <t>Mary Grace</t>
  </si>
  <si>
    <t>Ropa</t>
  </si>
  <si>
    <t>09330439526</t>
  </si>
  <si>
    <t>SOBREVEGA</t>
  </si>
  <si>
    <t>PATRICIA</t>
  </si>
  <si>
    <t>TANYAG</t>
  </si>
  <si>
    <t>DE LA CRUZ</t>
  </si>
  <si>
    <t>VICTORIA</t>
  </si>
  <si>
    <t>UBINA</t>
  </si>
  <si>
    <t>Principal II</t>
  </si>
  <si>
    <t>Vender</t>
  </si>
  <si>
    <t>Wendy</t>
  </si>
  <si>
    <t>Angeles</t>
  </si>
  <si>
    <t>09778046211</t>
  </si>
  <si>
    <t xml:space="preserve">ANA MARIA </t>
  </si>
  <si>
    <t>PROJECT DEVELOPMENT OFFICER I</t>
  </si>
  <si>
    <t>VILLAFRANCA</t>
  </si>
  <si>
    <t>DEARBORN</t>
  </si>
  <si>
    <t>ENOT</t>
  </si>
  <si>
    <t>KRISELLE</t>
  </si>
  <si>
    <t>VILLACORTA</t>
  </si>
  <si>
    <t xml:space="preserve">VILLASENOR </t>
  </si>
  <si>
    <t>CRISTY</t>
  </si>
  <si>
    <t>CASABUENA</t>
  </si>
  <si>
    <t>09278353049</t>
  </si>
  <si>
    <t>Yadao</t>
  </si>
  <si>
    <t>Maria Oliva</t>
  </si>
  <si>
    <t>Gerilla</t>
  </si>
  <si>
    <t>09462897553</t>
  </si>
  <si>
    <t>MANGGOL</t>
  </si>
  <si>
    <t>ARABELLE</t>
  </si>
  <si>
    <t>J</t>
  </si>
  <si>
    <t>NATIONA</t>
  </si>
  <si>
    <t>Pulo Senior High School</t>
  </si>
  <si>
    <t>Barangay Pulo, City of Cabuyao, Laguna</t>
  </si>
  <si>
    <t>(049)545-1726</t>
  </si>
  <si>
    <t>ALCAIDE</t>
  </si>
  <si>
    <t>ERIBERTA</t>
  </si>
  <si>
    <t>CARINO</t>
  </si>
  <si>
    <t>ALVARADO</t>
  </si>
  <si>
    <t>JEXTER</t>
  </si>
  <si>
    <t>COPLAND</t>
  </si>
  <si>
    <t>ANGELENE</t>
  </si>
  <si>
    <t>MAMORNO</t>
  </si>
  <si>
    <t>UPPER RETAINER</t>
  </si>
  <si>
    <t>BALOLOY</t>
  </si>
  <si>
    <t>JERALDIN</t>
  </si>
  <si>
    <t>BARIA</t>
  </si>
  <si>
    <t>BATONERO</t>
  </si>
  <si>
    <t>KHARMELA</t>
  </si>
  <si>
    <t>ALCORAN</t>
  </si>
  <si>
    <t>w/ ortho, for OP</t>
  </si>
  <si>
    <t>BOBILES</t>
  </si>
  <si>
    <t>JULIAN</t>
  </si>
  <si>
    <t>BORLAZA</t>
  </si>
  <si>
    <t>JOANA MAY</t>
  </si>
  <si>
    <t>CALAY</t>
  </si>
  <si>
    <t>PATROCINIO</t>
  </si>
  <si>
    <t>OLILA</t>
  </si>
  <si>
    <t>ANALIZA</t>
  </si>
  <si>
    <t>TIONGCO</t>
  </si>
  <si>
    <t>EDOS</t>
  </si>
  <si>
    <t>JENSEN</t>
  </si>
  <si>
    <t>CASALO</t>
  </si>
  <si>
    <t>Special Science Teacher I</t>
  </si>
  <si>
    <t>ERCIA</t>
  </si>
  <si>
    <t>ASAJAR</t>
  </si>
  <si>
    <t>ESCOLANO</t>
  </si>
  <si>
    <t>VIRGIE</t>
  </si>
  <si>
    <t>JOVILYN</t>
  </si>
  <si>
    <t>GARILLO</t>
  </si>
  <si>
    <t>GANANCIAL</t>
  </si>
  <si>
    <t>SHEMAIAH</t>
  </si>
  <si>
    <t>JAVELLANA</t>
  </si>
  <si>
    <t>JOHN BOSCO</t>
  </si>
  <si>
    <t>MICAH</t>
  </si>
  <si>
    <t>BRUAN</t>
  </si>
  <si>
    <t>MANILA</t>
  </si>
  <si>
    <t>PHILIPP JAMES</t>
  </si>
  <si>
    <t>ANDRIANO</t>
  </si>
  <si>
    <t>MAQUINTO</t>
  </si>
  <si>
    <t>UCD JC 36,37,42,41,31,32,36,367</t>
  </si>
  <si>
    <t>ODON</t>
  </si>
  <si>
    <t>MA.CONCEPCION</t>
  </si>
  <si>
    <t>Assistant School Principal II</t>
  </si>
  <si>
    <t>PARANGALAN</t>
  </si>
  <si>
    <t>ANGELIE JOYCE</t>
  </si>
  <si>
    <t>GOMEZ</t>
  </si>
  <si>
    <t>LEO ANDREW</t>
  </si>
  <si>
    <t>NOEMI</t>
  </si>
  <si>
    <t>VERZOSA</t>
  </si>
  <si>
    <t>SULABO</t>
  </si>
  <si>
    <t>LEAHNI</t>
  </si>
  <si>
    <t>FOS</t>
  </si>
  <si>
    <t>ROMA CARMELA</t>
  </si>
  <si>
    <t>MORALITA</t>
  </si>
  <si>
    <t>YU</t>
  </si>
  <si>
    <t>BATERISNA</t>
  </si>
  <si>
    <t>Jacqueline</t>
  </si>
  <si>
    <t>Derez</t>
  </si>
  <si>
    <t>School Head</t>
  </si>
  <si>
    <t xml:space="preserve">Odon </t>
  </si>
  <si>
    <t>Ma.Concepcion</t>
  </si>
  <si>
    <t>Abeo</t>
  </si>
  <si>
    <t>female</t>
  </si>
  <si>
    <t>SALA ELEMENTARY SCHOOL</t>
  </si>
  <si>
    <t>Ruby St. Shineland Village, Brgy Sala, City of Cabuyao, Laguna</t>
  </si>
  <si>
    <t>(049) 530-8306</t>
  </si>
  <si>
    <t>Maila</t>
  </si>
  <si>
    <t>Tenorio</t>
  </si>
  <si>
    <t>T2</t>
  </si>
  <si>
    <t>Bonafe</t>
  </si>
  <si>
    <t>Katherine</t>
  </si>
  <si>
    <t>Greganda</t>
  </si>
  <si>
    <t>T3</t>
  </si>
  <si>
    <t>Caday-Morales</t>
  </si>
  <si>
    <t>Roma Karen</t>
  </si>
  <si>
    <t>Adranico</t>
  </si>
  <si>
    <t>U/L RETAINER</t>
  </si>
  <si>
    <t>Resoco</t>
  </si>
  <si>
    <t>Jackilyn</t>
  </si>
  <si>
    <t>Seda</t>
  </si>
  <si>
    <t>Velasquez</t>
  </si>
  <si>
    <t>Belinda</t>
  </si>
  <si>
    <t>Almonte</t>
  </si>
  <si>
    <t>Vilar</t>
  </si>
  <si>
    <t>Freslen</t>
  </si>
  <si>
    <t>Argosino</t>
  </si>
  <si>
    <t>Valverde</t>
  </si>
  <si>
    <t>Rosa Glen</t>
  </si>
  <si>
    <t>Talavera</t>
  </si>
  <si>
    <t>Villanueva</t>
  </si>
  <si>
    <t>Ailyn</t>
  </si>
  <si>
    <t>Ciar</t>
  </si>
  <si>
    <t>Tarcilo</t>
  </si>
  <si>
    <t>Saturno</t>
  </si>
  <si>
    <t>Tamayo</t>
  </si>
  <si>
    <t>Juvie Cel</t>
  </si>
  <si>
    <t>Cantillian</t>
  </si>
  <si>
    <t>Rejano</t>
  </si>
  <si>
    <t>Rizza</t>
  </si>
  <si>
    <t>Salum</t>
  </si>
  <si>
    <t>Diamante</t>
  </si>
  <si>
    <t>Magpantay</t>
  </si>
  <si>
    <t>Datario</t>
  </si>
  <si>
    <t>Marissa</t>
  </si>
  <si>
    <t>Villate</t>
  </si>
  <si>
    <t>Vierneza</t>
  </si>
  <si>
    <t>Yjasmin</t>
  </si>
  <si>
    <t>Galang</t>
  </si>
  <si>
    <t>Cordis</t>
  </si>
  <si>
    <t>Gejema</t>
  </si>
  <si>
    <t>Martirez</t>
  </si>
  <si>
    <t>Adiova</t>
  </si>
  <si>
    <t>Nimfa</t>
  </si>
  <si>
    <t>Bernal</t>
  </si>
  <si>
    <t>Anacay</t>
  </si>
  <si>
    <t>Maria Kathrina</t>
  </si>
  <si>
    <t>Dones</t>
  </si>
  <si>
    <t>Morales</t>
  </si>
  <si>
    <t>Mherphy</t>
  </si>
  <si>
    <t>MT1</t>
  </si>
  <si>
    <t>Grimalt</t>
  </si>
  <si>
    <t>Cinderalla</t>
  </si>
  <si>
    <t>Espares</t>
  </si>
  <si>
    <t>Prieto</t>
  </si>
  <si>
    <t>Jonalyn</t>
  </si>
  <si>
    <t>Rocha</t>
  </si>
  <si>
    <t>Lamano</t>
  </si>
  <si>
    <t>Cadag</t>
  </si>
  <si>
    <t>P1</t>
  </si>
  <si>
    <t>MALLARI</t>
  </si>
  <si>
    <t>JONI MITCHEL</t>
  </si>
  <si>
    <t>DALUZ</t>
  </si>
  <si>
    <t>SAN ISIDRO ELEMENTARY SCHOOL</t>
  </si>
  <si>
    <t>PUROK 3, BRGY. SAN ISIDRO, CITY OF CABUYAO, LAGUNA</t>
  </si>
  <si>
    <t>Serdon</t>
  </si>
  <si>
    <t>Erlinda</t>
  </si>
  <si>
    <t>Hailar</t>
  </si>
  <si>
    <t>ULRPD JC 11,21</t>
  </si>
  <si>
    <t>Seña</t>
  </si>
  <si>
    <t>Rachelle Joy</t>
  </si>
  <si>
    <t>Agpalza</t>
  </si>
  <si>
    <t>Romiley</t>
  </si>
  <si>
    <t>Galutera</t>
  </si>
  <si>
    <t>Aguirre</t>
  </si>
  <si>
    <t>Joanna Ivy</t>
  </si>
  <si>
    <t>Servidad</t>
  </si>
  <si>
    <t>Aldave</t>
  </si>
  <si>
    <t>Angara</t>
  </si>
  <si>
    <t>Ma. Carlota</t>
  </si>
  <si>
    <t>Recare</t>
  </si>
  <si>
    <t>Aringo</t>
  </si>
  <si>
    <t>Victoria</t>
  </si>
  <si>
    <t>Agarin</t>
  </si>
  <si>
    <t>Marnelli</t>
  </si>
  <si>
    <t>Laviña</t>
  </si>
  <si>
    <t>Blaza</t>
  </si>
  <si>
    <t>Elizabeth</t>
  </si>
  <si>
    <t>Quilapio</t>
  </si>
  <si>
    <t>Bornolla</t>
  </si>
  <si>
    <t>Marlen Mae</t>
  </si>
  <si>
    <t>Maray</t>
  </si>
  <si>
    <t>Cabuang</t>
  </si>
  <si>
    <t>Marife</t>
  </si>
  <si>
    <t>Castro</t>
  </si>
  <si>
    <t>Calabia</t>
  </si>
  <si>
    <t>De Chavez</t>
  </si>
  <si>
    <t>17-13,23-26 - abut FPD(17-26)</t>
  </si>
  <si>
    <t>Cantos</t>
  </si>
  <si>
    <t>Gemma</t>
  </si>
  <si>
    <t>Orbiso</t>
  </si>
  <si>
    <t>Casubuan</t>
  </si>
  <si>
    <t>Ariel</t>
  </si>
  <si>
    <t>Negrillo</t>
  </si>
  <si>
    <t>Catilo</t>
  </si>
  <si>
    <t>Riza</t>
  </si>
  <si>
    <t>De Leon</t>
  </si>
  <si>
    <t>U retainer</t>
  </si>
  <si>
    <t>Cole</t>
  </si>
  <si>
    <t>Karen</t>
  </si>
  <si>
    <t>Briones</t>
  </si>
  <si>
    <t>Cruz</t>
  </si>
  <si>
    <t>Alma</t>
  </si>
  <si>
    <t>Teresa</t>
  </si>
  <si>
    <t>Geral</t>
  </si>
  <si>
    <t>Domalayas Jr.</t>
  </si>
  <si>
    <t>Rodolfo</t>
  </si>
  <si>
    <t>Elep</t>
  </si>
  <si>
    <t>Luarez</t>
  </si>
  <si>
    <t>Elizon</t>
  </si>
  <si>
    <t>Vacinee</t>
  </si>
  <si>
    <t>Orbon</t>
  </si>
  <si>
    <t>Espiritu</t>
  </si>
  <si>
    <t>Michael</t>
  </si>
  <si>
    <t>Onia</t>
  </si>
  <si>
    <t>Esquilon</t>
  </si>
  <si>
    <t>Eric</t>
  </si>
  <si>
    <t>Bardel</t>
  </si>
  <si>
    <t>Feliciano</t>
  </si>
  <si>
    <t>Maria Sheila</t>
  </si>
  <si>
    <t>Taroy</t>
  </si>
  <si>
    <t>Ferrer</t>
  </si>
  <si>
    <t>Mary Jane</t>
  </si>
  <si>
    <t>Bitgue</t>
  </si>
  <si>
    <t>Fiaco</t>
  </si>
  <si>
    <t>Hatulan</t>
  </si>
  <si>
    <t>Marilyn</t>
  </si>
  <si>
    <t>Ravelas</t>
  </si>
  <si>
    <t>Hovilla</t>
  </si>
  <si>
    <t>Ayag</t>
  </si>
  <si>
    <t>UCD</t>
  </si>
  <si>
    <t>Indicio</t>
  </si>
  <si>
    <t>Mary Joy</t>
  </si>
  <si>
    <t>Murillo</t>
  </si>
  <si>
    <t>Jarabejo</t>
  </si>
  <si>
    <t>Justine</t>
  </si>
  <si>
    <t>Jenalyn</t>
  </si>
  <si>
    <t>Baccay</t>
  </si>
  <si>
    <t>Ledda</t>
  </si>
  <si>
    <t>Aileen</t>
  </si>
  <si>
    <t>Blando</t>
  </si>
  <si>
    <t>Loyaga</t>
  </si>
  <si>
    <t xml:space="preserve">Arambulo </t>
  </si>
  <si>
    <t>Lumboy</t>
  </si>
  <si>
    <t>Christina</t>
  </si>
  <si>
    <t>Calawad</t>
  </si>
  <si>
    <t>jc11,22</t>
  </si>
  <si>
    <t>Madriaga</t>
  </si>
  <si>
    <t>Edzel</t>
  </si>
  <si>
    <t>Dela Cueva</t>
  </si>
  <si>
    <t>Maniclang</t>
  </si>
  <si>
    <t>Marivic Pinky</t>
  </si>
  <si>
    <t>Blanco</t>
  </si>
  <si>
    <t>Jasty Jandel</t>
  </si>
  <si>
    <t>Onato</t>
  </si>
  <si>
    <t>Nacional</t>
  </si>
  <si>
    <t>Abigail</t>
  </si>
  <si>
    <t>Caraan</t>
  </si>
  <si>
    <t>Emily</t>
  </si>
  <si>
    <t>Devoma</t>
  </si>
  <si>
    <t>Ong</t>
  </si>
  <si>
    <t>Rescel</t>
  </si>
  <si>
    <t>Oruga</t>
  </si>
  <si>
    <t>Mia Verona</t>
  </si>
  <si>
    <t>Salonga</t>
  </si>
  <si>
    <t>Paco</t>
  </si>
  <si>
    <t>Daphnee</t>
  </si>
  <si>
    <t>Paz</t>
  </si>
  <si>
    <t>MaryJane</t>
  </si>
  <si>
    <t>Terencio</t>
  </si>
  <si>
    <t>Pedro</t>
  </si>
  <si>
    <t>Sapanta</t>
  </si>
  <si>
    <t>Ana Meann</t>
  </si>
  <si>
    <t>Insigne</t>
  </si>
  <si>
    <t>Pernia</t>
  </si>
  <si>
    <t>Raul</t>
  </si>
  <si>
    <t>Pielago</t>
  </si>
  <si>
    <t>Regato</t>
  </si>
  <si>
    <t>Eloisa</t>
  </si>
  <si>
    <t>Pacites</t>
  </si>
  <si>
    <t>Maricel</t>
  </si>
  <si>
    <t>Manlangit</t>
  </si>
  <si>
    <t>Santiago</t>
  </si>
  <si>
    <t>Mary XZ</t>
  </si>
  <si>
    <t>Gonzales</t>
  </si>
  <si>
    <t>Sarino</t>
  </si>
  <si>
    <t>Lorna</t>
  </si>
  <si>
    <t>Alaisa</t>
  </si>
  <si>
    <t>Rachelle</t>
  </si>
  <si>
    <t>Cantalejo</t>
  </si>
  <si>
    <t>w// retainer pontic</t>
  </si>
  <si>
    <t>Silva</t>
  </si>
  <si>
    <t>Randy</t>
  </si>
  <si>
    <t>Sioco</t>
  </si>
  <si>
    <t>Tagbo</t>
  </si>
  <si>
    <t>Maricris</t>
  </si>
  <si>
    <t>Morcillo</t>
  </si>
  <si>
    <t>Tanedo</t>
  </si>
  <si>
    <t>Donalyn</t>
  </si>
  <si>
    <t>Valdez</t>
  </si>
  <si>
    <t>Timajo</t>
  </si>
  <si>
    <t>Jomaica</t>
  </si>
  <si>
    <t xml:space="preserve">Ledesma </t>
  </si>
  <si>
    <t>Varon</t>
  </si>
  <si>
    <t>Caroline</t>
  </si>
  <si>
    <t>Refran</t>
  </si>
  <si>
    <t>Villocero</t>
  </si>
  <si>
    <t>Trajano</t>
  </si>
  <si>
    <t>Zamora</t>
  </si>
  <si>
    <t>Mary Ann</t>
  </si>
  <si>
    <t>Musa</t>
  </si>
  <si>
    <t>12 - PEG</t>
  </si>
  <si>
    <t>la</t>
  </si>
  <si>
    <t>SOUTHVILLE 1 ES</t>
  </si>
  <si>
    <t>BLK 33 SOUTHVILLE 1 NIUGAN, CITY OF CABUYAO, LAGUNA</t>
  </si>
  <si>
    <t>049-5231121</t>
  </si>
  <si>
    <t>CELENIA</t>
  </si>
  <si>
    <t>ARINGO</t>
  </si>
  <si>
    <t>P4</t>
  </si>
  <si>
    <t xml:space="preserve">09213433344/09178787642 </t>
  </si>
  <si>
    <t>JC46,45,34,35,36,37</t>
  </si>
  <si>
    <t>TEVES</t>
  </si>
  <si>
    <t>RODILYN</t>
  </si>
  <si>
    <t>MENTILLA</t>
  </si>
  <si>
    <t>SYLVIA</t>
  </si>
  <si>
    <t>PLUMARES</t>
  </si>
  <si>
    <t>ALVAREZ</t>
  </si>
  <si>
    <t>HANNA FAITH</t>
  </si>
  <si>
    <t>ALVIZ</t>
  </si>
  <si>
    <t>RODEL MARCELINO</t>
  </si>
  <si>
    <t>ELEMOS</t>
  </si>
  <si>
    <t>ADMIN AIDE 1</t>
  </si>
  <si>
    <t>JORDAN</t>
  </si>
  <si>
    <t>ARCENAL</t>
  </si>
  <si>
    <t>ROSYNELL</t>
  </si>
  <si>
    <t>MT 2</t>
  </si>
  <si>
    <t>ARDIZA</t>
  </si>
  <si>
    <t>OVEROS</t>
  </si>
  <si>
    <t>ASANZA</t>
  </si>
  <si>
    <t>SALVE</t>
  </si>
  <si>
    <t>TOJON</t>
  </si>
  <si>
    <t>BAGNOL</t>
  </si>
  <si>
    <t>MA. LUISA</t>
  </si>
  <si>
    <t>LLANES</t>
  </si>
  <si>
    <t>BAHIL</t>
  </si>
  <si>
    <t>CHUPANG</t>
  </si>
  <si>
    <t>BALLINO</t>
  </si>
  <si>
    <t>GULAY</t>
  </si>
  <si>
    <t>BALMACEDA</t>
  </si>
  <si>
    <t>ZARAH JANE</t>
  </si>
  <si>
    <t>CAPINIG</t>
  </si>
  <si>
    <t>BANAWA</t>
  </si>
  <si>
    <t>BERNADETTE</t>
  </si>
  <si>
    <t>VELLEJO</t>
  </si>
  <si>
    <t>BARCELONA</t>
  </si>
  <si>
    <t>DELA PAZA</t>
  </si>
  <si>
    <t>BASINANG</t>
  </si>
  <si>
    <t>BABELLE</t>
  </si>
  <si>
    <t>JESSALYN</t>
  </si>
  <si>
    <t>BAYANG</t>
  </si>
  <si>
    <t>JINKY</t>
  </si>
  <si>
    <t>ROLLO</t>
  </si>
  <si>
    <t>BONITA</t>
  </si>
  <si>
    <t>NERY</t>
  </si>
  <si>
    <t>BOSE</t>
  </si>
  <si>
    <t>GERRALYN</t>
  </si>
  <si>
    <t>BELLONID</t>
  </si>
  <si>
    <t>TEOFILO JR.</t>
  </si>
  <si>
    <t>CABALLERO</t>
  </si>
  <si>
    <t>BRAGANZA</t>
  </si>
  <si>
    <t>RHEGIN</t>
  </si>
  <si>
    <t>OBAR</t>
  </si>
  <si>
    <t>BRECILLA</t>
  </si>
  <si>
    <t>LUNAS</t>
  </si>
  <si>
    <t>BUSCAINO</t>
  </si>
  <si>
    <t>INALDO</t>
  </si>
  <si>
    <t>CABACANG</t>
  </si>
  <si>
    <t>ARVIE</t>
  </si>
  <si>
    <t>GORDO</t>
  </si>
  <si>
    <t>JO-DERICK</t>
  </si>
  <si>
    <t>CALANO</t>
  </si>
  <si>
    <t>KRISTINE JAN</t>
  </si>
  <si>
    <t>PADRO</t>
  </si>
  <si>
    <t>CAMPO</t>
  </si>
  <si>
    <t>LESLIE</t>
  </si>
  <si>
    <t>MACALE</t>
  </si>
  <si>
    <t>RETAINER UL</t>
  </si>
  <si>
    <t>CANUSA</t>
  </si>
  <si>
    <t>CARALE</t>
  </si>
  <si>
    <t>LEONALYN</t>
  </si>
  <si>
    <t>CASUNURAN</t>
  </si>
  <si>
    <t>CARLOS</t>
  </si>
  <si>
    <t>CELZO</t>
  </si>
  <si>
    <t>TEZAFLOR</t>
  </si>
  <si>
    <t>MAGADIA</t>
  </si>
  <si>
    <t>CLARIÑO</t>
  </si>
  <si>
    <t>VIBAL</t>
  </si>
  <si>
    <t>CLEMENO</t>
  </si>
  <si>
    <t>EMELYN</t>
  </si>
  <si>
    <t>CRISOL</t>
  </si>
  <si>
    <t>TERESITA</t>
  </si>
  <si>
    <t>JONALYN</t>
  </si>
  <si>
    <t>MANGUNDAYAO</t>
  </si>
  <si>
    <t>CARMINA</t>
  </si>
  <si>
    <t>DESIREE</t>
  </si>
  <si>
    <t>DIAGO</t>
  </si>
  <si>
    <t>ROWELLA</t>
  </si>
  <si>
    <t>JUGALDO</t>
  </si>
  <si>
    <t>MENCHIE</t>
  </si>
  <si>
    <t>DOLLESIN</t>
  </si>
  <si>
    <t>RINA</t>
  </si>
  <si>
    <t>ENRILE</t>
  </si>
  <si>
    <t>MA. ALREN</t>
  </si>
  <si>
    <t>ESCANDOR</t>
  </si>
  <si>
    <t>RODA</t>
  </si>
  <si>
    <t>SALONGA</t>
  </si>
  <si>
    <t>ESCANTILLA</t>
  </si>
  <si>
    <t>SUSETTE</t>
  </si>
  <si>
    <t>GALO</t>
  </si>
  <si>
    <t>ESCARIO</t>
  </si>
  <si>
    <t>ROJO</t>
  </si>
  <si>
    <t>ESQUILLON</t>
  </si>
  <si>
    <t>RUBELEN</t>
  </si>
  <si>
    <t>PANZO</t>
  </si>
  <si>
    <t>FETALCORIN</t>
  </si>
  <si>
    <t>JERALYN</t>
  </si>
  <si>
    <t>FAMINI</t>
  </si>
  <si>
    <t>BALANOYOS</t>
  </si>
  <si>
    <t>BONNE REAH</t>
  </si>
  <si>
    <t>GUDES</t>
  </si>
  <si>
    <t>DIORELLA</t>
  </si>
  <si>
    <t>FUERTE</t>
  </si>
  <si>
    <t>GABIN</t>
  </si>
  <si>
    <t>ALIE</t>
  </si>
  <si>
    <t>MEJARES</t>
  </si>
  <si>
    <t>ESCAÑO</t>
  </si>
  <si>
    <t>GALUPINO</t>
  </si>
  <si>
    <t>MA. FLERIDA CONCON</t>
  </si>
  <si>
    <t>ALINAS</t>
  </si>
  <si>
    <t>GAMILLA</t>
  </si>
  <si>
    <t>KATHLYN JOYCE</t>
  </si>
  <si>
    <t>CARREON</t>
  </si>
  <si>
    <t>RUEL</t>
  </si>
  <si>
    <t>B.BURGOS</t>
  </si>
  <si>
    <t>GRIMALDO</t>
  </si>
  <si>
    <t>ZULUETA</t>
  </si>
  <si>
    <t>HALLARES</t>
  </si>
  <si>
    <t>HITA</t>
  </si>
  <si>
    <t>MESA</t>
  </si>
  <si>
    <t>HIZOLE</t>
  </si>
  <si>
    <t>WRENLYN</t>
  </si>
  <si>
    <t>SOTTO</t>
  </si>
  <si>
    <t>JACOLBE</t>
  </si>
  <si>
    <t>MYLIN</t>
  </si>
  <si>
    <t>DEQUINA</t>
  </si>
  <si>
    <t>JALAPIT</t>
  </si>
  <si>
    <t>PEJANO</t>
  </si>
  <si>
    <t>JOCOSOL</t>
  </si>
  <si>
    <t>MADEL</t>
  </si>
  <si>
    <t>KIPTE</t>
  </si>
  <si>
    <t>DAHLIA ROSE</t>
  </si>
  <si>
    <t>GATUS</t>
  </si>
  <si>
    <t>ORTHO U, RETAINER L</t>
  </si>
  <si>
    <t>LAGUD</t>
  </si>
  <si>
    <t>OBED</t>
  </si>
  <si>
    <t>GREGORIA</t>
  </si>
  <si>
    <t>TUSI</t>
  </si>
  <si>
    <t>NANETTE</t>
  </si>
  <si>
    <t>BESINAL</t>
  </si>
  <si>
    <t>LUCES</t>
  </si>
  <si>
    <t>YOLANDA</t>
  </si>
  <si>
    <t>NARCISO</t>
  </si>
  <si>
    <t>MACALISANG</t>
  </si>
  <si>
    <t>MARIA CHERYL</t>
  </si>
  <si>
    <t>ORTHO UPPER</t>
  </si>
  <si>
    <t>MACASA</t>
  </si>
  <si>
    <t>ROSEMARIE JESSA</t>
  </si>
  <si>
    <t>GAGABUAN</t>
  </si>
  <si>
    <t>MACAWILE</t>
  </si>
  <si>
    <t>NAMBATAC</t>
  </si>
  <si>
    <t>ANGELIE</t>
  </si>
  <si>
    <t>BUSTAMANTE</t>
  </si>
  <si>
    <t>DIASTEMA U/L</t>
  </si>
  <si>
    <t>MALALUAN</t>
  </si>
  <si>
    <t>VALERY</t>
  </si>
  <si>
    <t>ENCARGUEZ</t>
  </si>
  <si>
    <t>JASTILLANA</t>
  </si>
  <si>
    <t>MANALOTO</t>
  </si>
  <si>
    <t>GORGONIA</t>
  </si>
  <si>
    <t>FILMA</t>
  </si>
  <si>
    <t>MANIGBAS</t>
  </si>
  <si>
    <t>NANETH</t>
  </si>
  <si>
    <t>MADRIDANO</t>
  </si>
  <si>
    <t>MANLA</t>
  </si>
  <si>
    <t>ANALIE</t>
  </si>
  <si>
    <t>BAWAY</t>
  </si>
  <si>
    <t>09162947274/09544921961</t>
  </si>
  <si>
    <t>MAÑOSA</t>
  </si>
  <si>
    <t>LORADEL</t>
  </si>
  <si>
    <t>SUAZE</t>
  </si>
  <si>
    <t>MARFORI</t>
  </si>
  <si>
    <t>MARIE CRIS</t>
  </si>
  <si>
    <t>CACAO</t>
  </si>
  <si>
    <t>JOYCE ANN</t>
  </si>
  <si>
    <t>TORRES</t>
  </si>
  <si>
    <t>MASCARIÑAS</t>
  </si>
  <si>
    <t>KRISTENE</t>
  </si>
  <si>
    <t>AZUL</t>
  </si>
  <si>
    <t>11 for rct</t>
  </si>
  <si>
    <t>MARIEWIN</t>
  </si>
  <si>
    <t>BALANI</t>
  </si>
  <si>
    <t>ERIKA VERONA</t>
  </si>
  <si>
    <t>MIOLE</t>
  </si>
  <si>
    <t>BORBE</t>
  </si>
  <si>
    <t>NAJERA</t>
  </si>
  <si>
    <t>MEDRANO</t>
  </si>
  <si>
    <t>VIVIALYN</t>
  </si>
  <si>
    <t>BARICANOSA</t>
  </si>
  <si>
    <t>TATAD</t>
  </si>
  <si>
    <t>OLIVIA</t>
  </si>
  <si>
    <t>ROJAS</t>
  </si>
  <si>
    <t>FPD 14-25</t>
  </si>
  <si>
    <t>OPENARIA</t>
  </si>
  <si>
    <t>PALAS</t>
  </si>
  <si>
    <t>JO-AN</t>
  </si>
  <si>
    <t>ALAPRE</t>
  </si>
  <si>
    <t>PARATON</t>
  </si>
  <si>
    <t>JANESOL</t>
  </si>
  <si>
    <t>CARAGAY</t>
  </si>
  <si>
    <t>PEÑAFLOR</t>
  </si>
  <si>
    <t>NIEL ROSE</t>
  </si>
  <si>
    <t>RUTH BETH</t>
  </si>
  <si>
    <t>VILLAMOR</t>
  </si>
  <si>
    <t>GLECIROSE</t>
  </si>
  <si>
    <t>FELISILDA</t>
  </si>
  <si>
    <t>PEREDA</t>
  </si>
  <si>
    <t>MELIZA</t>
  </si>
  <si>
    <t>RODIL</t>
  </si>
  <si>
    <t>9925 6987 42</t>
  </si>
  <si>
    <t>PERFIÑAN</t>
  </si>
  <si>
    <t>VALYJANE</t>
  </si>
  <si>
    <t>DALINOG</t>
  </si>
  <si>
    <t>PIA</t>
  </si>
  <si>
    <t>BEATO</t>
  </si>
  <si>
    <t>QUIERRA</t>
  </si>
  <si>
    <t>RIZABEL</t>
  </si>
  <si>
    <t>DAZA</t>
  </si>
  <si>
    <t>RACOMA</t>
  </si>
  <si>
    <t>MARIA ESTRELLA</t>
  </si>
  <si>
    <t>RAYOS</t>
  </si>
  <si>
    <t>ADELAIDA</t>
  </si>
  <si>
    <t>REALIZAN</t>
  </si>
  <si>
    <t>CRIS</t>
  </si>
  <si>
    <t>BELLAMIL</t>
  </si>
  <si>
    <t>REGONDOLA</t>
  </si>
  <si>
    <t>MAILYN FE</t>
  </si>
  <si>
    <t>RIA</t>
  </si>
  <si>
    <t>REMODO</t>
  </si>
  <si>
    <t>LERDON</t>
  </si>
  <si>
    <t>SHIENA CLAUDELL</t>
  </si>
  <si>
    <t>POOT</t>
  </si>
  <si>
    <t>REY</t>
  </si>
  <si>
    <t>MA. LOURDES</t>
  </si>
  <si>
    <t>AMORIN</t>
  </si>
  <si>
    <t>MARYKNOLL</t>
  </si>
  <si>
    <t>RIOFRIO</t>
  </si>
  <si>
    <t>ROBINES</t>
  </si>
  <si>
    <t>MYLEEN</t>
  </si>
  <si>
    <t>GARIN</t>
  </si>
  <si>
    <t>CLABIA</t>
  </si>
  <si>
    <t>EVORA</t>
  </si>
  <si>
    <t xml:space="preserve">RPDL </t>
  </si>
  <si>
    <t>P 1ST QUAD</t>
  </si>
  <si>
    <t>RETAINER U</t>
  </si>
  <si>
    <t>ROJERO</t>
  </si>
  <si>
    <t>RUELO</t>
  </si>
  <si>
    <t>LAZADO</t>
  </si>
  <si>
    <t>SABILLO</t>
  </si>
  <si>
    <t>LIBERTY</t>
  </si>
  <si>
    <t>IBOJO</t>
  </si>
  <si>
    <t>SACLET</t>
  </si>
  <si>
    <t>STUART</t>
  </si>
  <si>
    <t>SHARMAINE</t>
  </si>
  <si>
    <t>SALTING</t>
  </si>
  <si>
    <t>ORTEGA</t>
  </si>
  <si>
    <t>SALUDES</t>
  </si>
  <si>
    <t>GLORELYN</t>
  </si>
  <si>
    <t>BISONIA</t>
  </si>
  <si>
    <t>SAMUDIO</t>
  </si>
  <si>
    <t>LENY</t>
  </si>
  <si>
    <t>SAMUS</t>
  </si>
  <si>
    <t>JOANNA MAY</t>
  </si>
  <si>
    <t>SARGA</t>
  </si>
  <si>
    <t>ANA LIZA.</t>
  </si>
  <si>
    <t>ALEGRIA</t>
  </si>
  <si>
    <t>SAYSON</t>
  </si>
  <si>
    <t>ARJAY JHON</t>
  </si>
  <si>
    <t>LLAGAS</t>
  </si>
  <si>
    <t>SESE</t>
  </si>
  <si>
    <t>LARAH JANE</t>
  </si>
  <si>
    <t>SIAPNO</t>
  </si>
  <si>
    <t>SINGSON</t>
  </si>
  <si>
    <t>BESANA</t>
  </si>
  <si>
    <t>JC 21,22</t>
  </si>
  <si>
    <t>SOLATORIO</t>
  </si>
  <si>
    <t>CHERYL</t>
  </si>
  <si>
    <t>TACADAO</t>
  </si>
  <si>
    <t>W/ #63</t>
  </si>
  <si>
    <t>WINSTON</t>
  </si>
  <si>
    <t>MEJORADA</t>
  </si>
  <si>
    <t>SUELTO</t>
  </si>
  <si>
    <t>AIZEL</t>
  </si>
  <si>
    <t>BANCAIN</t>
  </si>
  <si>
    <t>TAGALAG</t>
  </si>
  <si>
    <t>REINIEL</t>
  </si>
  <si>
    <t>ALDUEZA</t>
  </si>
  <si>
    <t>TALBO</t>
  </si>
  <si>
    <t>TALOSIG</t>
  </si>
  <si>
    <t>LANIE</t>
  </si>
  <si>
    <t>MAGUNDAYAO</t>
  </si>
  <si>
    <t>TAPALES</t>
  </si>
  <si>
    <t>JUSTINE FERNAN</t>
  </si>
  <si>
    <t>MANANGKIL</t>
  </si>
  <si>
    <t>CLAIRE KIM</t>
  </si>
  <si>
    <t>OLAMIT</t>
  </si>
  <si>
    <t>USALLA</t>
  </si>
  <si>
    <t>ERLINDA</t>
  </si>
  <si>
    <t>CAPUNGCOL</t>
  </si>
  <si>
    <t>VALENTINO</t>
  </si>
  <si>
    <t>RICHELLE</t>
  </si>
  <si>
    <t>JARA</t>
  </si>
  <si>
    <t>VALERIO</t>
  </si>
  <si>
    <t>DANIEL</t>
  </si>
  <si>
    <t>MADARANG</t>
  </si>
  <si>
    <t>VILLAMER</t>
  </si>
  <si>
    <t>HERCE</t>
  </si>
  <si>
    <t>WAGAS</t>
  </si>
  <si>
    <t>MATALCERO</t>
  </si>
  <si>
    <t xml:space="preserve">ANNALIZA </t>
  </si>
  <si>
    <t>JOCSON</t>
  </si>
  <si>
    <t>ZORILLA</t>
  </si>
  <si>
    <t>ZARAH</t>
  </si>
  <si>
    <t>BILE</t>
  </si>
  <si>
    <t>MAE RUTH</t>
  </si>
  <si>
    <t>A</t>
  </si>
  <si>
    <t>CLEFT LIP/PALATE</t>
  </si>
  <si>
    <t>CABUYAO INTEGRATED NATIONAL HIGH SCHOOL</t>
  </si>
  <si>
    <t>LIMCAOCO SUBDIVISION BRGY.TRES. POBLACION, CITY OF CABUYAO, LAGUNA</t>
  </si>
  <si>
    <t>EMBATE</t>
  </si>
  <si>
    <t>LASAFIN</t>
  </si>
  <si>
    <t>Principal IV</t>
  </si>
  <si>
    <t>ABAINZA</t>
  </si>
  <si>
    <t>ALJHEN</t>
  </si>
  <si>
    <t>RHESIL</t>
  </si>
  <si>
    <t>CUYOM</t>
  </si>
  <si>
    <t>ABAO</t>
  </si>
  <si>
    <t>MEJOS</t>
  </si>
  <si>
    <t>CALICOY</t>
  </si>
  <si>
    <t>ACEITUNA</t>
  </si>
  <si>
    <t>MA. LIZA</t>
  </si>
  <si>
    <t>ADAJAR</t>
  </si>
  <si>
    <t>MA. LEONORA</t>
  </si>
  <si>
    <t>MANE</t>
  </si>
  <si>
    <t>CHERRYLYN</t>
  </si>
  <si>
    <t>ARMEA</t>
  </si>
  <si>
    <t>11JC</t>
  </si>
  <si>
    <t>15,14,13,12,11,21,22,23,24,25,26</t>
  </si>
  <si>
    <t>ALCANTARA</t>
  </si>
  <si>
    <t>DANNA MAE</t>
  </si>
  <si>
    <t>MANIMTIM</t>
  </si>
  <si>
    <t>ALCASABAS</t>
  </si>
  <si>
    <t>MA. NORA</t>
  </si>
  <si>
    <t>FPD 13-23</t>
  </si>
  <si>
    <t>DENNIS</t>
  </si>
  <si>
    <t>SUMALDE</t>
  </si>
  <si>
    <t>ALICAN</t>
  </si>
  <si>
    <t>REYNALD</t>
  </si>
  <si>
    <t>POTOT</t>
  </si>
  <si>
    <t>JOHN LESTER</t>
  </si>
  <si>
    <t>RET RF#55</t>
  </si>
  <si>
    <t>ALIPIN</t>
  </si>
  <si>
    <t>MAE</t>
  </si>
  <si>
    <t>ALMODOVAR</t>
  </si>
  <si>
    <t>FILOMENA</t>
  </si>
  <si>
    <t>AMORANTO</t>
  </si>
  <si>
    <t>ALGIRE</t>
  </si>
  <si>
    <t>ANDALUZ</t>
  </si>
  <si>
    <t>MARISIL</t>
  </si>
  <si>
    <t>ANTOLIN</t>
  </si>
  <si>
    <t>AVON</t>
  </si>
  <si>
    <t>PAYO</t>
  </si>
  <si>
    <t>CLARISSE</t>
  </si>
  <si>
    <t>JONELL</t>
  </si>
  <si>
    <t>PARABAS</t>
  </si>
  <si>
    <t>ARQUIZA</t>
  </si>
  <si>
    <t>ARROYO</t>
  </si>
  <si>
    <t>ESPOSO</t>
  </si>
  <si>
    <t>ASPERELA</t>
  </si>
  <si>
    <t>JENIFFER</t>
  </si>
  <si>
    <t>AUSTRIA</t>
  </si>
  <si>
    <t>JOSE</t>
  </si>
  <si>
    <t>1 JC</t>
  </si>
  <si>
    <t>VITUG</t>
  </si>
  <si>
    <t>BALASBAS</t>
  </si>
  <si>
    <t>BABINA</t>
  </si>
  <si>
    <t>BALITA</t>
  </si>
  <si>
    <t>BALLONADO</t>
  </si>
  <si>
    <t>BAGAMASBAD</t>
  </si>
  <si>
    <t>FPD 46-44,33-37</t>
  </si>
  <si>
    <t>BANALO</t>
  </si>
  <si>
    <t>ORVILLE</t>
  </si>
  <si>
    <t>BARRENECHEA</t>
  </si>
  <si>
    <t>GAIN CARLA</t>
  </si>
  <si>
    <t>PEE JAY</t>
  </si>
  <si>
    <t>RODEL</t>
  </si>
  <si>
    <t>DEMONTEVERDE</t>
  </si>
  <si>
    <t>RICHARD DOMINIC</t>
  </si>
  <si>
    <t>HERMANO</t>
  </si>
  <si>
    <t>BASCO</t>
  </si>
  <si>
    <t>GLADIS</t>
  </si>
  <si>
    <t>CDU/RPDL</t>
  </si>
  <si>
    <t>TERRY LOU</t>
  </si>
  <si>
    <t>DUAZO</t>
  </si>
  <si>
    <t>BATUCTOC</t>
  </si>
  <si>
    <t>LEO VIGIL</t>
  </si>
  <si>
    <t>MOLINA</t>
  </si>
  <si>
    <t>MARIA CHELSEA</t>
  </si>
  <si>
    <t>IGNACIO</t>
  </si>
  <si>
    <t>BELARMA</t>
  </si>
  <si>
    <t>ANTIPORTA</t>
  </si>
  <si>
    <t>BELGAR</t>
  </si>
  <si>
    <t>GORGONIO</t>
  </si>
  <si>
    <t>BENAVIDES</t>
  </si>
  <si>
    <t>SHEKINAH JUDINE CLARISSE</t>
  </si>
  <si>
    <t>BIO</t>
  </si>
  <si>
    <t>LANI</t>
  </si>
  <si>
    <t>MONTEALEGRE</t>
  </si>
  <si>
    <t>BONZA</t>
  </si>
  <si>
    <t>MENERVA</t>
  </si>
  <si>
    <t>ILOCO</t>
  </si>
  <si>
    <t>BORINAGA</t>
  </si>
  <si>
    <t>JOANA MARIE</t>
  </si>
  <si>
    <t>BORJA</t>
  </si>
  <si>
    <t>ERWIN</t>
  </si>
  <si>
    <t>ALBOS</t>
  </si>
  <si>
    <t>BOTICARIO</t>
  </si>
  <si>
    <t>MARK JASON</t>
  </si>
  <si>
    <t>BRAGAIS</t>
  </si>
  <si>
    <t>HERIZA</t>
  </si>
  <si>
    <t>BRISTOL</t>
  </si>
  <si>
    <t>FELICITAS</t>
  </si>
  <si>
    <t>CARADO</t>
  </si>
  <si>
    <t>BROSAS</t>
  </si>
  <si>
    <t>CARLO</t>
  </si>
  <si>
    <t>NICOPIOR</t>
  </si>
  <si>
    <t>CADAG</t>
  </si>
  <si>
    <t>OMBAO</t>
  </si>
  <si>
    <t>CALAMA-AN</t>
  </si>
  <si>
    <t>SHERYL MAE</t>
  </si>
  <si>
    <t>CALUAG</t>
  </si>
  <si>
    <t>ABISH</t>
  </si>
  <si>
    <t>CANOLE</t>
  </si>
  <si>
    <t>CANDELARIO</t>
  </si>
  <si>
    <t>SIBUERA</t>
  </si>
  <si>
    <t>CANDIA</t>
  </si>
  <si>
    <t>PAUL VINCENT</t>
  </si>
  <si>
    <t>NIÑO</t>
  </si>
  <si>
    <t>CAPONPON</t>
  </si>
  <si>
    <t>PAOLO</t>
  </si>
  <si>
    <t>LAYDIA</t>
  </si>
  <si>
    <t>CARLOM</t>
  </si>
  <si>
    <t>JOHN RHEY</t>
  </si>
  <si>
    <t>GRAGASLAO</t>
  </si>
  <si>
    <t xml:space="preserve">ORTHO </t>
  </si>
  <si>
    <t>CARTAÑO</t>
  </si>
  <si>
    <t>MARIA ROBERTA</t>
  </si>
  <si>
    <t>ACITUNA</t>
  </si>
  <si>
    <t>Head Teacher 1</t>
  </si>
  <si>
    <t>CASECA</t>
  </si>
  <si>
    <t>JULIE ANN</t>
  </si>
  <si>
    <t>Bañez</t>
  </si>
  <si>
    <t>CENIDO</t>
  </si>
  <si>
    <t>TRISHA</t>
  </si>
  <si>
    <t>KAREM</t>
  </si>
  <si>
    <t>OBREGON</t>
  </si>
  <si>
    <t>CENTENO</t>
  </si>
  <si>
    <t>DARIUS</t>
  </si>
  <si>
    <t>SIMAN</t>
  </si>
  <si>
    <t>COMPLE</t>
  </si>
  <si>
    <t>NIKHA</t>
  </si>
  <si>
    <t>DORADO</t>
  </si>
  <si>
    <t>CONTRERAS</t>
  </si>
  <si>
    <t>MABAGA</t>
  </si>
  <si>
    <t>JONALINE</t>
  </si>
  <si>
    <t>FERNANDO</t>
  </si>
  <si>
    <t>JC 11</t>
  </si>
  <si>
    <t>ANN ROSE</t>
  </si>
  <si>
    <t>*09176481784</t>
  </si>
  <si>
    <t>DONALDO, JR.</t>
  </si>
  <si>
    <t>TELMA</t>
  </si>
  <si>
    <t>VELUZ</t>
  </si>
  <si>
    <t>DECENA</t>
  </si>
  <si>
    <t>LEONCIA</t>
  </si>
  <si>
    <t>NORINA</t>
  </si>
  <si>
    <t>GAYON</t>
  </si>
  <si>
    <t>KEZIAH</t>
  </si>
  <si>
    <t>LANGRES</t>
  </si>
  <si>
    <t>MARIA CECILIA</t>
  </si>
  <si>
    <t>ABRENICA</t>
  </si>
  <si>
    <t>DESUNIA</t>
  </si>
  <si>
    <t>ESCOPETE</t>
  </si>
  <si>
    <t>CZARINA</t>
  </si>
  <si>
    <t>DIONIDO</t>
  </si>
  <si>
    <t>DISCARGA</t>
  </si>
  <si>
    <t>FULGOSINO</t>
  </si>
  <si>
    <t>DOCTOLERO</t>
  </si>
  <si>
    <t>JIFFY</t>
  </si>
  <si>
    <t>BONGANCISO</t>
  </si>
  <si>
    <t>DOMANTAY</t>
  </si>
  <si>
    <t>MA CLARITA</t>
  </si>
  <si>
    <t>DORIA</t>
  </si>
  <si>
    <t>STEPHEN LORENZO</t>
  </si>
  <si>
    <t>PAJOTA</t>
  </si>
  <si>
    <t>ELAGO</t>
  </si>
  <si>
    <t>ARMIJANE</t>
  </si>
  <si>
    <t>GUEVARRA</t>
  </si>
  <si>
    <t>ELCA</t>
  </si>
  <si>
    <t>ARINUELO</t>
  </si>
  <si>
    <t>for LRPD &amp; new URPD</t>
  </si>
  <si>
    <t>ESPALDON</t>
  </si>
  <si>
    <t>ARVISU</t>
  </si>
  <si>
    <t>ESPINOZA</t>
  </si>
  <si>
    <t>JENNY ROSE</t>
  </si>
  <si>
    <t>CABANSAG</t>
  </si>
  <si>
    <t>ESTEBAN</t>
  </si>
  <si>
    <t>CEJO</t>
  </si>
  <si>
    <t>ESTRADA</t>
  </si>
  <si>
    <t>DONNA JEAN</t>
  </si>
  <si>
    <t>EUSOYA</t>
  </si>
  <si>
    <t>NIÑA ABEGAIL</t>
  </si>
  <si>
    <t>BROCE</t>
  </si>
  <si>
    <t>WILMA</t>
  </si>
  <si>
    <t>TEACHE I</t>
  </si>
  <si>
    <t>EXCONDE</t>
  </si>
  <si>
    <t>FELIX</t>
  </si>
  <si>
    <t>DAYSA</t>
  </si>
  <si>
    <t>FETESIO</t>
  </si>
  <si>
    <t>RALPH GREGOR</t>
  </si>
  <si>
    <t>FAMARIN</t>
  </si>
  <si>
    <t>ADOLINA</t>
  </si>
  <si>
    <t>COSTALES</t>
  </si>
  <si>
    <t>GALAPO</t>
  </si>
  <si>
    <t>SHERILYN</t>
  </si>
  <si>
    <t>CALA</t>
  </si>
  <si>
    <t>GERVACIO</t>
  </si>
  <si>
    <t>GIRLIE</t>
  </si>
  <si>
    <t>SALDAÑA</t>
  </si>
  <si>
    <t>JOHN MARTIN</t>
  </si>
  <si>
    <t>CELIA CONCEPCION</t>
  </si>
  <si>
    <t>ODIZA</t>
  </si>
  <si>
    <t>RINALYN</t>
  </si>
  <si>
    <t>GAON</t>
  </si>
  <si>
    <t>HABAL</t>
  </si>
  <si>
    <t>ZAINT HARBI</t>
  </si>
  <si>
    <t>ALQUIZAR</t>
  </si>
  <si>
    <t>HALDOS</t>
  </si>
  <si>
    <t>MANGOSING</t>
  </si>
  <si>
    <t>HARDILLO</t>
  </si>
  <si>
    <t>LYDIA</t>
  </si>
  <si>
    <t>Hatuina</t>
  </si>
  <si>
    <t>HERCIA</t>
  </si>
  <si>
    <t>RICHEL</t>
  </si>
  <si>
    <t>HERMES</t>
  </si>
  <si>
    <t>MACARAIG</t>
  </si>
  <si>
    <t>HONGERIA</t>
  </si>
  <si>
    <t>DAR</t>
  </si>
  <si>
    <t>Head Teacher IV</t>
  </si>
  <si>
    <t>EDERLIZA</t>
  </si>
  <si>
    <t>BENJAMIN</t>
  </si>
  <si>
    <t>JAIN</t>
  </si>
  <si>
    <t>ALLAN GILBERT</t>
  </si>
  <si>
    <t>JAMON</t>
  </si>
  <si>
    <t>MACY</t>
  </si>
  <si>
    <t>MAÑIBO</t>
  </si>
  <si>
    <t>KAGAYUTAN</t>
  </si>
  <si>
    <t>MARIA REMEDIOS</t>
  </si>
  <si>
    <t>CALANDRIA</t>
  </si>
  <si>
    <t>LAIDA</t>
  </si>
  <si>
    <t>ROSE ANNE</t>
  </si>
  <si>
    <t>LAMATA</t>
  </si>
  <si>
    <t>GUERIBA</t>
  </si>
  <si>
    <t>LAQUIAN</t>
  </si>
  <si>
    <t>CALMA</t>
  </si>
  <si>
    <t>EMILYN</t>
  </si>
  <si>
    <t>PASILONA</t>
  </si>
  <si>
    <t>ORTHO LOWER</t>
  </si>
  <si>
    <t>ZINNIA</t>
  </si>
  <si>
    <t>LIBROJO</t>
  </si>
  <si>
    <t>MILETTE</t>
  </si>
  <si>
    <t>FPD 14-22</t>
  </si>
  <si>
    <t>LIRIO</t>
  </si>
  <si>
    <t>MA. ANTONIA</t>
  </si>
  <si>
    <t>LLABAN</t>
  </si>
  <si>
    <t>CARBAJOSA</t>
  </si>
  <si>
    <t>NATALIE</t>
  </si>
  <si>
    <t>PD 16-15,12-22, 25-26</t>
  </si>
  <si>
    <t>LUBAS</t>
  </si>
  <si>
    <t>CLARITO</t>
  </si>
  <si>
    <t>MINERVA</t>
  </si>
  <si>
    <t>MACATIMPAG</t>
  </si>
  <si>
    <t>CLAIRE</t>
  </si>
  <si>
    <t>BAMIANO</t>
  </si>
  <si>
    <t>MADERAZO</t>
  </si>
  <si>
    <t>NONILON</t>
  </si>
  <si>
    <t>MAGANTE</t>
  </si>
  <si>
    <t>MAGCAWAS</t>
  </si>
  <si>
    <t>MAGPUSAO</t>
  </si>
  <si>
    <t>ANA LUZ</t>
  </si>
  <si>
    <t>ACIDO</t>
  </si>
  <si>
    <t>MALABORBOR</t>
  </si>
  <si>
    <t>CELERINA</t>
  </si>
  <si>
    <t>ZERI</t>
  </si>
  <si>
    <t>UGAY</t>
  </si>
  <si>
    <t>0946-1100567</t>
  </si>
  <si>
    <t>MALLEON</t>
  </si>
  <si>
    <t>ALMA NICA</t>
  </si>
  <si>
    <t>JONAMAR</t>
  </si>
  <si>
    <t>Mandrique</t>
  </si>
  <si>
    <t>3JC</t>
  </si>
  <si>
    <t>MANILYN</t>
  </si>
  <si>
    <t>MANCION</t>
  </si>
  <si>
    <t>MANLAPAZ</t>
  </si>
  <si>
    <t>MARIANNE</t>
  </si>
  <si>
    <t>BARTOLO</t>
  </si>
  <si>
    <t>RET  U/L</t>
  </si>
  <si>
    <t>RICKY</t>
  </si>
  <si>
    <t>BERNALES</t>
  </si>
  <si>
    <t>Head Teacher III</t>
  </si>
  <si>
    <t>CARA</t>
  </si>
  <si>
    <t>MARMETO</t>
  </si>
  <si>
    <t>SALCEDO</t>
  </si>
  <si>
    <t>Teacher 1I</t>
  </si>
  <si>
    <t>NAGALES</t>
  </si>
  <si>
    <t>MARIA NINA</t>
  </si>
  <si>
    <t>MENES</t>
  </si>
  <si>
    <t>DILE</t>
  </si>
  <si>
    <t>MENESES</t>
  </si>
  <si>
    <t>MAE ANN</t>
  </si>
  <si>
    <t>FETALSANA</t>
  </si>
  <si>
    <t>MERCURIO</t>
  </si>
  <si>
    <t>ANELITA</t>
  </si>
  <si>
    <t>MERMONDE</t>
  </si>
  <si>
    <t>VIDAD</t>
  </si>
  <si>
    <t>MICHELENA</t>
  </si>
  <si>
    <t>HONEYLET</t>
  </si>
  <si>
    <t>VENUYA</t>
  </si>
  <si>
    <t>MONTEVERDE</t>
  </si>
  <si>
    <t>ROYINA</t>
  </si>
  <si>
    <t>MUELLA</t>
  </si>
  <si>
    <t>MARINELLE</t>
  </si>
  <si>
    <t>ORIOLA</t>
  </si>
  <si>
    <t>NASATAYA</t>
  </si>
  <si>
    <t>ROBI</t>
  </si>
  <si>
    <t>RUIZO</t>
  </si>
  <si>
    <t>3 JC</t>
  </si>
  <si>
    <t>OLAYBAL</t>
  </si>
  <si>
    <t>MONI</t>
  </si>
  <si>
    <t>EDWINA</t>
  </si>
  <si>
    <t>Teacher lll</t>
  </si>
  <si>
    <t>ORACION</t>
  </si>
  <si>
    <t>JOHN JOSHUA</t>
  </si>
  <si>
    <t>HERMOSA</t>
  </si>
  <si>
    <t>RET U</t>
  </si>
  <si>
    <t>PABLO</t>
  </si>
  <si>
    <t>DONNABELLE</t>
  </si>
  <si>
    <t>RPDU/L 1JC</t>
  </si>
  <si>
    <t>PANALIGAN</t>
  </si>
  <si>
    <t>CHEDITH</t>
  </si>
  <si>
    <t>PANGILINAN</t>
  </si>
  <si>
    <t>SOCITO</t>
  </si>
  <si>
    <t>PETER JOSHUA</t>
  </si>
  <si>
    <t>LAURA</t>
  </si>
  <si>
    <t>BATACLAO</t>
  </si>
  <si>
    <t>MARIA KRISTEL</t>
  </si>
  <si>
    <t>PESIGAN</t>
  </si>
  <si>
    <t>IRENE JOY</t>
  </si>
  <si>
    <t>PANTOJA</t>
  </si>
  <si>
    <t>CRISANTA</t>
  </si>
  <si>
    <t>PIMENTEL</t>
  </si>
  <si>
    <t>FARAON</t>
  </si>
  <si>
    <t>PINGAD</t>
  </si>
  <si>
    <t>ELSA</t>
  </si>
  <si>
    <t>POLO</t>
  </si>
  <si>
    <t>MARIAFE</t>
  </si>
  <si>
    <t>CABUHAT</t>
  </si>
  <si>
    <t>JOEMAR</t>
  </si>
  <si>
    <t>PONTIPEDRA</t>
  </si>
  <si>
    <t>PREDICALA</t>
  </si>
  <si>
    <t>GLAISA</t>
  </si>
  <si>
    <t>JANICA GRACE</t>
  </si>
  <si>
    <t>PAÑARES</t>
  </si>
  <si>
    <t>CHRISTOPHER</t>
  </si>
  <si>
    <t>BUMAGA</t>
  </si>
  <si>
    <t>for ulrpd</t>
  </si>
  <si>
    <t>QUIOZON</t>
  </si>
  <si>
    <t>MYRA CECILIA</t>
  </si>
  <si>
    <t>AN ZELRAD</t>
  </si>
  <si>
    <t>REBANAL</t>
  </si>
  <si>
    <t>LAURA DHEL VICTORIA</t>
  </si>
  <si>
    <t>BARCILENA</t>
  </si>
  <si>
    <t>RESURRECCION</t>
  </si>
  <si>
    <t>JESUS</t>
  </si>
  <si>
    <t>ESPEJO</t>
  </si>
  <si>
    <t>ROA</t>
  </si>
  <si>
    <t>TESSIE</t>
  </si>
  <si>
    <t>ALMOITE</t>
  </si>
  <si>
    <t>RUBIANO</t>
  </si>
  <si>
    <t>OSUYOS</t>
  </si>
  <si>
    <t>QUIMING</t>
  </si>
  <si>
    <t>MAY</t>
  </si>
  <si>
    <t>DIMACULANGAN</t>
  </si>
  <si>
    <t>FPD 15-14, 23-27</t>
  </si>
  <si>
    <t>SAMBILLOSA</t>
  </si>
  <si>
    <t>JOHN EDWARD</t>
  </si>
  <si>
    <t>CATANGUI</t>
  </si>
  <si>
    <t>NINEVETCH</t>
  </si>
  <si>
    <t>SANTIDAD</t>
  </si>
  <si>
    <t>MENSON</t>
  </si>
  <si>
    <t>VILLAMIEL</t>
  </si>
  <si>
    <t>SEGUIDO</t>
  </si>
  <si>
    <t>SIQUIG</t>
  </si>
  <si>
    <t>SOLANO</t>
  </si>
  <si>
    <t>SAQUIDO</t>
  </si>
  <si>
    <t>ANNA ROCHELLE</t>
  </si>
  <si>
    <t>ORTHO RPDU/L</t>
  </si>
  <si>
    <t>HARRY</t>
  </si>
  <si>
    <t>BARBARQUEZ</t>
  </si>
  <si>
    <t>SUBIA</t>
  </si>
  <si>
    <t>RIZALINE</t>
  </si>
  <si>
    <t>SUMAPIG</t>
  </si>
  <si>
    <t>SY</t>
  </si>
  <si>
    <t>LORNA</t>
  </si>
  <si>
    <t>TALAVERA</t>
  </si>
  <si>
    <t>TAPAS</t>
  </si>
  <si>
    <t>MARK LAURENCE</t>
  </si>
  <si>
    <t>TULAY</t>
  </si>
  <si>
    <t>TENGSON</t>
  </si>
  <si>
    <t>JENNY LYN</t>
  </si>
  <si>
    <t>DUEÑOS</t>
  </si>
  <si>
    <t>MAXIMO</t>
  </si>
  <si>
    <t>APRILYN JOY</t>
  </si>
  <si>
    <t>VISCAINO</t>
  </si>
  <si>
    <t>TORINO</t>
  </si>
  <si>
    <t>SHEILA MARIE</t>
  </si>
  <si>
    <t>REGODON</t>
  </si>
  <si>
    <t>SPECIAL SCIENCE TEACHER I</t>
  </si>
  <si>
    <t>TRASMONTE</t>
  </si>
  <si>
    <t>Alimagno</t>
  </si>
  <si>
    <t>TRINOS</t>
  </si>
  <si>
    <t>ERICKHA TRISHA</t>
  </si>
  <si>
    <t>VARGAS</t>
  </si>
  <si>
    <t>NARIZA</t>
  </si>
  <si>
    <t>LARANGA</t>
  </si>
  <si>
    <t>VELARDE</t>
  </si>
  <si>
    <t>IVAN CHRISTIAN</t>
  </si>
  <si>
    <t>GAHITE</t>
  </si>
  <si>
    <t>RET U/L</t>
  </si>
  <si>
    <t>VILLALUZ</t>
  </si>
  <si>
    <t>ALYSSA</t>
  </si>
  <si>
    <t>BELANTE</t>
  </si>
  <si>
    <t>ANGELLI</t>
  </si>
  <si>
    <t>VILLELA</t>
  </si>
  <si>
    <t>DAISY JOY</t>
  </si>
  <si>
    <t>SALAN</t>
  </si>
  <si>
    <t>VINALAY</t>
  </si>
  <si>
    <t>NOELYN CRYSTAL</t>
  </si>
  <si>
    <t>YASIS</t>
  </si>
  <si>
    <t>JAY RUPERT</t>
  </si>
  <si>
    <t>LAMADRID</t>
  </si>
  <si>
    <t>g\GULOD NATIONAL HIGH SCHOOL</t>
  </si>
  <si>
    <t>PUROK 3 BRGY GULOD CABUYAO CITY</t>
  </si>
  <si>
    <t>VALIENTE</t>
  </si>
  <si>
    <t>YOLLY</t>
  </si>
  <si>
    <t>D.</t>
  </si>
  <si>
    <t>Abarquez</t>
  </si>
  <si>
    <t>Leniel</t>
  </si>
  <si>
    <t>Bueno</t>
  </si>
  <si>
    <t xml:space="preserve">Alcaneses </t>
  </si>
  <si>
    <t>Mary Anne</t>
  </si>
  <si>
    <t>Llanes</t>
  </si>
  <si>
    <t>Almendral</t>
  </si>
  <si>
    <t>Mary Heart</t>
  </si>
  <si>
    <t>Cornejo</t>
  </si>
  <si>
    <t>Administrative Assistant III</t>
  </si>
  <si>
    <t>Amarante</t>
  </si>
  <si>
    <t>Roberto</t>
  </si>
  <si>
    <t>Head Teacher II</t>
  </si>
  <si>
    <t>Anabo</t>
  </si>
  <si>
    <t>Juvy</t>
  </si>
  <si>
    <t>Pomida</t>
  </si>
  <si>
    <t xml:space="preserve">Teacher I </t>
  </si>
  <si>
    <t xml:space="preserve">Andaya </t>
  </si>
  <si>
    <t xml:space="preserve">Maria Guia </t>
  </si>
  <si>
    <t>Asi</t>
  </si>
  <si>
    <t xml:space="preserve">Kim Roldan </t>
  </si>
  <si>
    <t>Cueto</t>
  </si>
  <si>
    <t xml:space="preserve">Master Teacher I </t>
  </si>
  <si>
    <t>Aranzanso</t>
  </si>
  <si>
    <t>Arboladura</t>
  </si>
  <si>
    <t>Daisy</t>
  </si>
  <si>
    <t>Alba</t>
  </si>
  <si>
    <t>Artillaga</t>
  </si>
  <si>
    <t>Haidee</t>
  </si>
  <si>
    <t>Bahilango</t>
  </si>
  <si>
    <t>Fritz</t>
  </si>
  <si>
    <t>Martinez</t>
  </si>
  <si>
    <t>Baroro</t>
  </si>
  <si>
    <t>Larry Ace</t>
  </si>
  <si>
    <t>Caringal</t>
  </si>
  <si>
    <t>Batralo</t>
  </si>
  <si>
    <t>Carolyn</t>
  </si>
  <si>
    <t xml:space="preserve">Bocala Jr. </t>
  </si>
  <si>
    <t>Leopoldo</t>
  </si>
  <si>
    <t>Rendiza</t>
  </si>
  <si>
    <t>13-23</t>
  </si>
  <si>
    <t>Cabling</t>
  </si>
  <si>
    <t>Nancy</t>
  </si>
  <si>
    <t>09761784948</t>
  </si>
  <si>
    <t>Ansherina</t>
  </si>
  <si>
    <t>Soriano</t>
  </si>
  <si>
    <t>Carteciano</t>
  </si>
  <si>
    <t>Emerlyn</t>
  </si>
  <si>
    <t>35-36</t>
  </si>
  <si>
    <t>Cenido</t>
  </si>
  <si>
    <t>Felipe</t>
  </si>
  <si>
    <t>Lapuz</t>
  </si>
  <si>
    <t>Cutay</t>
  </si>
  <si>
    <t>Shekeina</t>
  </si>
  <si>
    <t>Gallardo</t>
  </si>
  <si>
    <t>Dago</t>
  </si>
  <si>
    <t>Al-jon</t>
  </si>
  <si>
    <t>Rapista</t>
  </si>
  <si>
    <t>De Jesus</t>
  </si>
  <si>
    <t>Herlyn</t>
  </si>
  <si>
    <t>Bariring</t>
  </si>
  <si>
    <t>De Luna</t>
  </si>
  <si>
    <t>Raiza</t>
  </si>
  <si>
    <t>Alcasabas</t>
  </si>
  <si>
    <t>De Villa</t>
  </si>
  <si>
    <t>Mark Anthony</t>
  </si>
  <si>
    <t>Del Pilar</t>
  </si>
  <si>
    <t>Levann Dulf</t>
  </si>
  <si>
    <t>De Ocampo</t>
  </si>
  <si>
    <t>Delacion</t>
  </si>
  <si>
    <t>Bonifacia</t>
  </si>
  <si>
    <t>Delfina</t>
  </si>
  <si>
    <t>Anna Dominique</t>
  </si>
  <si>
    <t>San Juan</t>
  </si>
  <si>
    <t xml:space="preserve">Delfina </t>
  </si>
  <si>
    <t>Emma</t>
  </si>
  <si>
    <t>Delfinado</t>
  </si>
  <si>
    <t>Delgado</t>
  </si>
  <si>
    <t xml:space="preserve">Delmiguez </t>
  </si>
  <si>
    <t xml:space="preserve">Joy Michelle </t>
  </si>
  <si>
    <t>Juanzo</t>
  </si>
  <si>
    <t>Deluso</t>
  </si>
  <si>
    <t>Balasa</t>
  </si>
  <si>
    <t>Edeza Jr.</t>
  </si>
  <si>
    <t>Julio</t>
  </si>
  <si>
    <t>Mamplata</t>
  </si>
  <si>
    <t>Endrinal</t>
  </si>
  <si>
    <t>Jane Rose</t>
  </si>
  <si>
    <t>Hermoso</t>
  </si>
  <si>
    <t>Enteria</t>
  </si>
  <si>
    <t>Niño</t>
  </si>
  <si>
    <t>Lerin</t>
  </si>
  <si>
    <t>Escalante</t>
  </si>
  <si>
    <t>Allan</t>
  </si>
  <si>
    <t>Balanay</t>
  </si>
  <si>
    <t xml:space="preserve">Escayde </t>
  </si>
  <si>
    <t>Marisa</t>
  </si>
  <si>
    <t xml:space="preserve">Ferrancollo </t>
  </si>
  <si>
    <t>Estabillo</t>
  </si>
  <si>
    <t>Jhon Roberth</t>
  </si>
  <si>
    <t>Librada</t>
  </si>
  <si>
    <t>Estacio</t>
  </si>
  <si>
    <t>Gahite</t>
  </si>
  <si>
    <t>JC 13,12</t>
  </si>
  <si>
    <t>Genesis</t>
  </si>
  <si>
    <t>Lonzagay</t>
  </si>
  <si>
    <t>Maryjoy</t>
  </si>
  <si>
    <t>Doblon</t>
  </si>
  <si>
    <t>Cabañes</t>
  </si>
  <si>
    <t>Fulleros</t>
  </si>
  <si>
    <t>Nannett</t>
  </si>
  <si>
    <t>Vicente</t>
  </si>
  <si>
    <t>Galeza</t>
  </si>
  <si>
    <t>Gache</t>
  </si>
  <si>
    <t>Ma. Nina</t>
  </si>
  <si>
    <t>Soliman</t>
  </si>
  <si>
    <t>Alpante</t>
  </si>
  <si>
    <t>Ganaden</t>
  </si>
  <si>
    <t>Carlota</t>
  </si>
  <si>
    <t>Bulandan</t>
  </si>
  <si>
    <t>Angelica Joy</t>
  </si>
  <si>
    <t>Hernandez</t>
  </si>
  <si>
    <t>Gualvez</t>
  </si>
  <si>
    <t xml:space="preserve">Madelyn </t>
  </si>
  <si>
    <t xml:space="preserve">Vega  </t>
  </si>
  <si>
    <t>Hibaya</t>
  </si>
  <si>
    <t>Carolina</t>
  </si>
  <si>
    <t>Bueta</t>
  </si>
  <si>
    <t>Hinagpis</t>
  </si>
  <si>
    <t>Sta.Maria</t>
  </si>
  <si>
    <t>Kraft</t>
  </si>
  <si>
    <t xml:space="preserve">Angelyn </t>
  </si>
  <si>
    <t>Laggui</t>
  </si>
  <si>
    <t>Renaldo antonio</t>
  </si>
  <si>
    <t>Joaquin</t>
  </si>
  <si>
    <t>Lanaca</t>
  </si>
  <si>
    <t xml:space="preserve">Reynaldo  </t>
  </si>
  <si>
    <t>Garcia</t>
  </si>
  <si>
    <t>Landan</t>
  </si>
  <si>
    <t xml:space="preserve">Rosemary </t>
  </si>
  <si>
    <t>Bugais</t>
  </si>
  <si>
    <t>09093954515</t>
  </si>
  <si>
    <t>Leonido</t>
  </si>
  <si>
    <t>Virginia</t>
  </si>
  <si>
    <t>Noble</t>
  </si>
  <si>
    <t>Lina</t>
  </si>
  <si>
    <t>Kaycee Anne</t>
  </si>
  <si>
    <t>Mallari</t>
  </si>
  <si>
    <t>Lisay</t>
  </si>
  <si>
    <t>Annaliza</t>
  </si>
  <si>
    <t>Oracion</t>
  </si>
  <si>
    <t>Lumen</t>
  </si>
  <si>
    <t>Jaycel</t>
  </si>
  <si>
    <t>MAGAMAY</t>
  </si>
  <si>
    <t>Malayao</t>
  </si>
  <si>
    <t>Mailyn</t>
  </si>
  <si>
    <t>Alapan</t>
  </si>
  <si>
    <t>09237368845</t>
  </si>
  <si>
    <t>Managat</t>
  </si>
  <si>
    <t>Ronalyn</t>
  </si>
  <si>
    <t>Mananquil</t>
  </si>
  <si>
    <t xml:space="preserve">Chrislyn Mae </t>
  </si>
  <si>
    <t>Torres</t>
  </si>
  <si>
    <t>Mangue</t>
  </si>
  <si>
    <t>Rissel</t>
  </si>
  <si>
    <t>Ana Liza</t>
  </si>
  <si>
    <t>Dela Paz</t>
  </si>
  <si>
    <t>Masucol</t>
  </si>
  <si>
    <t>Rodolfo Jr</t>
  </si>
  <si>
    <t>Gaetos</t>
  </si>
  <si>
    <t>09956598009</t>
  </si>
  <si>
    <t xml:space="preserve">Jerald Clark </t>
  </si>
  <si>
    <t>Canlapan</t>
  </si>
  <si>
    <t>Nequinto</t>
  </si>
  <si>
    <t>Cuntapay</t>
  </si>
  <si>
    <t>Orcullo</t>
  </si>
  <si>
    <t>Nora</t>
  </si>
  <si>
    <t>Alvarado</t>
  </si>
  <si>
    <t>Pacoma</t>
  </si>
  <si>
    <t>Cherry</t>
  </si>
  <si>
    <t>Opiña</t>
  </si>
  <si>
    <t>Pangan</t>
  </si>
  <si>
    <t>Ma. Ruby</t>
  </si>
  <si>
    <t>Caunin</t>
  </si>
  <si>
    <t>Pantaleon</t>
  </si>
  <si>
    <t>Jerico</t>
  </si>
  <si>
    <t>Oclarino</t>
  </si>
  <si>
    <t>Parala</t>
  </si>
  <si>
    <t>Arlene</t>
  </si>
  <si>
    <t>Java</t>
  </si>
  <si>
    <t>Arthur</t>
  </si>
  <si>
    <t>Gabilo</t>
  </si>
  <si>
    <t>Administrative Assistant II</t>
  </si>
  <si>
    <t>09279592498</t>
  </si>
  <si>
    <t>Kriztel Ann</t>
  </si>
  <si>
    <t>09205004545</t>
  </si>
  <si>
    <t>Pechay</t>
  </si>
  <si>
    <t>Rosielle</t>
  </si>
  <si>
    <t>De Torres</t>
  </si>
  <si>
    <t>Pescadero</t>
  </si>
  <si>
    <t>Janessa Joy</t>
  </si>
  <si>
    <t>Privado</t>
  </si>
  <si>
    <t>Edison</t>
  </si>
  <si>
    <t>De Los Reyes</t>
  </si>
  <si>
    <t>Puente</t>
  </si>
  <si>
    <t>Quesoy</t>
  </si>
  <si>
    <t>21 JC</t>
  </si>
  <si>
    <t>Myla</t>
  </si>
  <si>
    <t>Batiao</t>
  </si>
  <si>
    <t>Regidor Jr.</t>
  </si>
  <si>
    <t>Alfredo</t>
  </si>
  <si>
    <t>Septimo</t>
  </si>
  <si>
    <t>Jesusa</t>
  </si>
  <si>
    <t>Romero</t>
  </si>
  <si>
    <t>Julie Ann</t>
  </si>
  <si>
    <t>Buhanghang</t>
  </si>
  <si>
    <t>JC 1312,11,21,22,23,45,44</t>
  </si>
  <si>
    <t>Sabino</t>
  </si>
  <si>
    <t>Leamor</t>
  </si>
  <si>
    <t>Sadia</t>
  </si>
  <si>
    <t>Erecka</t>
  </si>
  <si>
    <t>NO</t>
  </si>
  <si>
    <t>Lovely</t>
  </si>
  <si>
    <t>Tiamsim</t>
  </si>
  <si>
    <t>Segui</t>
  </si>
  <si>
    <t>Margie</t>
  </si>
  <si>
    <t>Sevilla</t>
  </si>
  <si>
    <t>John Mark</t>
  </si>
  <si>
    <t>Beltran</t>
  </si>
  <si>
    <t>Sobisol</t>
  </si>
  <si>
    <t>Vilma</t>
  </si>
  <si>
    <t>Head Teacher lll</t>
  </si>
  <si>
    <t xml:space="preserve">Soriano </t>
  </si>
  <si>
    <t xml:space="preserve">Elaine </t>
  </si>
  <si>
    <t xml:space="preserve">Carrera </t>
  </si>
  <si>
    <t>Tagud</t>
  </si>
  <si>
    <t>Aira Chariz Gail</t>
  </si>
  <si>
    <t>Artieda</t>
  </si>
  <si>
    <t>Taguibao</t>
  </si>
  <si>
    <t>Angelie Mae</t>
  </si>
  <si>
    <t>Calaquin</t>
  </si>
  <si>
    <t>2 rpdu Flexible single unit (36, 46)</t>
  </si>
  <si>
    <t>Tayoto</t>
  </si>
  <si>
    <t>Alma Dulce</t>
  </si>
  <si>
    <t>Matira</t>
  </si>
  <si>
    <t>Tersona</t>
  </si>
  <si>
    <t>48-45,33-36,13-23</t>
  </si>
  <si>
    <t>Teves</t>
  </si>
  <si>
    <t>Sionie</t>
  </si>
  <si>
    <t>Caballero</t>
  </si>
  <si>
    <t>Tonga</t>
  </si>
  <si>
    <t>Edgardo</t>
  </si>
  <si>
    <t>Ativo</t>
  </si>
  <si>
    <t>Umali</t>
  </si>
  <si>
    <t>Jeramie</t>
  </si>
  <si>
    <t>09605311143</t>
  </si>
  <si>
    <t>Ventura</t>
  </si>
  <si>
    <t>Princess</t>
  </si>
  <si>
    <t>Vergara</t>
  </si>
  <si>
    <t>Clarissa</t>
  </si>
  <si>
    <t>Gomez</t>
  </si>
  <si>
    <t>Villalon</t>
  </si>
  <si>
    <t>Alexander Joshua</t>
  </si>
  <si>
    <t>Ramos</t>
  </si>
  <si>
    <t>Villaverde</t>
  </si>
  <si>
    <t>Silla</t>
  </si>
  <si>
    <t>Zuniga</t>
  </si>
  <si>
    <t>Sarah Joy</t>
  </si>
  <si>
    <t>Aguado</t>
  </si>
  <si>
    <t>Gulod National High School - Mamatid Extension</t>
  </si>
  <si>
    <t>Purok 1, Brgy. Mamatid, City of Cabuyao, Laguna</t>
  </si>
  <si>
    <t>FRUELDA</t>
  </si>
  <si>
    <t>LYELL</t>
  </si>
  <si>
    <t>MOLO</t>
  </si>
  <si>
    <t>UY</t>
  </si>
  <si>
    <t>ESPINOSA</t>
  </si>
  <si>
    <t>HEAD TEACHER I</t>
  </si>
  <si>
    <t>JC 11,22</t>
  </si>
  <si>
    <t>ABUYUAN</t>
  </si>
  <si>
    <t>ARLENE</t>
  </si>
  <si>
    <t>MARCOS</t>
  </si>
  <si>
    <t>AGRES</t>
  </si>
  <si>
    <t>MARC DANIEL</t>
  </si>
  <si>
    <t>V.</t>
  </si>
  <si>
    <t>AHINGWA</t>
  </si>
  <si>
    <t>CASHMERE</t>
  </si>
  <si>
    <t>P.</t>
  </si>
  <si>
    <t>ALCALA</t>
  </si>
  <si>
    <t xml:space="preserve">D. </t>
  </si>
  <si>
    <t>ALCORCON</t>
  </si>
  <si>
    <t>RONESHA</t>
  </si>
  <si>
    <t>TANCHICO</t>
  </si>
  <si>
    <t>ALDOVINO</t>
  </si>
  <si>
    <t>FLOREMEI</t>
  </si>
  <si>
    <t>M.</t>
  </si>
  <si>
    <t xml:space="preserve">B </t>
  </si>
  <si>
    <t>ALEGADO</t>
  </si>
  <si>
    <t xml:space="preserve">R. </t>
  </si>
  <si>
    <t>A.</t>
  </si>
  <si>
    <t>AMARANTE</t>
  </si>
  <si>
    <t>N.</t>
  </si>
  <si>
    <t>ANDRES</t>
  </si>
  <si>
    <t>MARIE</t>
  </si>
  <si>
    <t>B.</t>
  </si>
  <si>
    <t>JONAR</t>
  </si>
  <si>
    <t>ANGOLUAN</t>
  </si>
  <si>
    <t>NIDA</t>
  </si>
  <si>
    <t>T.</t>
  </si>
  <si>
    <t>ANOTADO</t>
  </si>
  <si>
    <t>RONILYN</t>
  </si>
  <si>
    <t>MANDAR</t>
  </si>
  <si>
    <t>ARIPOL</t>
  </si>
  <si>
    <t>Q.</t>
  </si>
  <si>
    <t>BALACANAO</t>
  </si>
  <si>
    <t>RENIE</t>
  </si>
  <si>
    <t>ZYRAH</t>
  </si>
  <si>
    <t>G.</t>
  </si>
  <si>
    <t>36 RCT</t>
  </si>
  <si>
    <t>BIAG</t>
  </si>
  <si>
    <t>RUSSHEL</t>
  </si>
  <si>
    <t>TECAHER II</t>
  </si>
  <si>
    <t>DC.</t>
  </si>
  <si>
    <t>CABOTAJE</t>
  </si>
  <si>
    <t>CALLEJA</t>
  </si>
  <si>
    <t>DAISY</t>
  </si>
  <si>
    <t>RENERINE</t>
  </si>
  <si>
    <t>CANEZA</t>
  </si>
  <si>
    <t>ROELLA</t>
  </si>
  <si>
    <t>SITTY NOR</t>
  </si>
  <si>
    <t>CRISOSTOMO</t>
  </si>
  <si>
    <t>CARLA</t>
  </si>
  <si>
    <t>S</t>
  </si>
  <si>
    <t>teacher III</t>
  </si>
  <si>
    <t>RETAINERS W/ PONTIC (L)</t>
  </si>
  <si>
    <t>CERVANTES</t>
  </si>
  <si>
    <t>LEONA MAE</t>
  </si>
  <si>
    <t xml:space="preserve">G. </t>
  </si>
  <si>
    <t>DAN JENDEL</t>
  </si>
  <si>
    <t>L.</t>
  </si>
  <si>
    <t>CUENCA</t>
  </si>
  <si>
    <t>JANINE ROSE</t>
  </si>
  <si>
    <t xml:space="preserve">A. </t>
  </si>
  <si>
    <t>DAMASO</t>
  </si>
  <si>
    <t>KIMBERLYN</t>
  </si>
  <si>
    <t>DAUIS</t>
  </si>
  <si>
    <t>LUCILLE ANDREA</t>
  </si>
  <si>
    <t>DE LEMOS</t>
  </si>
  <si>
    <t>PULI</t>
  </si>
  <si>
    <t>DE MONTEVERDE</t>
  </si>
  <si>
    <t>Y.</t>
  </si>
  <si>
    <t>CHARISSE</t>
  </si>
  <si>
    <t xml:space="preserve">P. </t>
  </si>
  <si>
    <t>DELMINGUEZ</t>
  </si>
  <si>
    <t>RONALYN</t>
  </si>
  <si>
    <t>DEMOSER</t>
  </si>
  <si>
    <t>JIMADEN</t>
  </si>
  <si>
    <t>E.</t>
  </si>
  <si>
    <t>DIPON</t>
  </si>
  <si>
    <t>HENRY</t>
  </si>
  <si>
    <t>DUMLAO</t>
  </si>
  <si>
    <t>RENALYN</t>
  </si>
  <si>
    <t>W/RETAINER L</t>
  </si>
  <si>
    <t>CLIMACO</t>
  </si>
  <si>
    <t>43,42,41,31 JC</t>
  </si>
  <si>
    <t>RONA</t>
  </si>
  <si>
    <t>ESGUERRA</t>
  </si>
  <si>
    <t>ESMERO</t>
  </si>
  <si>
    <t>ELDEEN</t>
  </si>
  <si>
    <t>JESSA MAE</t>
  </si>
  <si>
    <t>FABELLA</t>
  </si>
  <si>
    <t>KRISTINA</t>
  </si>
  <si>
    <t>C.</t>
  </si>
  <si>
    <t>FABULA</t>
  </si>
  <si>
    <t>FRANCIA</t>
  </si>
  <si>
    <t>DANILO</t>
  </si>
  <si>
    <t>R.</t>
  </si>
  <si>
    <t>GARCES</t>
  </si>
  <si>
    <t>RICA MAE</t>
  </si>
  <si>
    <t>JEAN VALERIE</t>
  </si>
  <si>
    <t>FEVIDAL</t>
  </si>
  <si>
    <t xml:space="preserve">JOHN GODFREY </t>
  </si>
  <si>
    <t xml:space="preserve">CONDONAR </t>
  </si>
  <si>
    <t>GAREZA</t>
  </si>
  <si>
    <t>GENERAL</t>
  </si>
  <si>
    <t>EMILY</t>
  </si>
  <si>
    <t>I.</t>
  </si>
  <si>
    <t>INFANTE</t>
  </si>
  <si>
    <t>HANNAH GRACE</t>
  </si>
  <si>
    <t>JURADO</t>
  </si>
  <si>
    <t>LABAG</t>
  </si>
  <si>
    <t>SHANE</t>
  </si>
  <si>
    <t>LAGRADILLA</t>
  </si>
  <si>
    <t>PRINCESS</t>
  </si>
  <si>
    <t>UORTHO</t>
  </si>
  <si>
    <t>LANACA</t>
  </si>
  <si>
    <t>MITOS</t>
  </si>
  <si>
    <t>LUIVIC</t>
  </si>
  <si>
    <t>ELAINE</t>
  </si>
  <si>
    <t>RECTO</t>
  </si>
  <si>
    <t>MAGAYON</t>
  </si>
  <si>
    <t>LOUIE</t>
  </si>
  <si>
    <t>QUEEN</t>
  </si>
  <si>
    <t>ALIAH MAE</t>
  </si>
  <si>
    <t>09169337031</t>
  </si>
  <si>
    <t>MANGAOANG</t>
  </si>
  <si>
    <t>HELEN</t>
  </si>
  <si>
    <t>JOBILEE-MAY</t>
  </si>
  <si>
    <t>HYDIE</t>
  </si>
  <si>
    <t>MONTANO</t>
  </si>
  <si>
    <t>RAWLIN</t>
  </si>
  <si>
    <t>MUNDA</t>
  </si>
  <si>
    <t>NOEL</t>
  </si>
  <si>
    <t>POJAS</t>
  </si>
  <si>
    <t>NARVAEZ</t>
  </si>
  <si>
    <t>W/ RETAINED 52</t>
  </si>
  <si>
    <t>NASTOR</t>
  </si>
  <si>
    <t>ROZZEL</t>
  </si>
  <si>
    <t>09483737393</t>
  </si>
  <si>
    <t>REANNE MARIE</t>
  </si>
  <si>
    <t>FAMILARAN</t>
  </si>
  <si>
    <t>RUBY ANN</t>
  </si>
  <si>
    <t xml:space="preserve">M. </t>
  </si>
  <si>
    <t>PAGAPONG</t>
  </si>
  <si>
    <t>NORLYN</t>
  </si>
  <si>
    <t>PALARUAN</t>
  </si>
  <si>
    <t>PALONPON</t>
  </si>
  <si>
    <t>PHYLORD</t>
  </si>
  <si>
    <t>PANGAN</t>
  </si>
  <si>
    <t xml:space="preserve">SHAINA JANE </t>
  </si>
  <si>
    <t>PELICANO</t>
  </si>
  <si>
    <t xml:space="preserve">KIMBERLY ANNE </t>
  </si>
  <si>
    <t>PERENA</t>
  </si>
  <si>
    <t>CHERRIELYN</t>
  </si>
  <si>
    <t>LUGADA</t>
  </si>
  <si>
    <t>PESCADERO</t>
  </si>
  <si>
    <t>ROMANO</t>
  </si>
  <si>
    <t>H.</t>
  </si>
  <si>
    <t>PULLAN</t>
  </si>
  <si>
    <t xml:space="preserve">QUIBRAL JR. </t>
  </si>
  <si>
    <t xml:space="preserve">L. </t>
  </si>
  <si>
    <t>QUILAPIO</t>
  </si>
  <si>
    <t>JULIE-AN</t>
  </si>
  <si>
    <t>JORRETHY</t>
  </si>
  <si>
    <t xml:space="preserve">ANGELA ALELI </t>
  </si>
  <si>
    <t>RITUALO</t>
  </si>
  <si>
    <t>ABALORIO</t>
  </si>
  <si>
    <t>ROSAL</t>
  </si>
  <si>
    <t>QUENIE</t>
  </si>
  <si>
    <t>IBARRAT</t>
  </si>
  <si>
    <t>16-26 FPD</t>
  </si>
  <si>
    <t>MENARD</t>
  </si>
  <si>
    <t>SABANAL</t>
  </si>
  <si>
    <t>JEFFREY</t>
  </si>
  <si>
    <t>SACE</t>
  </si>
  <si>
    <t xml:space="preserve"> LYKA ANGELA</t>
  </si>
  <si>
    <t xml:space="preserve">N. </t>
  </si>
  <si>
    <t>SAGUAN</t>
  </si>
  <si>
    <t xml:space="preserve">MA. ALICIA JEN </t>
  </si>
  <si>
    <t>SAN MIGUEL</t>
  </si>
  <si>
    <t>KRISTEL</t>
  </si>
  <si>
    <t>SASI</t>
  </si>
  <si>
    <t>ANGELIKA</t>
  </si>
  <si>
    <t>SIMPLINA</t>
  </si>
  <si>
    <t>TARIN</t>
  </si>
  <si>
    <t>LAODICEA</t>
  </si>
  <si>
    <t>TARROQUIN</t>
  </si>
  <si>
    <t>DANEVA</t>
  </si>
  <si>
    <t>DM.</t>
  </si>
  <si>
    <t>TECSON</t>
  </si>
  <si>
    <t>ROMILYN</t>
  </si>
  <si>
    <t>TOQUE</t>
  </si>
  <si>
    <t>IRISH PEARL</t>
  </si>
  <si>
    <t xml:space="preserve">O. </t>
  </si>
  <si>
    <t>FLORINA</t>
  </si>
  <si>
    <t>VELINA</t>
  </si>
  <si>
    <t>MARK LESTER</t>
  </si>
  <si>
    <t>CYLENE MAE</t>
  </si>
  <si>
    <t xml:space="preserve">B. </t>
  </si>
  <si>
    <t>WENDELYN</t>
  </si>
  <si>
    <t>YGANA</t>
  </si>
  <si>
    <t>MAMATID SENIOR HIGH SCHOOL</t>
  </si>
  <si>
    <t>PUROK 1, MAMATID, CITY OF CABUYAO, LAGUNA</t>
  </si>
  <si>
    <t>(049) 8566-6384</t>
  </si>
  <si>
    <t>Joselito</t>
  </si>
  <si>
    <t>Principal 2</t>
  </si>
  <si>
    <t>0916-295-7422</t>
  </si>
  <si>
    <t>Abogado</t>
  </si>
  <si>
    <t>Doris</t>
  </si>
  <si>
    <t>Despabiladeras</t>
  </si>
  <si>
    <t>0960-531-1032</t>
  </si>
  <si>
    <t>Alcansare</t>
  </si>
  <si>
    <t>Ryan Mark</t>
  </si>
  <si>
    <t>Oliva</t>
  </si>
  <si>
    <t>0960-531-1036</t>
  </si>
  <si>
    <t>Ursua</t>
  </si>
  <si>
    <t>0915-384-6562</t>
  </si>
  <si>
    <t>Alto</t>
  </si>
  <si>
    <t>Benedict</t>
  </si>
  <si>
    <t>0995-257-5352</t>
  </si>
  <si>
    <t>Armero</t>
  </si>
  <si>
    <t>Emerson</t>
  </si>
  <si>
    <t>Taneo</t>
  </si>
  <si>
    <t>Master Teacher 2</t>
  </si>
  <si>
    <t>0956-471-7894</t>
  </si>
  <si>
    <t>Calay</t>
  </si>
  <si>
    <t>Juanito</t>
  </si>
  <si>
    <t>Oriendo</t>
  </si>
  <si>
    <t>0906-915-6299</t>
  </si>
  <si>
    <t>Colarina</t>
  </si>
  <si>
    <t>Ana Rose</t>
  </si>
  <si>
    <t>Igno</t>
  </si>
  <si>
    <t>0907-393-2381</t>
  </si>
  <si>
    <t>Driza</t>
  </si>
  <si>
    <t>Atienza</t>
  </si>
  <si>
    <t>0999-984-6847</t>
  </si>
  <si>
    <t>Facultad</t>
  </si>
  <si>
    <t>Sergio</t>
  </si>
  <si>
    <t>0966-072-1460</t>
  </si>
  <si>
    <t>May Anne</t>
  </si>
  <si>
    <t>Ibañes</t>
  </si>
  <si>
    <t>0969-618-5719</t>
  </si>
  <si>
    <t>Gerance</t>
  </si>
  <si>
    <t>Jo Anne Maurice</t>
  </si>
  <si>
    <t>Aramil</t>
  </si>
  <si>
    <t>0960-531-1037</t>
  </si>
  <si>
    <t>Medina</t>
  </si>
  <si>
    <t>Sherina Irish</t>
  </si>
  <si>
    <t>Yu</t>
  </si>
  <si>
    <t>0920-531-5634</t>
  </si>
  <si>
    <t>Mindoro</t>
  </si>
  <si>
    <t>Marie Joy</t>
  </si>
  <si>
    <t>Orolfo</t>
  </si>
  <si>
    <t>0915-281-5493</t>
  </si>
  <si>
    <t>Pampang</t>
  </si>
  <si>
    <t>Kristel Laleine</t>
  </si>
  <si>
    <t>Canog</t>
  </si>
  <si>
    <t>0960-531-1039</t>
  </si>
  <si>
    <t>Rana</t>
  </si>
  <si>
    <t>Romalyn</t>
  </si>
  <si>
    <t>Dadea</t>
  </si>
  <si>
    <t>0927-463-7289</t>
  </si>
  <si>
    <t>Rino</t>
  </si>
  <si>
    <t>Richel Ushas</t>
  </si>
  <si>
    <t>0961-591-9162</t>
  </si>
  <si>
    <t>Mildred</t>
  </si>
  <si>
    <t>0968-379-9832</t>
  </si>
  <si>
    <t>Alex</t>
  </si>
  <si>
    <t>Solleza</t>
  </si>
  <si>
    <t>0922-841-3586</t>
  </si>
  <si>
    <t>Santua</t>
  </si>
  <si>
    <t>Donna Karen</t>
  </si>
  <si>
    <t>Concepcion</t>
  </si>
  <si>
    <t>0955-479-0920</t>
  </si>
  <si>
    <t>Sta. Ana</t>
  </si>
  <si>
    <t>Caryl Mae</t>
  </si>
  <si>
    <t>Capon</t>
  </si>
  <si>
    <t>0905-679-9397</t>
  </si>
  <si>
    <t>Anonuevo</t>
  </si>
  <si>
    <t>Liezel</t>
  </si>
  <si>
    <t>0935-586-8196</t>
  </si>
  <si>
    <t>Tugadi</t>
  </si>
  <si>
    <t>Ronald Christian</t>
  </si>
  <si>
    <t>Nicolas</t>
  </si>
  <si>
    <t>Special Science Teacher 1</t>
  </si>
  <si>
    <t>0956-703-7475</t>
  </si>
  <si>
    <t>Maligalig</t>
  </si>
  <si>
    <t xml:space="preserve">Christine </t>
  </si>
  <si>
    <t>0932-135-5902</t>
  </si>
  <si>
    <t>MARINIG NATIONAL HIGH SCHOOL</t>
  </si>
  <si>
    <t>PUROK 3 BRGY. MARINIG, CITY OF CABUYAO, LAGUNA</t>
  </si>
  <si>
    <t>(049) 543-2074</t>
  </si>
  <si>
    <t>LEGISMA</t>
  </si>
  <si>
    <t>SHYREENE</t>
  </si>
  <si>
    <t>TRILLANA</t>
  </si>
  <si>
    <t>IRIS CLAIRE</t>
  </si>
  <si>
    <t>09352648422</t>
  </si>
  <si>
    <t>KAREN JOY</t>
  </si>
  <si>
    <t>BARRINUEVO</t>
  </si>
  <si>
    <t>BASIJAN</t>
  </si>
  <si>
    <t>JENICA MAE</t>
  </si>
  <si>
    <t>RANOCO</t>
  </si>
  <si>
    <t>BOJOCAN</t>
  </si>
  <si>
    <t>MYRALYN</t>
  </si>
  <si>
    <t>COJIDA</t>
  </si>
  <si>
    <t>BULOS</t>
  </si>
  <si>
    <t>JANINE MAE</t>
  </si>
  <si>
    <t>CAGULADA</t>
  </si>
  <si>
    <t>ALYSSA MAE</t>
  </si>
  <si>
    <t>CAPISTRANO</t>
  </si>
  <si>
    <t>SIREN MAY</t>
  </si>
  <si>
    <t>RUFO</t>
  </si>
  <si>
    <t>ROMAR</t>
  </si>
  <si>
    <t>MACURING</t>
  </si>
  <si>
    <t>CHAVEZ</t>
  </si>
  <si>
    <t>JHANLYMUEL</t>
  </si>
  <si>
    <t>CURA</t>
  </si>
  <si>
    <t>BELGA</t>
  </si>
  <si>
    <t>ELBO</t>
  </si>
  <si>
    <t>MORRIS</t>
  </si>
  <si>
    <t>PABALAT</t>
  </si>
  <si>
    <t>GAGARING</t>
  </si>
  <si>
    <t>NOEL JR</t>
  </si>
  <si>
    <t>GARLIT</t>
  </si>
  <si>
    <t>SEVILLA</t>
  </si>
  <si>
    <t>LOPERA</t>
  </si>
  <si>
    <t>LICO</t>
  </si>
  <si>
    <t>PATRICIA JOY</t>
  </si>
  <si>
    <t>MAMPLATA</t>
  </si>
  <si>
    <t>CHRISTINE JOY</t>
  </si>
  <si>
    <t>MADREDIO</t>
  </si>
  <si>
    <t>ABEGAIL</t>
  </si>
  <si>
    <t>SEDERIA</t>
  </si>
  <si>
    <t>SARAH JANE</t>
  </si>
  <si>
    <t>MARASIGAN</t>
  </si>
  <si>
    <t>JENNELL</t>
  </si>
  <si>
    <t>APRIL</t>
  </si>
  <si>
    <t>NAÑEZ</t>
  </si>
  <si>
    <t>NAVARRA</t>
  </si>
  <si>
    <t>PEÑAVERDE</t>
  </si>
  <si>
    <t>OCAMPO</t>
  </si>
  <si>
    <t>PIEDRAGOSA</t>
  </si>
  <si>
    <t>REINALYN</t>
  </si>
  <si>
    <t>OSERA</t>
  </si>
  <si>
    <t>CAÑA</t>
  </si>
  <si>
    <t>MARIA ANGELA</t>
  </si>
  <si>
    <t>HANNAH CLAIRE</t>
  </si>
  <si>
    <t>ORUGA</t>
  </si>
  <si>
    <t>VANESSA</t>
  </si>
  <si>
    <t>SULLA</t>
  </si>
  <si>
    <t>09457460071</t>
  </si>
  <si>
    <t>JENELYN</t>
  </si>
  <si>
    <t>GENEVA</t>
  </si>
  <si>
    <t>BAYER</t>
  </si>
  <si>
    <t>LESTER</t>
  </si>
  <si>
    <t>PULO NATIONAL HIGH SCHOOL</t>
  </si>
  <si>
    <t>BIRMINGHAM RD. BRGY. PULO, CITY OF CABUYAO, LAGUNA</t>
  </si>
  <si>
    <t>(049) 530-8108</t>
  </si>
  <si>
    <t xml:space="preserve">MARIA VICTORIA </t>
  </si>
  <si>
    <t>DELA TORRE</t>
  </si>
  <si>
    <t xml:space="preserve"> MA MELINDA </t>
  </si>
  <si>
    <t>PENECITOS</t>
  </si>
  <si>
    <t>HT IV</t>
  </si>
  <si>
    <t>DERRACO</t>
  </si>
  <si>
    <t>OGOY</t>
  </si>
  <si>
    <t>PARAOAN</t>
  </si>
  <si>
    <t xml:space="preserve">ANGELINA </t>
  </si>
  <si>
    <t>MONTEROLA</t>
  </si>
  <si>
    <t>GUMPAL</t>
  </si>
  <si>
    <t>HT 3</t>
  </si>
  <si>
    <t>JUSTADO</t>
  </si>
  <si>
    <t xml:space="preserve">RONA </t>
  </si>
  <si>
    <t>HT I</t>
  </si>
  <si>
    <t>MANDIGMA</t>
  </si>
  <si>
    <t xml:space="preserve">LEE </t>
  </si>
  <si>
    <t>HT1</t>
  </si>
  <si>
    <t>ABDON</t>
  </si>
  <si>
    <t>IRISH</t>
  </si>
  <si>
    <t>NUESTRO</t>
  </si>
  <si>
    <t>ABRAHAM</t>
  </si>
  <si>
    <t xml:space="preserve">MYRIAN </t>
  </si>
  <si>
    <t>ASILO</t>
  </si>
  <si>
    <t xml:space="preserve">ABEGAEL </t>
  </si>
  <si>
    <t xml:space="preserve">BRIAN </t>
  </si>
  <si>
    <t xml:space="preserve">DARRELLE ANN </t>
  </si>
  <si>
    <t>DE VERA</t>
  </si>
  <si>
    <t>ALESNA</t>
  </si>
  <si>
    <t xml:space="preserve">NILO </t>
  </si>
  <si>
    <t>AMO</t>
  </si>
  <si>
    <t xml:space="preserve">JERASON </t>
  </si>
  <si>
    <t>TANIEGRA</t>
  </si>
  <si>
    <t>for exo 55</t>
  </si>
  <si>
    <t>MARKCRIS</t>
  </si>
  <si>
    <t xml:space="preserve">MYRA </t>
  </si>
  <si>
    <t>APOSTOL</t>
  </si>
  <si>
    <t xml:space="preserve">LORNA </t>
  </si>
  <si>
    <t>ARSULA</t>
  </si>
  <si>
    <t xml:space="preserve">RUBY </t>
  </si>
  <si>
    <t xml:space="preserve">LEA </t>
  </si>
  <si>
    <t>DE MESA</t>
  </si>
  <si>
    <t>BAGSIC</t>
  </si>
  <si>
    <t>BALBIERAN</t>
  </si>
  <si>
    <t xml:space="preserve">JARRYD </t>
  </si>
  <si>
    <t>ACU</t>
  </si>
  <si>
    <t>BARON</t>
  </si>
  <si>
    <t xml:space="preserve">SARAH MAE </t>
  </si>
  <si>
    <t>W/ ORTHO - UNWIRED</t>
  </si>
  <si>
    <t>BEDIENES</t>
  </si>
  <si>
    <t xml:space="preserve">SARAH JANE </t>
  </si>
  <si>
    <t>CELESTIAL</t>
  </si>
  <si>
    <t>BIGGAYAN</t>
  </si>
  <si>
    <t xml:space="preserve">ALVIN </t>
  </si>
  <si>
    <t>AGAPINAN</t>
  </si>
  <si>
    <t>BONCALES</t>
  </si>
  <si>
    <t xml:space="preserve">MARICRIS </t>
  </si>
  <si>
    <t>COMPLETO</t>
  </si>
  <si>
    <t>BUENA</t>
  </si>
  <si>
    <t xml:space="preserve">JANICILLE </t>
  </si>
  <si>
    <t>SOLLORANO</t>
  </si>
  <si>
    <t>UL/ RPD</t>
  </si>
  <si>
    <t>BUERGO</t>
  </si>
  <si>
    <t xml:space="preserve">TEODEL </t>
  </si>
  <si>
    <t>BOTON</t>
  </si>
  <si>
    <t>BUGTAI</t>
  </si>
  <si>
    <t xml:space="preserve">BEVERLY </t>
  </si>
  <si>
    <t>BULAWAN</t>
  </si>
  <si>
    <t xml:space="preserve">JELYN </t>
  </si>
  <si>
    <t>MARBIT</t>
  </si>
  <si>
    <t>CABLING</t>
  </si>
  <si>
    <t xml:space="preserve">JANICE </t>
  </si>
  <si>
    <t>GOTENGCO</t>
  </si>
  <si>
    <t xml:space="preserve">NYMPHA </t>
  </si>
  <si>
    <t>ASIDO</t>
  </si>
  <si>
    <t>Disbursing Officer II/Administrative Assistant II</t>
  </si>
  <si>
    <t>CAGAMPANG</t>
  </si>
  <si>
    <t xml:space="preserve">LARYFE </t>
  </si>
  <si>
    <t>BARRIOS</t>
  </si>
  <si>
    <t>09957490141</t>
  </si>
  <si>
    <t>CAGUINGIN</t>
  </si>
  <si>
    <t xml:space="preserve">ELAINE </t>
  </si>
  <si>
    <t xml:space="preserve">MARA JEAN </t>
  </si>
  <si>
    <t>BLEZA</t>
  </si>
  <si>
    <t>CANSON</t>
  </si>
  <si>
    <t xml:space="preserve">JOANTONNETTE </t>
  </si>
  <si>
    <t>CANTILLANO</t>
  </si>
  <si>
    <t xml:space="preserve">CHRISTINE FAYE </t>
  </si>
  <si>
    <t>Special Education Teacher I</t>
  </si>
  <si>
    <t>CROSSBITE</t>
  </si>
  <si>
    <t>CAPANGYARIHAN</t>
  </si>
  <si>
    <t xml:space="preserve">PRINCESS NIEVA </t>
  </si>
  <si>
    <t xml:space="preserve">ROSEMARIE </t>
  </si>
  <si>
    <t>CAPIANGAO</t>
  </si>
  <si>
    <t xml:space="preserve">KIMBERLYN </t>
  </si>
  <si>
    <t>diastema on lower central</t>
  </si>
  <si>
    <t>CAPOY</t>
  </si>
  <si>
    <t xml:space="preserve">BESSIE </t>
  </si>
  <si>
    <t>GASAPOS</t>
  </si>
  <si>
    <t>(0947) 534 9365</t>
  </si>
  <si>
    <t>BALDOZA</t>
  </si>
  <si>
    <t>CAUILAN</t>
  </si>
  <si>
    <t>DEVOMA</t>
  </si>
  <si>
    <t xml:space="preserve">SHAINA ELOISA </t>
  </si>
  <si>
    <t>NAVALES</t>
  </si>
  <si>
    <t xml:space="preserve">BRIGILDA </t>
  </si>
  <si>
    <t>IBABAO</t>
  </si>
  <si>
    <t>CODICO</t>
  </si>
  <si>
    <t xml:space="preserve">MARIA CECILIA </t>
  </si>
  <si>
    <t xml:space="preserve">GEENA </t>
  </si>
  <si>
    <t>GANDIA</t>
  </si>
  <si>
    <t>UL/retainer</t>
  </si>
  <si>
    <t>CORONEL</t>
  </si>
  <si>
    <t>GLOR</t>
  </si>
  <si>
    <t xml:space="preserve">CHARMAINE </t>
  </si>
  <si>
    <t>NUCUP</t>
  </si>
  <si>
    <t>DADO</t>
  </si>
  <si>
    <t>JULIUS KEVIN</t>
  </si>
  <si>
    <t>CABO</t>
  </si>
  <si>
    <t>14 JC</t>
  </si>
  <si>
    <t>DANAO</t>
  </si>
  <si>
    <t xml:space="preserve">CARINA </t>
  </si>
  <si>
    <t>PEDARSE</t>
  </si>
  <si>
    <t xml:space="preserve">MICHAEL </t>
  </si>
  <si>
    <t>DEVANADERA</t>
  </si>
  <si>
    <t>JC - 42, 41, 31</t>
  </si>
  <si>
    <t xml:space="preserve">REALYN </t>
  </si>
  <si>
    <t>DE DIOS</t>
  </si>
  <si>
    <t xml:space="preserve">LOIDA </t>
  </si>
  <si>
    <t>SANGALANG</t>
  </si>
  <si>
    <t>U/L RPD, JC 16, 13, FPD 42-36</t>
  </si>
  <si>
    <t xml:space="preserve">VANESSA </t>
  </si>
  <si>
    <t>BABAO</t>
  </si>
  <si>
    <t>Lower Ortho</t>
  </si>
  <si>
    <t>DE LOYOLA</t>
  </si>
  <si>
    <t xml:space="preserve">MARIA ELIZA </t>
  </si>
  <si>
    <t xml:space="preserve">ELLEINE </t>
  </si>
  <si>
    <t>DEFEO</t>
  </si>
  <si>
    <t xml:space="preserve">JUDIEL ANN </t>
  </si>
  <si>
    <t>w/ Ortho</t>
  </si>
  <si>
    <t xml:space="preserve">DIANA ROSE </t>
  </si>
  <si>
    <t>MOLANO</t>
  </si>
  <si>
    <t>09553111850</t>
  </si>
  <si>
    <t xml:space="preserve">ROEL </t>
  </si>
  <si>
    <t>LECHUGA</t>
  </si>
  <si>
    <t>DELA CRUZ, JR.</t>
  </si>
  <si>
    <t xml:space="preserve">ROGELIO </t>
  </si>
  <si>
    <t xml:space="preserve">TENERIFE </t>
  </si>
  <si>
    <t>09637681598</t>
  </si>
  <si>
    <t xml:space="preserve">JENNY </t>
  </si>
  <si>
    <t>MAYORES</t>
  </si>
  <si>
    <t xml:space="preserve">SLIELA MARIE </t>
  </si>
  <si>
    <t>TANGWAY</t>
  </si>
  <si>
    <t xml:space="preserve">EVANGELINE </t>
  </si>
  <si>
    <t>DEREZ</t>
  </si>
  <si>
    <t xml:space="preserve">JHUNELYN </t>
  </si>
  <si>
    <t>LUCEÑA</t>
  </si>
  <si>
    <t xml:space="preserve">NICKSON </t>
  </si>
  <si>
    <t>TEOXON</t>
  </si>
  <si>
    <t>917-3951144</t>
  </si>
  <si>
    <t>DIMAS</t>
  </si>
  <si>
    <t xml:space="preserve">RUTHIELLE </t>
  </si>
  <si>
    <t>TF-25</t>
  </si>
  <si>
    <t>GONZALBO</t>
  </si>
  <si>
    <t xml:space="preserve">RAMON SHAINELL </t>
  </si>
  <si>
    <t>TeacherI</t>
  </si>
  <si>
    <t>ENGAY</t>
  </si>
  <si>
    <t>JAN TERI</t>
  </si>
  <si>
    <t>LAGRAN</t>
  </si>
  <si>
    <t>w ortho</t>
  </si>
  <si>
    <t>ESPEÑO</t>
  </si>
  <si>
    <t xml:space="preserve">SHEENA </t>
  </si>
  <si>
    <t>RAPATALO</t>
  </si>
  <si>
    <t>ESPINAS</t>
  </si>
  <si>
    <t xml:space="preserve">MA CAROLYN </t>
  </si>
  <si>
    <t>BARAYANG</t>
  </si>
  <si>
    <t xml:space="preserve">REGIE </t>
  </si>
  <si>
    <t xml:space="preserve">JAY AR </t>
  </si>
  <si>
    <t>BACULANTA</t>
  </si>
  <si>
    <t xml:space="preserve">MARLINA RUFINA </t>
  </si>
  <si>
    <t>DAQUIOAG</t>
  </si>
  <si>
    <t>09997978337</t>
  </si>
  <si>
    <t>GARAY</t>
  </si>
  <si>
    <t xml:space="preserve">RANDY </t>
  </si>
  <si>
    <t>MENDEVIL</t>
  </si>
  <si>
    <t>09473410459</t>
  </si>
  <si>
    <t xml:space="preserve">RHODORA </t>
  </si>
  <si>
    <t>LAGANAS</t>
  </si>
  <si>
    <t xml:space="preserve">MA LIEZEL </t>
  </si>
  <si>
    <t>GUINAUAN</t>
  </si>
  <si>
    <t xml:space="preserve">JUDY ANN </t>
  </si>
  <si>
    <t>HAGOSOJOS</t>
  </si>
  <si>
    <t xml:space="preserve">JAN VINCENT </t>
  </si>
  <si>
    <t>VILONERO</t>
  </si>
  <si>
    <t>LRPD W/ RETAINER</t>
  </si>
  <si>
    <t xml:space="preserve">JANETTE </t>
  </si>
  <si>
    <t>INOC</t>
  </si>
  <si>
    <t xml:space="preserve">NERISSA </t>
  </si>
  <si>
    <t>JAUCIAN</t>
  </si>
  <si>
    <t xml:space="preserve">MARIVIC </t>
  </si>
  <si>
    <t>PAYA</t>
  </si>
  <si>
    <t xml:space="preserve">TEACHER I </t>
  </si>
  <si>
    <t>LABIOS</t>
  </si>
  <si>
    <t xml:space="preserve">ARNOLD </t>
  </si>
  <si>
    <t>SEGISMUNDO</t>
  </si>
  <si>
    <t>Master teacher I</t>
  </si>
  <si>
    <t>Urpd</t>
  </si>
  <si>
    <t>LAYOG</t>
  </si>
  <si>
    <t>DIMAFELIS</t>
  </si>
  <si>
    <t>LIBAN</t>
  </si>
  <si>
    <t>LIM</t>
  </si>
  <si>
    <t xml:space="preserve">MARIA CRISTINA </t>
  </si>
  <si>
    <t>FORTES</t>
  </si>
  <si>
    <t>LIMPIADA</t>
  </si>
  <si>
    <t xml:space="preserve">JOVELYN </t>
  </si>
  <si>
    <t>LLONA</t>
  </si>
  <si>
    <t>LUNASCO</t>
  </si>
  <si>
    <t xml:space="preserve">JONALYN </t>
  </si>
  <si>
    <t>CARDENAS</t>
  </si>
  <si>
    <t>MACABALES</t>
  </si>
  <si>
    <t xml:space="preserve">TERESITA </t>
  </si>
  <si>
    <t>MANGUIAT</t>
  </si>
  <si>
    <t>MAGNO</t>
  </si>
  <si>
    <t xml:space="preserve">JESSICA </t>
  </si>
  <si>
    <t>MARJORIE</t>
  </si>
  <si>
    <t>MALABUG</t>
  </si>
  <si>
    <t xml:space="preserve">ANALYN </t>
  </si>
  <si>
    <t>MALAYO</t>
  </si>
  <si>
    <t xml:space="preserve">ARLENE </t>
  </si>
  <si>
    <t>MANAIG</t>
  </si>
  <si>
    <t xml:space="preserve">CRISTINA </t>
  </si>
  <si>
    <t>BANATIN</t>
  </si>
  <si>
    <t>Urpd L Ortho</t>
  </si>
  <si>
    <t>MENDIOLA</t>
  </si>
  <si>
    <t xml:space="preserve">LEAH SARAH </t>
  </si>
  <si>
    <t>TRAZONA</t>
  </si>
  <si>
    <t xml:space="preserve">ENRICO </t>
  </si>
  <si>
    <t>DRIO</t>
  </si>
  <si>
    <t>MIER</t>
  </si>
  <si>
    <t>VACALARES</t>
  </si>
  <si>
    <t>MIRANO</t>
  </si>
  <si>
    <t xml:space="preserve">APOLINARIA </t>
  </si>
  <si>
    <t>MIRARAN</t>
  </si>
  <si>
    <t xml:space="preserve">FREDDIE </t>
  </si>
  <si>
    <t>NUARIN</t>
  </si>
  <si>
    <t xml:space="preserve">GENALYN </t>
  </si>
  <si>
    <t>MORGADO</t>
  </si>
  <si>
    <t xml:space="preserve">PATROCENIO </t>
  </si>
  <si>
    <t>FAJILAN</t>
  </si>
  <si>
    <t>NALUPA</t>
  </si>
  <si>
    <t xml:space="preserve">TERESA </t>
  </si>
  <si>
    <t xml:space="preserve">DAISY </t>
  </si>
  <si>
    <t>LIMBO</t>
  </si>
  <si>
    <t>JC 16, 15, 25</t>
  </si>
  <si>
    <t xml:space="preserve">JELLIE ANN </t>
  </si>
  <si>
    <t>ORBASE</t>
  </si>
  <si>
    <t xml:space="preserve">BEIMAR </t>
  </si>
  <si>
    <t>NAVAL</t>
  </si>
  <si>
    <t>OSORIO</t>
  </si>
  <si>
    <t>OSIA</t>
  </si>
  <si>
    <t>PACINO</t>
  </si>
  <si>
    <t xml:space="preserve">MARK JOHN </t>
  </si>
  <si>
    <t>PADERON</t>
  </si>
  <si>
    <t xml:space="preserve">LYAN </t>
  </si>
  <si>
    <t>DEAN</t>
  </si>
  <si>
    <t>PALMA</t>
  </si>
  <si>
    <t xml:space="preserve">CELICA ANA </t>
  </si>
  <si>
    <t>ANCHETA</t>
  </si>
  <si>
    <t>PANGHULAN</t>
  </si>
  <si>
    <t xml:space="preserve">FLORA </t>
  </si>
  <si>
    <t>LAVIÑA</t>
  </si>
  <si>
    <t>UL RPD</t>
  </si>
  <si>
    <t xml:space="preserve">MAUREEN </t>
  </si>
  <si>
    <t>DELINGON</t>
  </si>
  <si>
    <t xml:space="preserve">MARYCON </t>
  </si>
  <si>
    <t>PATACSIL</t>
  </si>
  <si>
    <t xml:space="preserve">GLADYS </t>
  </si>
  <si>
    <t>PATRICIO</t>
  </si>
  <si>
    <t xml:space="preserve">MARY GRACE </t>
  </si>
  <si>
    <t>JUSON</t>
  </si>
  <si>
    <t>PAYAG</t>
  </si>
  <si>
    <t>JONJON</t>
  </si>
  <si>
    <t>FPD- 45-35, 16-26</t>
  </si>
  <si>
    <t>PELONIO</t>
  </si>
  <si>
    <t>SEÑORA</t>
  </si>
  <si>
    <t xml:space="preserve">HELEN GRACE </t>
  </si>
  <si>
    <t>LACHICA</t>
  </si>
  <si>
    <t xml:space="preserve">LELANIE </t>
  </si>
  <si>
    <t>PITAS</t>
  </si>
  <si>
    <t>MAGLAQUE</t>
  </si>
  <si>
    <t>w/ retainer UL</t>
  </si>
  <si>
    <t>PORE</t>
  </si>
  <si>
    <t xml:space="preserve">KLAIZA CASSANDRA </t>
  </si>
  <si>
    <t>SERVO</t>
  </si>
  <si>
    <t>QUIMSON</t>
  </si>
  <si>
    <t xml:space="preserve">CLEO </t>
  </si>
  <si>
    <t xml:space="preserve">AGUILAR </t>
  </si>
  <si>
    <t>RABAJANTE</t>
  </si>
  <si>
    <t xml:space="preserve">MILA </t>
  </si>
  <si>
    <t xml:space="preserve">MARIA THERESA </t>
  </si>
  <si>
    <t>DINULOS</t>
  </si>
  <si>
    <t>REALON</t>
  </si>
  <si>
    <t>JACQUELINE</t>
  </si>
  <si>
    <t>URPD/PERIO LOWER ANTERIORS</t>
  </si>
  <si>
    <t xml:space="preserve">TEODORO </t>
  </si>
  <si>
    <t>REBAMBA</t>
  </si>
  <si>
    <t xml:space="preserve">MADELIN </t>
  </si>
  <si>
    <t>MARIÑO</t>
  </si>
  <si>
    <t>REBATO</t>
  </si>
  <si>
    <t>REGIO</t>
  </si>
  <si>
    <t>LORETA</t>
  </si>
  <si>
    <t>PAR</t>
  </si>
  <si>
    <t>GUIDANCE COUNSELOR III</t>
  </si>
  <si>
    <t xml:space="preserve">JHONA </t>
  </si>
  <si>
    <t>Senior Bookkeeper/Administrative Assistant III</t>
  </si>
  <si>
    <t xml:space="preserve">JEROLD </t>
  </si>
  <si>
    <t>RUGA</t>
  </si>
  <si>
    <t xml:space="preserve">FRANKLIN OLIVER </t>
  </si>
  <si>
    <t>ESPINA</t>
  </si>
  <si>
    <t xml:space="preserve">RAMIL </t>
  </si>
  <si>
    <t>SOLLESA</t>
  </si>
  <si>
    <t xml:space="preserve">FLORDELUNA </t>
  </si>
  <si>
    <t>L ortho</t>
  </si>
  <si>
    <t>SARCINO</t>
  </si>
  <si>
    <t xml:space="preserve">DIVINA GRACIA </t>
  </si>
  <si>
    <t>DELICA</t>
  </si>
  <si>
    <t>SASUYA</t>
  </si>
  <si>
    <t>SATURNO</t>
  </si>
  <si>
    <t xml:space="preserve">LORENA </t>
  </si>
  <si>
    <t>CENA</t>
  </si>
  <si>
    <t>JUVY ANNE</t>
  </si>
  <si>
    <t xml:space="preserve">RENIZA </t>
  </si>
  <si>
    <t>REGALADO</t>
  </si>
  <si>
    <t>‘09060132454</t>
  </si>
  <si>
    <t>SOLLER</t>
  </si>
  <si>
    <t xml:space="preserve">MARY JEAN </t>
  </si>
  <si>
    <t>BUATES</t>
  </si>
  <si>
    <t>SUGATAN</t>
  </si>
  <si>
    <t>Dumangan</t>
  </si>
  <si>
    <t>TAGALA</t>
  </si>
  <si>
    <t xml:space="preserve">PAMELA MAE </t>
  </si>
  <si>
    <t>PAGCALIWANGAN</t>
  </si>
  <si>
    <t>TANAEL</t>
  </si>
  <si>
    <t>JOANNA MARIE</t>
  </si>
  <si>
    <t xml:space="preserve">Teacher II </t>
  </si>
  <si>
    <t>TARRANCO</t>
  </si>
  <si>
    <t xml:space="preserve">REX </t>
  </si>
  <si>
    <t>ATENTAR</t>
  </si>
  <si>
    <t xml:space="preserve">RHEA LOU </t>
  </si>
  <si>
    <t>BELWANG</t>
  </si>
  <si>
    <t xml:space="preserve">RODRIGO </t>
  </si>
  <si>
    <t>Master Teacher III</t>
  </si>
  <si>
    <t>L ORTHO, FPD 15-13</t>
  </si>
  <si>
    <t>GUMABAO</t>
  </si>
  <si>
    <t>TORING</t>
  </si>
  <si>
    <t>Lagon</t>
  </si>
  <si>
    <t>LRPD, 41-JC</t>
  </si>
  <si>
    <t xml:space="preserve">JOHN ARIS </t>
  </si>
  <si>
    <t>TRINIDAD</t>
  </si>
  <si>
    <t>ACAYEN</t>
  </si>
  <si>
    <t>TUARES</t>
  </si>
  <si>
    <t xml:space="preserve">MARK ALVIN </t>
  </si>
  <si>
    <t>CEJAR</t>
  </si>
  <si>
    <t xml:space="preserve">U fixed retainer </t>
  </si>
  <si>
    <t xml:space="preserve">MELODY MAY </t>
  </si>
  <si>
    <t>VILLALON</t>
  </si>
  <si>
    <t>ESTHER</t>
  </si>
  <si>
    <t>MENA</t>
  </si>
  <si>
    <t>WANIA</t>
  </si>
  <si>
    <t xml:space="preserve">ANABELLE </t>
  </si>
  <si>
    <t>CELESTE</t>
  </si>
  <si>
    <t>YLAGAN</t>
  </si>
  <si>
    <t xml:space="preserve">ANNA ROSE </t>
  </si>
  <si>
    <t>YUMENA</t>
  </si>
  <si>
    <t xml:space="preserve">JOSE REYANDRO </t>
  </si>
  <si>
    <t>PASTOLERO</t>
  </si>
  <si>
    <t>SOUTHVILLE 1 INTEGRATED NATIONAL HIGH SCHOOL</t>
  </si>
  <si>
    <t>BLK. 54-55 ,SOUTHVILLE 1 NIUGAN, CITY OF CABUYAO, LAGUNA</t>
  </si>
  <si>
    <t>(049)576-7238</t>
  </si>
  <si>
    <t>ACUTAYAN</t>
  </si>
  <si>
    <t>ALEJANDRINO</t>
  </si>
  <si>
    <t>12 JC</t>
  </si>
  <si>
    <t>16,15,14,13,12,11,21,22,23,24,25,26</t>
  </si>
  <si>
    <t xml:space="preserve">ERWENIA CHRYSANTHEMI </t>
  </si>
  <si>
    <t>SEBOC</t>
  </si>
  <si>
    <t>RETAINER W/PONTIC</t>
  </si>
  <si>
    <t>ALFEREZ</t>
  </si>
  <si>
    <t>RUBEN</t>
  </si>
  <si>
    <t>CLAVILLAS</t>
  </si>
  <si>
    <t>ALFONSO</t>
  </si>
  <si>
    <t>ANGELITO</t>
  </si>
  <si>
    <t>DITAN</t>
  </si>
  <si>
    <t>ALMORIN</t>
  </si>
  <si>
    <t>POMARIÑO</t>
  </si>
  <si>
    <t>ALOJAMIENTO</t>
  </si>
  <si>
    <t>CANICO</t>
  </si>
  <si>
    <t>AMIMIROG</t>
  </si>
  <si>
    <t>LIRA ANGELENE</t>
  </si>
  <si>
    <t>BESABE</t>
  </si>
  <si>
    <t>ANG</t>
  </si>
  <si>
    <t>CLARIZALINA</t>
  </si>
  <si>
    <t>ANSELMO</t>
  </si>
  <si>
    <t>ANTIPAS</t>
  </si>
  <si>
    <t xml:space="preserve">MELZEN </t>
  </si>
  <si>
    <t>ANZANO</t>
  </si>
  <si>
    <t>MARY JOYCE</t>
  </si>
  <si>
    <t>PEÑA</t>
  </si>
  <si>
    <t>ASI</t>
  </si>
  <si>
    <t>DONNA ROSE</t>
  </si>
  <si>
    <t>ENOJADO</t>
  </si>
  <si>
    <t>ASIS</t>
  </si>
  <si>
    <t>KATHLEEN JOY</t>
  </si>
  <si>
    <t>DENNIS BRYAN</t>
  </si>
  <si>
    <t>ALIPALA</t>
  </si>
  <si>
    <t>BARCENA</t>
  </si>
  <si>
    <t>KIM MARIE</t>
  </si>
  <si>
    <t>BONITO</t>
  </si>
  <si>
    <t>BARIS</t>
  </si>
  <si>
    <t>DION MOSES</t>
  </si>
  <si>
    <t>BARATA</t>
  </si>
  <si>
    <t>MELISSA JOY</t>
  </si>
  <si>
    <t>ALEGROS</t>
  </si>
  <si>
    <t>BARTE</t>
  </si>
  <si>
    <t>BARTIDO</t>
  </si>
  <si>
    <t>ARIDA</t>
  </si>
  <si>
    <t>BASIERTO</t>
  </si>
  <si>
    <t>GILUEL</t>
  </si>
  <si>
    <t>ESTINOPO</t>
  </si>
  <si>
    <t>SAMPAN</t>
  </si>
  <si>
    <t>BAYLON</t>
  </si>
  <si>
    <t>BUENAVIDEZ</t>
  </si>
  <si>
    <t>BATALLER</t>
  </si>
  <si>
    <t>BUITRE</t>
  </si>
  <si>
    <t>BERMAS</t>
  </si>
  <si>
    <t>CABUDOL</t>
  </si>
  <si>
    <t>AREOLA</t>
  </si>
  <si>
    <t>CADACIO</t>
  </si>
  <si>
    <t>FREDIE</t>
  </si>
  <si>
    <t>DANIELLA MAY</t>
  </si>
  <si>
    <t>PLACENTE</t>
  </si>
  <si>
    <t>4JC</t>
  </si>
  <si>
    <t>11,21,23,22</t>
  </si>
  <si>
    <t>CALVELO</t>
  </si>
  <si>
    <t>BANAAG</t>
  </si>
  <si>
    <t>CANDELARIA</t>
  </si>
  <si>
    <t>HAZEL ANN</t>
  </si>
  <si>
    <t>RETAINED 63</t>
  </si>
  <si>
    <t>CAŇA</t>
  </si>
  <si>
    <t>SONIA</t>
  </si>
  <si>
    <t>RELLOSA</t>
  </si>
  <si>
    <t>CARIŇO</t>
  </si>
  <si>
    <t>CARO</t>
  </si>
  <si>
    <t>ALEXIS</t>
  </si>
  <si>
    <t>BUHAY</t>
  </si>
  <si>
    <t>09356849971</t>
  </si>
  <si>
    <t>FATIMA</t>
  </si>
  <si>
    <t>PORTILLO</t>
  </si>
  <si>
    <t>HEAD TEACHER II</t>
  </si>
  <si>
    <t>09677164228</t>
  </si>
  <si>
    <t>CATANGAY</t>
  </si>
  <si>
    <t xml:space="preserve">EDWIN </t>
  </si>
  <si>
    <t>BERON</t>
  </si>
  <si>
    <t>CATUBURAN</t>
  </si>
  <si>
    <t>SAGAYSAY</t>
  </si>
  <si>
    <t>JESSAMYN</t>
  </si>
  <si>
    <t>CAYAGO</t>
  </si>
  <si>
    <t>ABLA</t>
  </si>
  <si>
    <t>CERVANTES.</t>
  </si>
  <si>
    <t>RPDU/CDL</t>
  </si>
  <si>
    <t>PRIMO</t>
  </si>
  <si>
    <t>COMPUESTO</t>
  </si>
  <si>
    <t>GLESIE ANN</t>
  </si>
  <si>
    <t>INGCO</t>
  </si>
  <si>
    <t>COMPUESTO.</t>
  </si>
  <si>
    <t xml:space="preserve">BEN ERICK </t>
  </si>
  <si>
    <t>ROGUEL</t>
  </si>
  <si>
    <t>BONCODIN</t>
  </si>
  <si>
    <t>DABU</t>
  </si>
  <si>
    <t>CLARISSA</t>
  </si>
  <si>
    <t>HEAD TEACHER III</t>
  </si>
  <si>
    <t>DEDACE</t>
  </si>
  <si>
    <t>JUDY ANN</t>
  </si>
  <si>
    <t>MAYUGA</t>
  </si>
  <si>
    <t>MARIELLA</t>
  </si>
  <si>
    <t>BENINSOL</t>
  </si>
  <si>
    <t>DE VILLA</t>
  </si>
  <si>
    <t>MAGBOO</t>
  </si>
  <si>
    <t>DIAMANTE</t>
  </si>
  <si>
    <t>LLOYD CHRISTOPHER</t>
  </si>
  <si>
    <t>RIZARE</t>
  </si>
  <si>
    <t xml:space="preserve">MARIE SHEILA </t>
  </si>
  <si>
    <t>VALINA</t>
  </si>
  <si>
    <t>EDVIE</t>
  </si>
  <si>
    <t>GUMBAN</t>
  </si>
  <si>
    <t>GRETA</t>
  </si>
  <si>
    <t>BALEÑA</t>
  </si>
  <si>
    <t>EGARAN</t>
  </si>
  <si>
    <t>LISA JEAN</t>
  </si>
  <si>
    <t>MAGHIRANG</t>
  </si>
  <si>
    <t>ENAJE</t>
  </si>
  <si>
    <t>MA. EUNICE ANDREA</t>
  </si>
  <si>
    <t>ORTHO 4JC</t>
  </si>
  <si>
    <t>11,12,21,22</t>
  </si>
  <si>
    <t>FABROS</t>
  </si>
  <si>
    <t xml:space="preserve">RHINE JUSTINE </t>
  </si>
  <si>
    <t xml:space="preserve">MA. VERNADETH </t>
  </si>
  <si>
    <t>VILLARUEL</t>
  </si>
  <si>
    <t>PERET</t>
  </si>
  <si>
    <t>GABITO</t>
  </si>
  <si>
    <t>MIKAEL-ERIK</t>
  </si>
  <si>
    <t>LINGAD</t>
  </si>
  <si>
    <t>ESTEVES</t>
  </si>
  <si>
    <t>GALINATO</t>
  </si>
  <si>
    <t xml:space="preserve">JOSIE </t>
  </si>
  <si>
    <t>BIELZA</t>
  </si>
  <si>
    <t xml:space="preserve">GARCIA, </t>
  </si>
  <si>
    <t>CATE DARRYL</t>
  </si>
  <si>
    <t>HO</t>
  </si>
  <si>
    <t>DONDOY</t>
  </si>
  <si>
    <t>GONZAGA</t>
  </si>
  <si>
    <t>ROWENA II</t>
  </si>
  <si>
    <t>OLIVEROS</t>
  </si>
  <si>
    <t>HUGO</t>
  </si>
  <si>
    <t>EUFRONIO</t>
  </si>
  <si>
    <t>BAILADOR</t>
  </si>
  <si>
    <t>0915 938 6388</t>
  </si>
  <si>
    <t>LASCANO</t>
  </si>
  <si>
    <t>LAGATIERRA</t>
  </si>
  <si>
    <t>DANTE</t>
  </si>
  <si>
    <t>LACSAMANA</t>
  </si>
  <si>
    <t>NHICKO</t>
  </si>
  <si>
    <t>LAGOSAY</t>
  </si>
  <si>
    <t>MONTER</t>
  </si>
  <si>
    <t>0997-951-8925</t>
  </si>
  <si>
    <t>RETAINER U/L</t>
  </si>
  <si>
    <t>LIMBAGA</t>
  </si>
  <si>
    <t>EURE</t>
  </si>
  <si>
    <t>CASIL</t>
  </si>
  <si>
    <t>CHRISTAL LYN</t>
  </si>
  <si>
    <t>0966-1323613</t>
  </si>
  <si>
    <t>LUSANTA</t>
  </si>
  <si>
    <t xml:space="preserve">IRISH VI </t>
  </si>
  <si>
    <t>LUZARAN</t>
  </si>
  <si>
    <t>ERNESTO JR</t>
  </si>
  <si>
    <t>LOMERIO</t>
  </si>
  <si>
    <t xml:space="preserve"> BABY JANE </t>
  </si>
  <si>
    <t>NAVALTA</t>
  </si>
  <si>
    <t>JOVIE</t>
  </si>
  <si>
    <t>BARENG</t>
  </si>
  <si>
    <t>MAMAUAG</t>
  </si>
  <si>
    <t>FERNANDO JR</t>
  </si>
  <si>
    <t>PISCA</t>
  </si>
  <si>
    <t>MANALON</t>
  </si>
  <si>
    <t>ANGELITA</t>
  </si>
  <si>
    <t>YARRA</t>
  </si>
  <si>
    <t>MANDARIZA</t>
  </si>
  <si>
    <t>LENARD</t>
  </si>
  <si>
    <t>WILMA ANN</t>
  </si>
  <si>
    <t>RCT11</t>
  </si>
  <si>
    <t>MAPACPAC</t>
  </si>
  <si>
    <t>GREG JR.</t>
  </si>
  <si>
    <t>WILSON</t>
  </si>
  <si>
    <t>RET. U/L</t>
  </si>
  <si>
    <t>LEODIGARIO</t>
  </si>
  <si>
    <t>REDOR</t>
  </si>
  <si>
    <t>MONTECASTRO</t>
  </si>
  <si>
    <t>LYRA MAE</t>
  </si>
  <si>
    <t>SERDEVILLA</t>
  </si>
  <si>
    <t>MONTOYA</t>
  </si>
  <si>
    <t>MANANGAN</t>
  </si>
  <si>
    <t>MORTEL</t>
  </si>
  <si>
    <t>ARAJA</t>
  </si>
  <si>
    <t>MUYA</t>
  </si>
  <si>
    <t>URSULA</t>
  </si>
  <si>
    <t>ALMAZAN</t>
  </si>
  <si>
    <t>NIEVAREZ, MIRASOL M.</t>
  </si>
  <si>
    <t>MIRASOL</t>
  </si>
  <si>
    <t>MANIPOL</t>
  </si>
  <si>
    <t>NOCALAN</t>
  </si>
  <si>
    <t>CARDEÑO</t>
  </si>
  <si>
    <t>ARNULFO</t>
  </si>
  <si>
    <t>OLATA-MUMAR</t>
  </si>
  <si>
    <t>RINA LYKA</t>
  </si>
  <si>
    <t>ESPARAS</t>
  </si>
  <si>
    <t>ORBISTA, MICHAEL P.</t>
  </si>
  <si>
    <t>PANOTES</t>
  </si>
  <si>
    <t>ORJETA</t>
  </si>
  <si>
    <t>ORBON</t>
  </si>
  <si>
    <t>JUANCHO</t>
  </si>
  <si>
    <t>AMBRONA</t>
  </si>
  <si>
    <t>OXALES</t>
  </si>
  <si>
    <t>MENCHU</t>
  </si>
  <si>
    <t>OMAYAN</t>
  </si>
  <si>
    <t>PADAYHAG</t>
  </si>
  <si>
    <t xml:space="preserve">GERALDINE </t>
  </si>
  <si>
    <t>DACERA</t>
  </si>
  <si>
    <t>PADILLA,</t>
  </si>
  <si>
    <t>LUCIDO</t>
  </si>
  <si>
    <t>PAGAYON</t>
  </si>
  <si>
    <t>PAJARILLO</t>
  </si>
  <si>
    <t>JACIE RAE</t>
  </si>
  <si>
    <t>ORHTO</t>
  </si>
  <si>
    <t>BENDICIO</t>
  </si>
  <si>
    <t>10 JC</t>
  </si>
  <si>
    <t>11,12,47,46,43,42,41,31,32,33,</t>
  </si>
  <si>
    <t>MARRY ANN</t>
  </si>
  <si>
    <t>CELLO</t>
  </si>
  <si>
    <t>OCLARINO</t>
  </si>
  <si>
    <t>PAPASIN</t>
  </si>
  <si>
    <t>PEDRONAN</t>
  </si>
  <si>
    <t>MADONA</t>
  </si>
  <si>
    <t>GARALDE</t>
  </si>
  <si>
    <t>UPPER ORTHO ONLY</t>
  </si>
  <si>
    <t>PEÑAREDONDA</t>
  </si>
  <si>
    <t>09164074968</t>
  </si>
  <si>
    <t>PEREGRIN</t>
  </si>
  <si>
    <t>MERLENE</t>
  </si>
  <si>
    <t>RIVAS</t>
  </si>
  <si>
    <t>RAE YONIC</t>
  </si>
  <si>
    <t>GECANA</t>
  </si>
  <si>
    <t>PERMISON</t>
  </si>
  <si>
    <t xml:space="preserve">ALFANDONA </t>
  </si>
  <si>
    <t>LARION</t>
  </si>
  <si>
    <t>PESITO</t>
  </si>
  <si>
    <t>LENIE</t>
  </si>
  <si>
    <t>PORTUGAL</t>
  </si>
  <si>
    <t>HANNA ROSE</t>
  </si>
  <si>
    <t>DELGADO</t>
  </si>
  <si>
    <t>RADA</t>
  </si>
  <si>
    <t>RETAINER L</t>
  </si>
  <si>
    <t>KAY ANN</t>
  </si>
  <si>
    <t>NORMAN</t>
  </si>
  <si>
    <t>RAYUSAN</t>
  </si>
  <si>
    <t>OMIDO</t>
  </si>
  <si>
    <t>REGATES</t>
  </si>
  <si>
    <t>LIZA</t>
  </si>
  <si>
    <t>SANIEGO</t>
  </si>
  <si>
    <t>MEDRANA</t>
  </si>
  <si>
    <t>ROSCO</t>
  </si>
  <si>
    <t>ALAN</t>
  </si>
  <si>
    <t>AUSTERO</t>
  </si>
  <si>
    <t>SAAVEDRA</t>
  </si>
  <si>
    <t xml:space="preserve">RUTH </t>
  </si>
  <si>
    <t>FPD 12-24</t>
  </si>
  <si>
    <t>JOHN GUALBERT</t>
  </si>
  <si>
    <t>CADION</t>
  </si>
  <si>
    <t>REY MARK</t>
  </si>
  <si>
    <t>CUEVAS</t>
  </si>
  <si>
    <t>SAMANIEGO</t>
  </si>
  <si>
    <t>IRENEO</t>
  </si>
  <si>
    <t>OLLET</t>
  </si>
  <si>
    <t>SELOTERIO</t>
  </si>
  <si>
    <t>LIBUIT</t>
  </si>
  <si>
    <t>FPD 17-14,22-24</t>
  </si>
  <si>
    <t>SEPAGAN</t>
  </si>
  <si>
    <t>DELLE CELESTE</t>
  </si>
  <si>
    <t>MANOTO</t>
  </si>
  <si>
    <t>SERVIDAD</t>
  </si>
  <si>
    <t>DIVINA</t>
  </si>
  <si>
    <t>TABAJAC</t>
  </si>
  <si>
    <t>CANTA</t>
  </si>
  <si>
    <t>CLENT</t>
  </si>
  <si>
    <t>RPDU/RPDL</t>
  </si>
  <si>
    <t>HAROLD</t>
  </si>
  <si>
    <t>NEPUMUCENO</t>
  </si>
  <si>
    <t>JENNICA</t>
  </si>
  <si>
    <t>GAMBA</t>
  </si>
  <si>
    <t>TOLDA</t>
  </si>
  <si>
    <t>ARLANIE</t>
  </si>
  <si>
    <t>ORBITA</t>
  </si>
  <si>
    <t xml:space="preserve"> ALEXANDER </t>
  </si>
  <si>
    <t>EULAIZZA</t>
  </si>
  <si>
    <t>GEAH</t>
  </si>
  <si>
    <t>BATCHAIN</t>
  </si>
  <si>
    <t xml:space="preserve">VILLARIEZ, </t>
  </si>
  <si>
    <t xml:space="preserve">ANTONETTE </t>
  </si>
  <si>
    <t>COMO</t>
  </si>
  <si>
    <t>VILLAPANDO</t>
  </si>
  <si>
    <t>PRINCESS JOYCE ANN</t>
  </si>
  <si>
    <t>BASCRUZ</t>
  </si>
  <si>
    <t>ADAS II/DISB.OFFICER II</t>
  </si>
  <si>
    <t>ADMINISTRATIVE  ASSISTANT II</t>
  </si>
  <si>
    <t>GALICIA</t>
  </si>
  <si>
    <t>PLASINA</t>
  </si>
  <si>
    <t>ADAS III/SR. BOOKKEEPER</t>
  </si>
  <si>
    <t>SINFUEGO</t>
  </si>
  <si>
    <t>LYRA XYZA</t>
  </si>
  <si>
    <t>LLGAS</t>
  </si>
  <si>
    <t>ALS/TEACHER 1</t>
  </si>
  <si>
    <t>Date</t>
  </si>
  <si>
    <t>School</t>
  </si>
  <si>
    <t>RAMBUYAN</t>
  </si>
  <si>
    <t>MAE ANNE</t>
  </si>
  <si>
    <t>GAYNILO</t>
  </si>
  <si>
    <t>SUB</t>
  </si>
  <si>
    <t>LARPIT</t>
  </si>
  <si>
    <t>ARRIANNE</t>
  </si>
  <si>
    <t>ROLLORATA</t>
  </si>
  <si>
    <t>INTIA</t>
  </si>
  <si>
    <t>CHERRY ROSE</t>
  </si>
  <si>
    <t>ROMANCE</t>
  </si>
  <si>
    <t xml:space="preserve">REYES </t>
  </si>
  <si>
    <t>JOHN PAUL</t>
  </si>
  <si>
    <t>CARTENA,</t>
  </si>
  <si>
    <t>MARICCEL</t>
  </si>
  <si>
    <t>ANGEL MAE</t>
  </si>
  <si>
    <t>BASTILO</t>
  </si>
  <si>
    <t>SALUDZ</t>
  </si>
  <si>
    <t>SAMANTHA JOY</t>
  </si>
  <si>
    <t>ARRIESGADO</t>
  </si>
  <si>
    <t>Mamatid ES</t>
  </si>
  <si>
    <t xml:space="preserve">Alinsunurin </t>
  </si>
  <si>
    <t>Hazel</t>
  </si>
  <si>
    <t>Closas</t>
  </si>
  <si>
    <t>Sub</t>
  </si>
  <si>
    <t>Mamatid NHS</t>
  </si>
  <si>
    <t xml:space="preserve">PASIL </t>
  </si>
  <si>
    <t>GENELYN</t>
  </si>
  <si>
    <t>ALINGAS</t>
  </si>
  <si>
    <t>CCS</t>
  </si>
  <si>
    <t>UL DENTURE</t>
  </si>
  <si>
    <t>LAWIG</t>
  </si>
  <si>
    <t>AIBIN</t>
  </si>
  <si>
    <t>MELAYO</t>
  </si>
  <si>
    <t>MAMATID NHS</t>
  </si>
  <si>
    <t>LAPIDEZ</t>
  </si>
  <si>
    <t>MARIA LEE</t>
  </si>
  <si>
    <t>L</t>
  </si>
  <si>
    <t>MSES</t>
  </si>
  <si>
    <t>MERILLES</t>
  </si>
  <si>
    <t>DENIELLE</t>
  </si>
  <si>
    <t>QUEBRAL</t>
  </si>
  <si>
    <t>ERIKA</t>
  </si>
  <si>
    <t>DAET</t>
  </si>
  <si>
    <t>PNHS</t>
  </si>
  <si>
    <t>MAPILI</t>
  </si>
  <si>
    <t>TRINA</t>
  </si>
  <si>
    <t>BINHS</t>
  </si>
  <si>
    <t>Bandal</t>
  </si>
  <si>
    <t>Airene</t>
  </si>
  <si>
    <t>Pelito</t>
  </si>
  <si>
    <t>MAMATID ES</t>
  </si>
  <si>
    <t>TENA</t>
  </si>
  <si>
    <t>CARLA MAE</t>
  </si>
  <si>
    <t>TENEDORO</t>
  </si>
  <si>
    <t>ROVIRA</t>
  </si>
  <si>
    <t>LUNINGNING</t>
  </si>
  <si>
    <t>AMISTOSO</t>
  </si>
  <si>
    <t>ARLEME</t>
  </si>
  <si>
    <t>NMES</t>
  </si>
  <si>
    <t>MARIMAR</t>
  </si>
  <si>
    <t>TULLA</t>
  </si>
  <si>
    <t>AR-JAY</t>
  </si>
  <si>
    <t>TALAGTAG</t>
  </si>
  <si>
    <t>TYAECHER 1</t>
  </si>
  <si>
    <t>BBES</t>
  </si>
  <si>
    <t>tabuwan</t>
  </si>
  <si>
    <t>emerson</t>
  </si>
  <si>
    <t>t</t>
  </si>
  <si>
    <t>national</t>
  </si>
  <si>
    <t>m</t>
  </si>
  <si>
    <t xml:space="preserve">TEACHER </t>
  </si>
  <si>
    <t>SPED TEACHER</t>
  </si>
  <si>
    <t>CORDIS</t>
  </si>
  <si>
    <t>GELICA</t>
  </si>
  <si>
    <t>MARTIREZ</t>
  </si>
  <si>
    <t>CSS</t>
  </si>
  <si>
    <t>BASALLOTE</t>
  </si>
  <si>
    <t>MA.JESSAH KIMBERLY</t>
  </si>
  <si>
    <t>SES</t>
  </si>
  <si>
    <t>EDMON</t>
  </si>
  <si>
    <t>CLARK</t>
  </si>
  <si>
    <t>ADMIN AIDE VI</t>
  </si>
  <si>
    <t>VILLANUEVA-SAN DIEGO</t>
  </si>
  <si>
    <t>GERLIE</t>
  </si>
  <si>
    <t>LASIC</t>
  </si>
  <si>
    <t>SVINHS</t>
  </si>
  <si>
    <t>RALPH LAUREN</t>
  </si>
  <si>
    <t>TECHNICAL ASSSISTANT 1</t>
  </si>
  <si>
    <t>GAMO</t>
  </si>
  <si>
    <t>DEMETRIO</t>
  </si>
  <si>
    <t>GENIL</t>
  </si>
  <si>
    <t>COS</t>
  </si>
  <si>
    <t>SHNU</t>
  </si>
  <si>
    <t>DIEZMO</t>
  </si>
  <si>
    <t>BASALOTE</t>
  </si>
  <si>
    <t>MA.JESSA</t>
  </si>
  <si>
    <t>TEACHER !</t>
  </si>
  <si>
    <t>SALA ES</t>
  </si>
  <si>
    <t>ARTHUR</t>
  </si>
  <si>
    <t>ALMENDRAL</t>
  </si>
  <si>
    <t>ERYLLE</t>
  </si>
  <si>
    <t>ADAS 3</t>
  </si>
  <si>
    <t>CAPARANGA</t>
  </si>
  <si>
    <t>FLORIANNE</t>
  </si>
  <si>
    <t>O</t>
  </si>
  <si>
    <t>SVNHS</t>
  </si>
  <si>
    <t>gorio</t>
  </si>
  <si>
    <t>CHRIST JOSHUA</t>
  </si>
  <si>
    <t>E</t>
  </si>
  <si>
    <t>SST1</t>
  </si>
  <si>
    <t>urpd</t>
  </si>
  <si>
    <t>ANTOYA</t>
  </si>
  <si>
    <t>PASIL</t>
  </si>
  <si>
    <t>EVANGELIO</t>
  </si>
  <si>
    <t>JOHN LOWEL</t>
  </si>
  <si>
    <t>MAGTULES</t>
  </si>
  <si>
    <t>CARTENA</t>
  </si>
  <si>
    <t>SWV1ES</t>
  </si>
  <si>
    <t>VECA</t>
  </si>
  <si>
    <t>LONGARES</t>
  </si>
  <si>
    <t>MECCA ELLAH</t>
  </si>
  <si>
    <t>CASILE ES</t>
  </si>
  <si>
    <t>bautista</t>
  </si>
  <si>
    <t>John Kenneth</t>
  </si>
  <si>
    <t>Alcantara</t>
  </si>
  <si>
    <t>Marinig NHS</t>
  </si>
  <si>
    <t>PITTLAND ES</t>
  </si>
  <si>
    <t>RAE PAULINE</t>
  </si>
  <si>
    <t>NABIO</t>
  </si>
  <si>
    <t>JENNIIFER</t>
  </si>
  <si>
    <t>BALANTAC</t>
  </si>
  <si>
    <t>NATONAL</t>
  </si>
  <si>
    <t>MES</t>
  </si>
  <si>
    <t>DIMASACA</t>
  </si>
  <si>
    <t>NATAHNIEL</t>
  </si>
  <si>
    <t>POSTRADO</t>
  </si>
  <si>
    <t>MARIA LORILYN</t>
  </si>
  <si>
    <t>GOLPEO</t>
  </si>
  <si>
    <t>NES</t>
  </si>
  <si>
    <t>ROSE</t>
  </si>
  <si>
    <t>BIANCA</t>
  </si>
  <si>
    <t>JUMAWAN</t>
  </si>
  <si>
    <t>JERWIN</t>
  </si>
  <si>
    <t>MNHS</t>
  </si>
  <si>
    <t>RONNEL</t>
  </si>
  <si>
    <t>LUMIBAO</t>
  </si>
  <si>
    <t>Casile INHS</t>
  </si>
  <si>
    <t>SALUDEZ</t>
  </si>
  <si>
    <t>PANCHO</t>
  </si>
  <si>
    <t xml:space="preserve">JOANNE ERIKA </t>
  </si>
  <si>
    <t>LASIAN</t>
  </si>
  <si>
    <t>BIGAA ES</t>
  </si>
  <si>
    <t>BUTONG ES</t>
  </si>
  <si>
    <t>CHARENCE</t>
  </si>
  <si>
    <t>PLATON</t>
  </si>
  <si>
    <t>FERNAN</t>
  </si>
  <si>
    <t xml:space="preserve">NATIONAL </t>
  </si>
  <si>
    <t>MANGANTI</t>
  </si>
  <si>
    <t>MARIEL</t>
  </si>
  <si>
    <t>TUSCANO</t>
  </si>
  <si>
    <t>PAINCHELLE</t>
  </si>
  <si>
    <t>ADMIN AIDE IV</t>
  </si>
  <si>
    <t>DO</t>
  </si>
  <si>
    <t>SAYAT</t>
  </si>
  <si>
    <t>MA.KASHELLE</t>
  </si>
  <si>
    <t>ADMIN ASSISTANT</t>
  </si>
  <si>
    <t>SVIINHS</t>
  </si>
  <si>
    <t>VERNADETTE</t>
  </si>
  <si>
    <t>SANDAGON</t>
  </si>
  <si>
    <t>ELAH MAE</t>
  </si>
  <si>
    <t>ADDATU</t>
  </si>
  <si>
    <t>NOMER</t>
  </si>
  <si>
    <t>PULO SHS</t>
  </si>
  <si>
    <t>ENCINA</t>
  </si>
  <si>
    <t>PAUL RYAN</t>
  </si>
  <si>
    <t>AGUIDO</t>
  </si>
  <si>
    <t>ADMIN6</t>
  </si>
  <si>
    <t>SDO</t>
  </si>
  <si>
    <t>GAILE ARIANE</t>
  </si>
  <si>
    <t>CASILE INHS</t>
  </si>
  <si>
    <t>AMBROCIO</t>
  </si>
  <si>
    <t>SOQUAS</t>
  </si>
  <si>
    <t>REDGIE RAS</t>
  </si>
  <si>
    <t>MAHINA</t>
  </si>
  <si>
    <t>SOUTHVILLE ES</t>
  </si>
  <si>
    <t>SHEREN</t>
  </si>
  <si>
    <t>teacher 1</t>
  </si>
  <si>
    <t>diezmo inhs</t>
  </si>
  <si>
    <t>orhto</t>
  </si>
  <si>
    <t>BAGAMANO</t>
  </si>
  <si>
    <t>JOHN HENDRICK</t>
  </si>
  <si>
    <t>SAMONTEZA</t>
  </si>
  <si>
    <t>SOUTHVILLE INHS</t>
  </si>
  <si>
    <t>JANETH MAE</t>
  </si>
  <si>
    <t>GIBAGA</t>
  </si>
  <si>
    <t>DIEZMO IS</t>
  </si>
  <si>
    <t>BUDAY</t>
  </si>
  <si>
    <t>ALLYTSA KEN</t>
  </si>
  <si>
    <t>CONDE</t>
  </si>
  <si>
    <t>MSHS</t>
  </si>
  <si>
    <t>RACEL AMOR</t>
  </si>
  <si>
    <t>ESCOREL</t>
  </si>
  <si>
    <t>LEGAL</t>
  </si>
  <si>
    <t>GUMUTAO</t>
  </si>
  <si>
    <t>RINA JAMILE</t>
  </si>
  <si>
    <t>ADMIN AIDE</t>
  </si>
  <si>
    <t>AXEL VON</t>
  </si>
  <si>
    <t>ESTANISLAO</t>
  </si>
  <si>
    <t>ADAS VI</t>
  </si>
  <si>
    <t>MAY ANNE</t>
  </si>
  <si>
    <t>PULO ES</t>
  </si>
  <si>
    <t>TEARCHER 1</t>
  </si>
  <si>
    <t>GALLEGOS</t>
  </si>
  <si>
    <t>MONICA LEWNSKY</t>
  </si>
  <si>
    <t>ONIL</t>
  </si>
  <si>
    <t>BES</t>
  </si>
  <si>
    <t>MANOLO</t>
  </si>
  <si>
    <t>GNHS</t>
  </si>
  <si>
    <t>QUINTANO</t>
  </si>
  <si>
    <t>PATAL</t>
  </si>
  <si>
    <t>CANSANAY</t>
  </si>
  <si>
    <t>ROSE ANN</t>
  </si>
  <si>
    <t>ROMMEL</t>
  </si>
  <si>
    <t>LLAMERA</t>
  </si>
  <si>
    <t>CINHS</t>
  </si>
  <si>
    <t>GIATAO</t>
  </si>
  <si>
    <t>ALLAN</t>
  </si>
  <si>
    <t>STA MARIA</t>
  </si>
  <si>
    <t>CALATIN</t>
  </si>
  <si>
    <t>JOHN MICHAEL</t>
  </si>
  <si>
    <t>VILLENAS</t>
  </si>
  <si>
    <t>RIVAREZ</t>
  </si>
  <si>
    <t>SALAMERO</t>
  </si>
  <si>
    <t>JUMAUAN</t>
  </si>
  <si>
    <t>GULOD NHS</t>
  </si>
  <si>
    <t>BACLARAN ES</t>
  </si>
  <si>
    <t>MANIFLOR</t>
  </si>
  <si>
    <t>PULO NHS</t>
  </si>
  <si>
    <t>SERDONCILLO</t>
  </si>
  <si>
    <t>SV1INHS</t>
  </si>
  <si>
    <t>W/ORTHO</t>
  </si>
  <si>
    <t>HONORIDEZ</t>
  </si>
  <si>
    <t>REJOICE</t>
  </si>
  <si>
    <t>BANGUEZ</t>
  </si>
  <si>
    <t>SEX</t>
  </si>
  <si>
    <t>LSB NATIONAL</t>
  </si>
  <si>
    <t>Local School 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</si>
</sst>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0\ 0000\ 00"/>
    <numFmt numFmtId="165" formatCode="00000000000"/>
    <numFmt numFmtId="166" formatCode="mm-dd-yy"/>
    <numFmt numFmtId="167" formatCode="m-d-yyyy"/>
    <numFmt numFmtId="168" formatCode="m-d-yy"/>
    <numFmt numFmtId="169" formatCode="m/d/yyyy"/>
    <numFmt numFmtId="170" formatCode="mm/dd/yyyy"/>
    <numFmt numFmtId="171" formatCode="mm/dd/yy"/>
    <numFmt numFmtId="172" formatCode="m/d/yy"/>
  </numFmts>
  <fonts count="49">
    <font>
      <sz val="11.0"/>
      <color theme="1"/>
      <name val="Arial"/>
      <scheme val="minor"/>
    </font>
    <font>
      <b/>
      <sz val="13.0"/>
      <color theme="1"/>
      <name val="Century Gothic"/>
    </font>
    <font>
      <b/>
      <i/>
      <sz val="13.0"/>
      <color theme="1"/>
      <name val="Century Gothic"/>
    </font>
    <font/>
    <font>
      <b/>
      <sz val="13.0"/>
      <color theme="1"/>
      <name val="Bookman Old Style"/>
    </font>
    <font>
      <b/>
      <sz val="14.0"/>
      <color theme="1"/>
      <name val="Century Gothic"/>
    </font>
    <font>
      <sz val="11.0"/>
      <color theme="1"/>
      <name val="Arial"/>
    </font>
    <font>
      <b/>
      <sz val="13.0"/>
      <color rgb="FFFFFFFF"/>
      <name val="Century Gothic"/>
    </font>
    <font>
      <b/>
      <sz val="14.0"/>
      <color rgb="FFFFFFFF"/>
      <name val="Century Gothic"/>
    </font>
    <font>
      <b/>
      <sz val="9.0"/>
      <color rgb="FFFFFFFF"/>
      <name val="Century Gothic"/>
    </font>
    <font>
      <sz val="9.0"/>
      <color rgb="FFFFFFFF"/>
      <name val="Century Gothic"/>
    </font>
    <font>
      <b/>
      <sz val="12.0"/>
      <color rgb="FFFFFFFF"/>
      <name val="Century Gothic"/>
    </font>
    <font>
      <sz val="11.0"/>
      <color theme="1"/>
      <name val="Calibri"/>
    </font>
    <font>
      <b/>
      <sz val="13.0"/>
      <color rgb="FF000000"/>
      <name val="Arial"/>
    </font>
    <font>
      <b/>
      <sz val="11.0"/>
      <color theme="1"/>
      <name val="Bookman Old Style"/>
    </font>
    <font>
      <b/>
      <sz val="13.0"/>
      <color rgb="FF000000"/>
      <name val="Century Gothic"/>
    </font>
    <font>
      <b/>
      <sz val="12.0"/>
      <color theme="1"/>
      <name val="Century Gothic"/>
    </font>
    <font>
      <b/>
      <sz val="9.0"/>
      <color theme="1"/>
      <name val="Century Gothic"/>
    </font>
    <font>
      <b/>
      <sz val="14.0"/>
      <color rgb="FF000000"/>
      <name val="Arial"/>
    </font>
    <font>
      <b/>
      <sz val="13.0"/>
      <color rgb="FF000000"/>
      <name val="Ceury gothic"/>
    </font>
    <font>
      <b/>
      <sz val="14.0"/>
      <color rgb="FF000000"/>
      <name val="Calibri"/>
    </font>
    <font>
      <b/>
      <sz val="12.0"/>
      <color rgb="FF000000"/>
      <name val="Century Gothic"/>
    </font>
    <font>
      <b/>
      <sz val="11.0"/>
      <color rgb="FF000000"/>
      <name val="Roboto"/>
    </font>
    <font>
      <b/>
      <sz val="13.0"/>
      <color rgb="FFFFFFFF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Poppins"/>
    </font>
    <font>
      <b/>
      <i/>
      <sz val="12.0"/>
      <color theme="1"/>
      <name val="Century Gothic"/>
    </font>
    <font>
      <b/>
      <sz val="14.0"/>
      <color rgb="FF000000"/>
      <name val="Century Gothic"/>
    </font>
    <font>
      <b/>
      <sz val="13.0"/>
      <color rgb="FF000000"/>
      <name val="Bookman Old Style"/>
    </font>
    <font>
      <sz val="13.0"/>
      <color theme="1"/>
      <name val="Bookman Old Style"/>
    </font>
    <font>
      <color theme="1"/>
      <name val="Arial"/>
      <scheme val="minor"/>
    </font>
    <font>
      <sz val="10.0"/>
      <color theme="1"/>
      <name val="Arial"/>
    </font>
    <font>
      <b/>
      <sz val="14.0"/>
      <color theme="1"/>
      <name val="Bookman Old Style"/>
    </font>
    <font>
      <sz val="11.0"/>
      <color theme="1"/>
      <name val="Bookman Old Style"/>
    </font>
    <font>
      <b/>
      <i/>
      <sz val="9.0"/>
      <color theme="1"/>
      <name val="Century Gothic"/>
    </font>
    <font>
      <b/>
      <sz val="12.0"/>
      <color theme="1"/>
      <name val="Bookman Old Style"/>
    </font>
    <font>
      <b/>
      <sz val="10.0"/>
      <color theme="1"/>
      <name val="Century Gothic"/>
    </font>
    <font>
      <b/>
      <strike/>
      <sz val="13.0"/>
      <color theme="1"/>
      <name val="Bookman Old Style"/>
    </font>
    <font>
      <sz val="12.0"/>
      <color theme="1"/>
      <name val="Poppins"/>
    </font>
    <font>
      <b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>
      <sz val="13.0"/>
      <color theme="1"/>
      <name val="Arial"/>
    </font>
    <font>
      <b/>
      <sz val="10.0"/>
      <color theme="1"/>
      <name val="Arial"/>
    </font>
    <font>
      <b/>
      <i/>
      <sz val="13.0"/>
      <color theme="1"/>
      <name val="Bookman Old Style"/>
    </font>
    <font>
      <sz val="13.0"/>
      <color theme="1"/>
      <name val="Century Gothic"/>
    </font>
  </fonts>
  <fills count="2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FBBC04"/>
        <bgColor rgb="FFFBBC04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theme="1"/>
        <bgColor theme="1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medium">
        <color rgb="FF434343"/>
      </left>
      <right style="medium">
        <color rgb="FF434343"/>
      </right>
      <top/>
    </border>
    <border>
      <left style="medium">
        <color rgb="FF434343"/>
      </left>
      <top/>
      <bottom style="medium">
        <color rgb="FF434343"/>
      </bottom>
    </border>
    <border>
      <top/>
      <bottom style="medium">
        <color rgb="FF434343"/>
      </bottom>
    </border>
    <border>
      <right style="medium">
        <color rgb="FF434343"/>
      </right>
      <top/>
      <bottom style="medium">
        <color rgb="FF434343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434343"/>
      </left>
      <right style="medium">
        <color rgb="FF434343"/>
      </right>
      <bottom style="medium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right style="thin">
        <color rgb="FF000000"/>
      </right>
      <top/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/>
      <right/>
      <bottom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vertical="center"/>
    </xf>
    <xf borderId="3" fillId="2" fontId="2" numFmtId="0" xfId="0" applyAlignment="1" applyBorder="1" applyFont="1">
      <alignment vertical="center"/>
    </xf>
    <xf borderId="4" fillId="2" fontId="2" numFmtId="0" xfId="0" applyAlignment="1" applyBorder="1" applyFont="1">
      <alignment vertical="center"/>
    </xf>
    <xf borderId="5" fillId="0" fontId="3" numFmtId="0" xfId="0" applyBorder="1" applyFont="1"/>
    <xf borderId="6" fillId="2" fontId="1" numFmtId="0" xfId="0" applyAlignment="1" applyBorder="1" applyFont="1">
      <alignment horizontal="left" vertical="center"/>
    </xf>
    <xf borderId="7" fillId="2" fontId="4" numFmtId="0" xfId="0" applyAlignment="1" applyBorder="1" applyFont="1">
      <alignment horizontal="center" shrinkToFit="0" wrapText="1"/>
    </xf>
    <xf borderId="8" fillId="0" fontId="3" numFmtId="0" xfId="0" applyBorder="1" applyFont="1"/>
    <xf borderId="9" fillId="0" fontId="3" numFmtId="0" xfId="0" applyBorder="1" applyFont="1"/>
    <xf borderId="3" fillId="2" fontId="1" numFmtId="0" xfId="0" applyAlignment="1" applyBorder="1" applyFont="1">
      <alignment horizontal="left" shrinkToFit="0" wrapText="1"/>
    </xf>
    <xf borderId="4" fillId="2" fontId="1" numFmtId="0" xfId="0" applyAlignment="1" applyBorder="1" applyFont="1">
      <alignment horizontal="left" shrinkToFit="0" wrapText="1"/>
    </xf>
    <xf borderId="6" fillId="2" fontId="5" numFmtId="0" xfId="0" applyAlignment="1" applyBorder="1" applyFont="1">
      <alignment horizontal="left" vertical="center"/>
    </xf>
    <xf borderId="7" fillId="2" fontId="6" numFmtId="0" xfId="0" applyAlignment="1" applyBorder="1" applyFont="1">
      <alignment shrinkToFit="0" wrapText="1"/>
    </xf>
    <xf borderId="10" fillId="2" fontId="1" numFmtId="0" xfId="0" applyAlignment="1" applyBorder="1" applyFont="1">
      <alignment horizontal="left" shrinkToFit="0" wrapText="1"/>
    </xf>
    <xf borderId="11" fillId="2" fontId="1" numFmtId="0" xfId="0" applyAlignment="1" applyBorder="1" applyFont="1">
      <alignment horizontal="left" shrinkToFit="0" wrapText="1"/>
    </xf>
    <xf borderId="1" fillId="3" fontId="1" numFmtId="0" xfId="0" applyAlignment="1" applyBorder="1" applyFill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3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15" fillId="3" fontId="8" numFmtId="0" xfId="0" applyAlignment="1" applyBorder="1" applyFont="1">
      <alignment horizontal="center" shrinkToFit="0" wrapText="1"/>
    </xf>
    <xf borderId="16" fillId="3" fontId="8" numFmtId="0" xfId="0" applyAlignment="1" applyBorder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15" fillId="3" fontId="8" numFmtId="0" xfId="0" applyAlignment="1" applyBorder="1" applyFont="1">
      <alignment horizontal="center" shrinkToFit="0" vertical="center" wrapText="1"/>
    </xf>
    <xf borderId="15" fillId="3" fontId="9" numFmtId="0" xfId="0" applyAlignment="1" applyBorder="1" applyFont="1">
      <alignment horizontal="center" shrinkToFit="0" vertical="center" wrapText="1"/>
    </xf>
    <xf borderId="15" fillId="3" fontId="10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3" fontId="8" numFmtId="0" xfId="0" applyAlignment="1" applyBorder="1" applyFont="1">
      <alignment horizontal="center"/>
    </xf>
    <xf borderId="22" fillId="3" fontId="11" numFmtId="0" xfId="0" applyAlignment="1" applyBorder="1" applyFont="1">
      <alignment horizontal="center"/>
    </xf>
    <xf borderId="0" fillId="0" fontId="12" numFmtId="0" xfId="0" applyFont="1"/>
    <xf borderId="6" fillId="4" fontId="13" numFmtId="0" xfId="0" applyAlignment="1" applyBorder="1" applyFill="1" applyFont="1">
      <alignment horizontal="center"/>
    </xf>
    <xf borderId="1" fillId="4" fontId="4" numFmtId="0" xfId="0" applyAlignment="1" applyBorder="1" applyFont="1">
      <alignment shrinkToFit="0" wrapText="1"/>
    </xf>
    <xf borderId="1" fillId="4" fontId="4" numFmtId="0" xfId="0" applyAlignment="1" applyBorder="1" applyFont="1">
      <alignment horizontal="center" shrinkToFit="0" wrapText="1"/>
    </xf>
    <xf borderId="23" fillId="5" fontId="4" numFmtId="0" xfId="0" applyAlignment="1" applyBorder="1" applyFill="1" applyFont="1">
      <alignment horizontal="center" shrinkToFit="0" vertical="center" wrapText="1"/>
    </xf>
    <xf borderId="23" fillId="6" fontId="6" numFmtId="0" xfId="0" applyAlignment="1" applyBorder="1" applyFill="1" applyFont="1">
      <alignment shrinkToFit="0" vertical="center" wrapText="1"/>
    </xf>
    <xf borderId="1" fillId="7" fontId="14" numFmtId="0" xfId="0" applyAlignment="1" applyBorder="1" applyFill="1" applyFont="1">
      <alignment vertical="top"/>
    </xf>
    <xf borderId="1" fillId="8" fontId="15" numFmtId="0" xfId="0" applyAlignment="1" applyBorder="1" applyFill="1" applyFont="1">
      <alignment horizontal="center" shrinkToFit="0" wrapText="1"/>
    </xf>
    <xf borderId="24" fillId="8" fontId="16" numFmtId="0" xfId="0" applyBorder="1" applyFont="1"/>
    <xf borderId="11" fillId="8" fontId="16" numFmtId="0" xfId="0" applyBorder="1" applyFont="1"/>
    <xf borderId="1" fillId="9" fontId="17" numFmtId="0" xfId="0" applyAlignment="1" applyBorder="1" applyFill="1" applyFont="1">
      <alignment horizontal="center" shrinkToFit="0" vertical="center" wrapText="1"/>
    </xf>
    <xf borderId="6" fillId="10" fontId="13" numFmtId="0" xfId="0" applyBorder="1" applyFill="1" applyFont="1"/>
    <xf borderId="1" fillId="10" fontId="13" numFmtId="0" xfId="0" applyAlignment="1" applyBorder="1" applyFont="1">
      <alignment horizontal="right"/>
    </xf>
    <xf borderId="25" fillId="5" fontId="4" numFmtId="0" xfId="0" applyAlignment="1" applyBorder="1" applyFont="1">
      <alignment horizontal="center" shrinkToFit="0" vertical="center" wrapText="1"/>
    </xf>
    <xf borderId="25" fillId="6" fontId="6" numFmtId="0" xfId="0" applyAlignment="1" applyBorder="1" applyFont="1">
      <alignment shrinkToFit="0" vertical="center" wrapText="1"/>
    </xf>
    <xf borderId="19" fillId="7" fontId="14" numFmtId="0" xfId="0" applyAlignment="1" applyBorder="1" applyFont="1">
      <alignment readingOrder="0" vertical="top"/>
    </xf>
    <xf borderId="1" fillId="8" fontId="15" numFmtId="0" xfId="0" applyAlignment="1" applyBorder="1" applyFont="1">
      <alignment horizontal="center"/>
    </xf>
    <xf borderId="1" fillId="4" fontId="4" numFmtId="0" xfId="0" applyAlignment="1" applyBorder="1" applyFont="1">
      <alignment vertical="bottom"/>
    </xf>
    <xf borderId="19" fillId="7" fontId="14" numFmtId="0" xfId="0" applyAlignment="1" applyBorder="1" applyFont="1">
      <alignment vertical="top"/>
    </xf>
    <xf borderId="1" fillId="8" fontId="15" numFmtId="0" xfId="0" applyAlignment="1" applyBorder="1" applyFont="1">
      <alignment horizontal="center" shrinkToFit="0" vertical="center" wrapText="1"/>
    </xf>
    <xf borderId="24" fillId="8" fontId="16" numFmtId="0" xfId="0" applyAlignment="1" applyBorder="1" applyFont="1">
      <alignment readingOrder="0"/>
    </xf>
    <xf borderId="11" fillId="8" fontId="16" numFmtId="0" xfId="0" applyAlignment="1" applyBorder="1" applyFont="1">
      <alignment readingOrder="0"/>
    </xf>
    <xf borderId="1" fillId="9" fontId="17" numFmtId="0" xfId="0" applyAlignment="1" applyBorder="1" applyFont="1">
      <alignment horizontal="center" readingOrder="0" shrinkToFit="0" vertical="center" wrapText="1"/>
    </xf>
    <xf borderId="19" fillId="4" fontId="4" numFmtId="0" xfId="0" applyAlignment="1" applyBorder="1" applyFont="1">
      <alignment vertical="bottom"/>
    </xf>
    <xf borderId="1" fillId="10" fontId="13" numFmtId="0" xfId="0" applyBorder="1" applyFont="1"/>
    <xf borderId="19" fillId="7" fontId="14" numFmtId="0" xfId="0" applyAlignment="1" applyBorder="1" applyFont="1">
      <alignment vertical="bottom"/>
    </xf>
    <xf borderId="1" fillId="10" fontId="18" numFmtId="0" xfId="0" applyBorder="1" applyFont="1"/>
    <xf borderId="0" fillId="0" fontId="18" numFmtId="0" xfId="0" applyFont="1"/>
    <xf borderId="0" fillId="11" fontId="12" numFmtId="0" xfId="0" applyFill="1" applyFont="1"/>
    <xf borderId="0" fillId="11" fontId="18" numFmtId="0" xfId="0" applyFont="1"/>
    <xf borderId="0" fillId="11" fontId="13" numFmtId="0" xfId="0" applyAlignment="1" applyFont="1">
      <alignment horizontal="right"/>
    </xf>
    <xf borderId="0" fillId="0" fontId="18" numFmtId="0" xfId="0" applyAlignment="1" applyFont="1">
      <alignment readingOrder="0"/>
    </xf>
    <xf borderId="0" fillId="0" fontId="13" numFmtId="0" xfId="0" applyAlignment="1" applyFont="1">
      <alignment horizontal="right"/>
    </xf>
    <xf borderId="26" fillId="8" fontId="15" numFmtId="0" xfId="0" applyAlignment="1" applyBorder="1" applyFont="1">
      <alignment horizontal="center" shrinkToFit="0" wrapText="1"/>
    </xf>
    <xf borderId="19" fillId="4" fontId="4" numFmtId="0" xfId="0" applyAlignment="1" applyBorder="1" applyFont="1">
      <alignment vertical="top"/>
    </xf>
    <xf borderId="1" fillId="8" fontId="16" numFmtId="0" xfId="0" applyAlignment="1" applyBorder="1" applyFont="1">
      <alignment horizontal="right" vertical="bottom"/>
    </xf>
    <xf borderId="5" fillId="8" fontId="16" numFmtId="0" xfId="0" applyAlignment="1" applyBorder="1" applyFont="1">
      <alignment horizontal="right" vertical="bottom"/>
    </xf>
    <xf borderId="5" fillId="8" fontId="16" numFmtId="0" xfId="0" applyAlignment="1" applyBorder="1" applyFont="1">
      <alignment horizontal="right" vertical="bottom"/>
    </xf>
    <xf borderId="11" fillId="8" fontId="6" numFmtId="0" xfId="0" applyAlignment="1" applyBorder="1" applyFont="1">
      <alignment vertical="bottom"/>
    </xf>
    <xf borderId="11" fillId="8" fontId="6" numFmtId="0" xfId="0" applyAlignment="1" applyBorder="1" applyFont="1">
      <alignment vertical="bottom"/>
    </xf>
    <xf borderId="1" fillId="9" fontId="17" numFmtId="0" xfId="0" applyAlignment="1" applyBorder="1" applyFont="1">
      <alignment horizontal="center" shrinkToFit="0" wrapText="1"/>
    </xf>
    <xf borderId="1" fillId="8" fontId="19" numFmtId="0" xfId="0" applyAlignment="1" applyBorder="1" applyFont="1">
      <alignment horizontal="center"/>
    </xf>
    <xf borderId="1" fillId="8" fontId="20" numFmtId="0" xfId="0" applyAlignment="1" applyBorder="1" applyFont="1">
      <alignment horizontal="center"/>
    </xf>
    <xf borderId="27" fillId="12" fontId="21" numFmtId="0" xfId="0" applyBorder="1" applyFill="1" applyFont="1"/>
    <xf borderId="27" fillId="12" fontId="21" numFmtId="0" xfId="0" applyAlignment="1" applyBorder="1" applyFont="1">
      <alignment horizontal="left" shrinkToFit="0" wrapText="1"/>
    </xf>
    <xf borderId="24" fillId="8" fontId="15" numFmtId="0" xfId="0" applyAlignment="1" applyBorder="1" applyFont="1">
      <alignment horizontal="center" shrinkToFit="0" vertical="center" wrapText="1"/>
    </xf>
    <xf borderId="26" fillId="8" fontId="15" numFmtId="0" xfId="0" applyAlignment="1" applyBorder="1" applyFont="1">
      <alignment horizontal="center" shrinkToFit="0" vertical="center" wrapText="1"/>
    </xf>
    <xf borderId="28" fillId="8" fontId="16" numFmtId="0" xfId="0" applyBorder="1" applyFont="1"/>
    <xf borderId="2" fillId="8" fontId="15" numFmtId="0" xfId="0" applyAlignment="1" applyBorder="1" applyFont="1">
      <alignment horizontal="center" shrinkToFit="0" vertical="center" wrapText="1"/>
    </xf>
    <xf borderId="1" fillId="8" fontId="16" numFmtId="0" xfId="0" applyBorder="1" applyFont="1"/>
    <xf borderId="0" fillId="12" fontId="18" numFmtId="0" xfId="0" applyFont="1"/>
    <xf borderId="0" fillId="12" fontId="13" numFmtId="0" xfId="0" applyAlignment="1" applyFont="1">
      <alignment horizontal="right"/>
    </xf>
    <xf borderId="0" fillId="12" fontId="12" numFmtId="0" xfId="0" applyFont="1"/>
    <xf borderId="1" fillId="8" fontId="16" numFmtId="0" xfId="0" applyAlignment="1" applyBorder="1" applyFont="1">
      <alignment readingOrder="0"/>
    </xf>
    <xf borderId="2" fillId="8" fontId="15" numFmtId="0" xfId="0" applyAlignment="1" applyBorder="1" applyFont="1">
      <alignment horizontal="center"/>
    </xf>
    <xf borderId="2" fillId="8" fontId="15" numFmtId="0" xfId="0" applyAlignment="1" applyBorder="1" applyFont="1">
      <alignment horizontal="center" shrinkToFit="0" wrapText="1"/>
    </xf>
    <xf borderId="29" fillId="8" fontId="15" numFmtId="0" xfId="0" applyAlignment="1" applyBorder="1" applyFont="1">
      <alignment horizontal="center" shrinkToFit="0" vertical="center" wrapText="1"/>
    </xf>
    <xf borderId="2" fillId="8" fontId="15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24" fillId="8" fontId="16" numFmtId="0" xfId="0" applyAlignment="1" applyBorder="1" applyFont="1">
      <alignment horizontal="right" readingOrder="0" vertical="bottom"/>
    </xf>
    <xf borderId="11" fillId="8" fontId="16" numFmtId="0" xfId="0" applyAlignment="1" applyBorder="1" applyFont="1">
      <alignment horizontal="right" readingOrder="0" vertical="bottom"/>
    </xf>
    <xf borderId="11" fillId="8" fontId="16" numFmtId="0" xfId="0" applyAlignment="1" applyBorder="1" applyFont="1">
      <alignment horizontal="right" vertical="bottom"/>
    </xf>
    <xf borderId="11" fillId="8" fontId="6" numFmtId="0" xfId="0" applyAlignment="1" applyBorder="1" applyFont="1">
      <alignment readingOrder="0" vertical="bottom"/>
    </xf>
    <xf borderId="11" fillId="8" fontId="16" numFmtId="0" xfId="0" applyAlignment="1" applyBorder="1" applyFont="1">
      <alignment vertical="bottom"/>
    </xf>
    <xf borderId="1" fillId="9" fontId="17" numFmtId="0" xfId="0" applyAlignment="1" applyBorder="1" applyFont="1">
      <alignment horizontal="center" shrinkToFit="0" wrapText="1"/>
    </xf>
    <xf borderId="1" fillId="4" fontId="6" numFmtId="0" xfId="0" applyBorder="1" applyFont="1"/>
    <xf borderId="1" fillId="8" fontId="16" numFmtId="0" xfId="0" applyAlignment="1" applyBorder="1" applyFont="1">
      <alignment horizontal="right" vertical="bottom"/>
    </xf>
    <xf borderId="1" fillId="8" fontId="16" numFmtId="0" xfId="0" applyAlignment="1" applyBorder="1" applyFont="1">
      <alignment horizontal="right" readingOrder="0" vertical="bottom"/>
    </xf>
    <xf borderId="5" fillId="8" fontId="16" numFmtId="0" xfId="0" applyAlignment="1" applyBorder="1" applyFont="1">
      <alignment horizontal="right" readingOrder="0" vertical="bottom"/>
    </xf>
    <xf borderId="1" fillId="8" fontId="15" numFmtId="0" xfId="0" applyAlignment="1" applyBorder="1" applyFont="1">
      <alignment horizontal="center" readingOrder="0" shrinkToFit="0" vertical="center" wrapText="1"/>
    </xf>
    <xf borderId="1" fillId="8" fontId="15" numFmtId="0" xfId="0" applyAlignment="1" applyBorder="1" applyFont="1">
      <alignment horizontal="right" readingOrder="0" shrinkToFit="0" vertical="center" wrapText="1"/>
    </xf>
    <xf borderId="27" fillId="8" fontId="22" numFmtId="0" xfId="0" applyAlignment="1" applyBorder="1" applyFont="1">
      <alignment horizontal="center"/>
    </xf>
    <xf borderId="1" fillId="4" fontId="15" numFmtId="0" xfId="0" applyAlignment="1" applyBorder="1" applyFont="1">
      <alignment shrinkToFit="0" vertical="center" wrapText="1"/>
    </xf>
    <xf borderId="26" fillId="4" fontId="15" numFmtId="0" xfId="0" applyAlignment="1" applyBorder="1" applyFont="1">
      <alignment shrinkToFit="0" vertical="center" wrapText="1"/>
    </xf>
    <xf borderId="1" fillId="4" fontId="15" numFmtId="0" xfId="0" applyBorder="1" applyFont="1"/>
    <xf borderId="30" fillId="8" fontId="15" numFmtId="0" xfId="0" applyAlignment="1" applyBorder="1" applyFont="1">
      <alignment horizontal="center" shrinkToFit="0" vertical="center" wrapText="1"/>
    </xf>
    <xf borderId="28" fillId="8" fontId="15" numFmtId="0" xfId="0" applyAlignment="1" applyBorder="1" applyFont="1">
      <alignment horizontal="center" shrinkToFit="0" vertical="center" wrapText="1"/>
    </xf>
    <xf borderId="27" fillId="8" fontId="15" numFmtId="0" xfId="0" applyAlignment="1" applyBorder="1" applyFont="1">
      <alignment horizontal="center"/>
    </xf>
    <xf borderId="24" fillId="4" fontId="15" numFmtId="0" xfId="0" applyAlignment="1" applyBorder="1" applyFont="1">
      <alignment shrinkToFit="0" vertical="center" wrapText="1"/>
    </xf>
    <xf borderId="3" fillId="8" fontId="15" numFmtId="0" xfId="0" applyAlignment="1" applyBorder="1" applyFont="1">
      <alignment horizontal="center" shrinkToFit="0" vertical="center" wrapText="1"/>
    </xf>
    <xf borderId="27" fillId="4" fontId="15" numFmtId="0" xfId="0" applyBorder="1" applyFont="1"/>
    <xf borderId="1" fillId="4" fontId="15" numFmtId="0" xfId="0" applyAlignment="1" applyBorder="1" applyFont="1">
      <alignment horizontal="left" shrinkToFit="0" wrapText="1"/>
    </xf>
    <xf borderId="1" fillId="4" fontId="1" numFmtId="0" xfId="0" applyAlignment="1" applyBorder="1" applyFont="1">
      <alignment horizontal="left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27" fillId="3" fontId="23" numFmtId="0" xfId="0" applyAlignment="1" applyBorder="1" applyFont="1">
      <alignment horizontal="center"/>
    </xf>
    <xf borderId="27" fillId="4" fontId="13" numFmtId="0" xfId="0" applyAlignment="1" applyBorder="1" applyFont="1">
      <alignment horizontal="left"/>
    </xf>
    <xf borderId="27" fillId="4" fontId="13" numFmtId="0" xfId="0" applyAlignment="1" applyBorder="1" applyFont="1">
      <alignment horizontal="center"/>
    </xf>
    <xf borderId="27" fillId="8" fontId="13" numFmtId="0" xfId="0" applyAlignment="1" applyBorder="1" applyFont="1">
      <alignment horizontal="center"/>
    </xf>
    <xf borderId="24" fillId="8" fontId="13" numFmtId="0" xfId="0" applyAlignment="1" applyBorder="1" applyFont="1">
      <alignment horizontal="center"/>
    </xf>
    <xf borderId="11" fillId="8" fontId="24" numFmtId="0" xfId="0" applyAlignment="1" applyBorder="1" applyFont="1">
      <alignment horizontal="right"/>
    </xf>
    <xf borderId="11" fillId="8" fontId="25" numFmtId="0" xfId="0" applyBorder="1" applyFont="1"/>
    <xf borderId="10" fillId="8" fontId="16" numFmtId="0" xfId="0" applyBorder="1" applyFont="1"/>
    <xf borderId="1" fillId="9" fontId="26" numFmtId="0" xfId="0" applyBorder="1" applyFont="1"/>
    <xf borderId="27" fillId="3" fontId="7" numFmtId="0" xfId="0" applyAlignment="1" applyBorder="1" applyFont="1">
      <alignment horizontal="center" shrinkToFit="0" vertical="center" wrapText="1"/>
    </xf>
    <xf borderId="27" fillId="4" fontId="1" numFmtId="0" xfId="0" applyAlignment="1" applyBorder="1" applyFont="1">
      <alignment horizontal="left" shrinkToFit="0" vertical="center" wrapText="1"/>
    </xf>
    <xf borderId="27" fillId="4" fontId="1" numFmtId="0" xfId="0" applyAlignment="1" applyBorder="1" applyFont="1">
      <alignment horizontal="center" shrinkToFit="0" vertical="center" wrapText="1"/>
    </xf>
    <xf borderId="27" fillId="8" fontId="1" numFmtId="0" xfId="0" applyAlignment="1" applyBorder="1" applyFont="1">
      <alignment horizontal="center" shrinkToFit="0" vertical="center" wrapText="1"/>
    </xf>
    <xf borderId="27" fillId="8" fontId="16" numFmtId="0" xfId="0" applyBorder="1" applyFont="1"/>
    <xf borderId="1" fillId="2" fontId="1" numFmtId="0" xfId="0" applyAlignment="1" applyBorder="1" applyFont="1">
      <alignment readingOrder="0" shrinkToFit="0" wrapText="1"/>
    </xf>
    <xf borderId="1" fillId="8" fontId="4" numFmtId="0" xfId="0" applyAlignment="1" applyBorder="1" applyFont="1">
      <alignment horizontal="center" shrinkToFit="0" wrapText="1"/>
    </xf>
    <xf borderId="1" fillId="6" fontId="4" numFmtId="0" xfId="0" applyAlignment="1" applyBorder="1" applyFont="1">
      <alignment horizontal="center" shrinkToFit="0" wrapText="1"/>
    </xf>
    <xf borderId="31" fillId="4" fontId="4" numFmtId="0" xfId="0" applyAlignment="1" applyBorder="1" applyFont="1">
      <alignment horizontal="center"/>
    </xf>
    <xf borderId="32" fillId="4" fontId="4" numFmtId="0" xfId="0" applyAlignment="1" applyBorder="1" applyFont="1">
      <alignment horizontal="center"/>
    </xf>
    <xf borderId="33" fillId="4" fontId="4" numFmtId="0" xfId="0" applyAlignment="1" applyBorder="1" applyFont="1">
      <alignment horizontal="center"/>
    </xf>
    <xf borderId="0" fillId="0" fontId="27" numFmtId="0" xfId="0" applyFont="1"/>
    <xf borderId="34" fillId="4" fontId="4" numFmtId="0" xfId="0" applyAlignment="1" applyBorder="1" applyFont="1">
      <alignment horizontal="center"/>
    </xf>
    <xf borderId="35" fillId="4" fontId="4" numFmtId="0" xfId="0" applyAlignment="1" applyBorder="1" applyFont="1">
      <alignment horizontal="center"/>
    </xf>
    <xf borderId="28" fillId="8" fontId="16" numFmtId="0" xfId="0" applyAlignment="1" applyBorder="1" applyFont="1">
      <alignment horizontal="right" vertical="bottom"/>
    </xf>
    <xf borderId="1" fillId="6" fontId="6" numFmtId="0" xfId="0" applyBorder="1" applyFont="1"/>
    <xf borderId="36" fillId="4" fontId="4" numFmtId="0" xfId="0" applyAlignment="1" applyBorder="1" applyFont="1">
      <alignment horizontal="center"/>
    </xf>
    <xf borderId="1" fillId="4" fontId="15" numFmtId="0" xfId="0" applyAlignment="1" applyBorder="1" applyFont="1">
      <alignment readingOrder="0" shrinkToFit="0" vertical="center" wrapText="1"/>
    </xf>
    <xf borderId="6" fillId="8" fontId="16" numFmtId="0" xfId="0" applyBorder="1" applyFont="1"/>
    <xf borderId="37" fillId="8" fontId="16" numFmtId="0" xfId="0" applyBorder="1" applyFont="1"/>
    <xf borderId="38" fillId="0" fontId="3" numFmtId="0" xfId="0" applyBorder="1" applyFont="1"/>
    <xf borderId="7" fillId="2" fontId="4" numFmtId="0" xfId="0" applyAlignment="1" applyBorder="1" applyFont="1">
      <alignment horizontal="center" readingOrder="0" shrinkToFit="0" wrapText="1"/>
    </xf>
    <xf borderId="11" fillId="8" fontId="16" numFmtId="0" xfId="0" applyAlignment="1" applyBorder="1" applyFont="1">
      <alignment horizontal="center"/>
    </xf>
    <xf borderId="26" fillId="6" fontId="4" numFmtId="0" xfId="0" applyAlignment="1" applyBorder="1" applyFont="1">
      <alignment horizontal="center" shrinkToFit="0" wrapText="1"/>
    </xf>
    <xf borderId="31" fillId="4" fontId="28" numFmtId="0" xfId="0" applyAlignment="1" applyBorder="1" applyFont="1">
      <alignment horizontal="center"/>
    </xf>
    <xf borderId="31" fillId="6" fontId="4" numFmtId="0" xfId="0" applyAlignment="1" applyBorder="1" applyFont="1">
      <alignment horizontal="center" shrinkToFit="0" wrapText="1"/>
    </xf>
    <xf borderId="11" fillId="8" fontId="16" numFmtId="0" xfId="0" applyAlignment="1" applyBorder="1" applyFont="1">
      <alignment horizontal="center" readingOrder="0"/>
    </xf>
    <xf borderId="32" fillId="4" fontId="28" numFmtId="0" xfId="0" applyAlignment="1" applyBorder="1" applyFont="1">
      <alignment horizontal="center"/>
    </xf>
    <xf borderId="33" fillId="4" fontId="28" numFmtId="0" xfId="0" applyAlignment="1" applyBorder="1" applyFont="1">
      <alignment horizontal="center"/>
    </xf>
    <xf borderId="34" fillId="4" fontId="28" numFmtId="0" xfId="0" applyAlignment="1" applyBorder="1" applyFont="1">
      <alignment horizontal="center"/>
    </xf>
    <xf borderId="35" fillId="4" fontId="28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shrinkToFit="0" wrapText="1"/>
    </xf>
    <xf borderId="31" fillId="4" fontId="28" numFmtId="0" xfId="0" applyAlignment="1" applyBorder="1" applyFont="1">
      <alignment horizontal="center" readingOrder="0"/>
    </xf>
    <xf borderId="36" fillId="4" fontId="28" numFmtId="0" xfId="0" applyAlignment="1" applyBorder="1" applyFont="1">
      <alignment horizontal="center"/>
    </xf>
    <xf borderId="28" fillId="8" fontId="16" numFmtId="0" xfId="0" applyAlignment="1" applyBorder="1" applyFont="1">
      <alignment readingOrder="0"/>
    </xf>
    <xf borderId="7" fillId="2" fontId="1" numFmtId="0" xfId="0" applyAlignment="1" applyBorder="1" applyFont="1">
      <alignment horizontal="center" shrinkToFit="0" wrapText="1"/>
    </xf>
    <xf quotePrefix="1" borderId="1" fillId="6" fontId="4" numFmtId="0" xfId="0" applyAlignment="1" applyBorder="1" applyFont="1">
      <alignment horizontal="center" shrinkToFit="0" wrapText="1"/>
    </xf>
    <xf borderId="39" fillId="4" fontId="1" numFmtId="0" xfId="0" applyAlignment="1" applyBorder="1" applyFont="1">
      <alignment horizontal="center" shrinkToFit="0" vertical="center" wrapText="1"/>
    </xf>
    <xf borderId="25" fillId="4" fontId="1" numFmtId="0" xfId="0" applyAlignment="1" applyBorder="1" applyFont="1">
      <alignment horizontal="center" shrinkToFit="0" vertical="center" wrapText="1"/>
    </xf>
    <xf borderId="25" fillId="8" fontId="1" numFmtId="0" xfId="0" applyAlignment="1" applyBorder="1" applyFont="1">
      <alignment horizontal="center" shrinkToFit="0" vertical="center" wrapText="1"/>
    </xf>
    <xf borderId="1" fillId="8" fontId="29" numFmtId="0" xfId="0" applyBorder="1" applyFont="1"/>
    <xf borderId="1" fillId="4" fontId="30" numFmtId="0" xfId="0" applyAlignment="1" applyBorder="1" applyFont="1">
      <alignment shrinkToFit="0" vertical="center" wrapText="1"/>
    </xf>
    <xf borderId="1" fillId="8" fontId="30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wrapText="1"/>
    </xf>
    <xf borderId="1" fillId="5" fontId="4" numFmtId="0" xfId="0" applyAlignment="1" applyBorder="1" applyFont="1">
      <alignment horizontal="center" shrinkToFit="0" wrapText="1"/>
    </xf>
    <xf borderId="1" fillId="6" fontId="1" numFmtId="0" xfId="0" applyAlignment="1" applyBorder="1" applyFont="1">
      <alignment horizontal="center" shrinkToFit="0" wrapText="1"/>
    </xf>
    <xf borderId="6" fillId="2" fontId="31" numFmtId="0" xfId="0" applyBorder="1" applyFont="1"/>
    <xf borderId="6" fillId="2" fontId="31" numFmtId="0" xfId="0" applyAlignment="1" applyBorder="1" applyFont="1">
      <alignment horizontal="center"/>
    </xf>
    <xf borderId="6" fillId="2" fontId="31" numFmtId="0" xfId="0" applyAlignment="1" applyBorder="1" applyFont="1">
      <alignment horizontal="left" shrinkToFit="0" wrapText="0"/>
    </xf>
    <xf borderId="40" fillId="2" fontId="31" numFmtId="0" xfId="0" applyAlignment="1" applyBorder="1" applyFont="1">
      <alignment horizontal="left" vertical="bottom"/>
    </xf>
    <xf borderId="41" fillId="0" fontId="3" numFmtId="0" xfId="0" applyBorder="1" applyFont="1"/>
    <xf borderId="42" fillId="0" fontId="3" numFmtId="0" xfId="0" applyBorder="1" applyFont="1"/>
    <xf borderId="6" fillId="2" fontId="31" numFmtId="0" xfId="0" applyAlignment="1" applyBorder="1" applyFont="1">
      <alignment horizontal="left" vertical="bottom"/>
    </xf>
    <xf borderId="1" fillId="6" fontId="4" numFmtId="11" xfId="0" applyAlignment="1" applyBorder="1" applyFont="1" applyNumberFormat="1">
      <alignment horizontal="center" shrinkToFit="0" wrapText="1"/>
    </xf>
    <xf borderId="19" fillId="4" fontId="31" numFmtId="0" xfId="0" applyAlignment="1" applyBorder="1" applyFont="1">
      <alignment horizontal="center"/>
    </xf>
    <xf borderId="42" fillId="4" fontId="31" numFmtId="0" xfId="0" applyAlignment="1" applyBorder="1" applyFont="1">
      <alignment horizontal="center"/>
    </xf>
    <xf borderId="42" fillId="8" fontId="31" numFmtId="0" xfId="0" applyAlignment="1" applyBorder="1" applyFont="1">
      <alignment horizontal="center"/>
    </xf>
    <xf borderId="42" fillId="6" fontId="31" numFmtId="0" xfId="0" applyAlignment="1" applyBorder="1" applyFont="1">
      <alignment horizontal="center"/>
    </xf>
    <xf borderId="2" fillId="6" fontId="4" numFmtId="0" xfId="0" applyAlignment="1" applyBorder="1" applyFont="1">
      <alignment horizontal="center" shrinkToFit="0" wrapText="1"/>
    </xf>
    <xf borderId="1" fillId="6" fontId="32" numFmtId="0" xfId="0" applyAlignment="1" applyBorder="1" applyFont="1">
      <alignment horizontal="center"/>
    </xf>
    <xf borderId="1" fillId="6" fontId="32" numFmtId="0" xfId="0" applyAlignment="1" applyBorder="1" applyFont="1">
      <alignment horizontal="center" shrinkToFit="0" wrapText="1"/>
    </xf>
    <xf borderId="1" fillId="13" fontId="7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ont="1">
      <alignment horizontal="center" shrinkToFit="0" wrapText="1"/>
    </xf>
    <xf borderId="2" fillId="13" fontId="4" numFmtId="0" xfId="0" applyAlignment="1" applyBorder="1" applyFont="1">
      <alignment horizontal="center" shrinkToFit="0" wrapText="1"/>
    </xf>
    <xf borderId="1" fillId="13" fontId="6" numFmtId="0" xfId="0" applyBorder="1" applyFont="1"/>
    <xf borderId="24" fillId="13" fontId="16" numFmtId="0" xfId="0" applyBorder="1" applyFont="1"/>
    <xf borderId="11" fillId="13" fontId="16" numFmtId="0" xfId="0" applyBorder="1" applyFont="1"/>
    <xf borderId="1" fillId="13" fontId="17" numFmtId="0" xfId="0" applyAlignment="1" applyBorder="1" applyFont="1">
      <alignment horizontal="center" shrinkToFit="0" vertical="center" wrapText="1"/>
    </xf>
    <xf borderId="0" fillId="13" fontId="33" numFmtId="0" xfId="0" applyFont="1"/>
    <xf borderId="0" fillId="13" fontId="12" numFmtId="0" xfId="0" applyFont="1"/>
    <xf borderId="1" fillId="13" fontId="18" numFmtId="0" xfId="0" applyBorder="1" applyFont="1"/>
    <xf borderId="1" fillId="13" fontId="13" numFmtId="0" xfId="0" applyBorder="1" applyFont="1"/>
    <xf borderId="1" fillId="13" fontId="13" numFmtId="0" xfId="0" applyAlignment="1" applyBorder="1" applyFont="1">
      <alignment horizontal="right"/>
    </xf>
    <xf borderId="1" fillId="13" fontId="32" numFmtId="0" xfId="0" applyAlignment="1" applyBorder="1" applyFont="1">
      <alignment horizontal="center"/>
    </xf>
    <xf borderId="0" fillId="13" fontId="33" numFmtId="0" xfId="0" applyAlignment="1" applyFont="1">
      <alignment readingOrder="0"/>
    </xf>
    <xf borderId="0" fillId="13" fontId="18" numFmtId="0" xfId="0" applyFont="1"/>
    <xf borderId="1" fillId="4" fontId="15" numFmtId="0" xfId="0" applyAlignment="1" applyBorder="1" applyFont="1">
      <alignment shrinkToFit="0" wrapText="1"/>
    </xf>
    <xf borderId="7" fillId="2" fontId="4" numFmtId="0" xfId="0" applyAlignment="1" applyBorder="1" applyFont="1">
      <alignment shrinkToFit="0" wrapText="1"/>
    </xf>
    <xf borderId="1" fillId="6" fontId="4" numFmtId="0" xfId="0" applyAlignment="1" applyBorder="1" applyFont="1">
      <alignment horizontal="center" readingOrder="0" shrinkToFit="0" wrapText="1"/>
    </xf>
    <xf borderId="43" fillId="8" fontId="15" numFmtId="0" xfId="0" applyAlignment="1" applyBorder="1" applyFont="1">
      <alignment horizontal="center" shrinkToFit="0" vertical="center" wrapText="1"/>
    </xf>
    <xf borderId="44" fillId="0" fontId="34" numFmtId="0" xfId="0" applyAlignment="1" applyBorder="1" applyFont="1">
      <alignment shrinkToFit="0" wrapText="1"/>
    </xf>
    <xf borderId="1" fillId="6" fontId="35" numFmtId="0" xfId="0" applyAlignment="1" applyBorder="1" applyFont="1">
      <alignment horizontal="center" shrinkToFit="0" wrapText="1"/>
    </xf>
    <xf borderId="45" fillId="2" fontId="2" numFmtId="0" xfId="0" applyAlignment="1" applyBorder="1" applyFont="1">
      <alignment vertical="center"/>
    </xf>
    <xf borderId="6" fillId="2" fontId="4" numFmtId="0" xfId="0" applyAlignment="1" applyBorder="1" applyFont="1">
      <alignment horizontal="center" shrinkToFit="0" vertical="bottom" wrapText="1"/>
    </xf>
    <xf borderId="46" fillId="0" fontId="3" numFmtId="0" xfId="0" applyBorder="1" applyFont="1"/>
    <xf borderId="40" fillId="2" fontId="4" numFmtId="0" xfId="0" applyAlignment="1" applyBorder="1" applyFont="1">
      <alignment horizontal="center" shrinkToFit="0" vertical="bottom" wrapText="1"/>
    </xf>
    <xf borderId="47" fillId="0" fontId="3" numFmtId="0" xfId="0" applyBorder="1" applyFont="1"/>
    <xf borderId="48" fillId="2" fontId="35" numFmtId="0" xfId="0" applyAlignment="1" applyBorder="1" applyFont="1">
      <alignment horizontal="center" shrinkToFit="0" vertical="bottom" wrapText="1"/>
    </xf>
    <xf borderId="49" fillId="0" fontId="3" numFmtId="0" xfId="0" applyBorder="1" applyFont="1"/>
    <xf borderId="50" fillId="0" fontId="3" numFmtId="0" xfId="0" applyBorder="1" applyFont="1"/>
    <xf borderId="51" fillId="3" fontId="7" numFmtId="0" xfId="0" applyAlignment="1" applyBorder="1" applyFont="1">
      <alignment horizontal="center" shrinkToFit="0" vertical="center" wrapText="1"/>
    </xf>
    <xf borderId="52" fillId="3" fontId="7" numFmtId="0" xfId="0" applyAlignment="1" applyBorder="1" applyFont="1">
      <alignment horizontal="center" shrinkToFit="0" vertical="center" wrapText="1"/>
    </xf>
    <xf borderId="39" fillId="4" fontId="36" numFmtId="0" xfId="0" applyAlignment="1" applyBorder="1" applyFont="1">
      <alignment shrinkToFit="0" vertical="bottom" wrapText="1"/>
    </xf>
    <xf borderId="25" fillId="4" fontId="36" numFmtId="0" xfId="0" applyAlignment="1" applyBorder="1" applyFont="1">
      <alignment shrinkToFit="0" vertical="bottom" wrapText="1"/>
    </xf>
    <xf borderId="30" fillId="8" fontId="4" numFmtId="0" xfId="0" applyAlignment="1" applyBorder="1" applyFont="1">
      <alignment horizontal="center" shrinkToFit="0" wrapText="1"/>
    </xf>
    <xf borderId="53" fillId="8" fontId="16" numFmtId="0" xfId="0" applyAlignment="1" applyBorder="1" applyFont="1">
      <alignment readingOrder="0"/>
    </xf>
    <xf borderId="19" fillId="8" fontId="16" numFmtId="0" xfId="0" applyBorder="1" applyFont="1"/>
    <xf borderId="1" fillId="9" fontId="37" numFmtId="0" xfId="0" applyAlignment="1" applyBorder="1" applyFont="1">
      <alignment horizontal="center" readingOrder="0" shrinkToFit="0" vertical="center" wrapText="1"/>
    </xf>
    <xf borderId="6" fillId="2" fontId="15" numFmtId="0" xfId="0" applyAlignment="1" applyBorder="1" applyFont="1">
      <alignment horizontal="left" shrinkToFit="0" wrapText="1"/>
    </xf>
    <xf borderId="1" fillId="14" fontId="15" numFmtId="0" xfId="0" applyBorder="1" applyFill="1" applyFont="1"/>
    <xf borderId="1" fillId="14" fontId="15" numFmtId="0" xfId="0" applyAlignment="1" applyBorder="1" applyFont="1">
      <alignment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35" fillId="4" fontId="28" numFmtId="0" xfId="0" applyAlignment="1" applyBorder="1" applyFont="1">
      <alignment horizontal="center"/>
    </xf>
    <xf borderId="27" fillId="11" fontId="1" numFmtId="0" xfId="0" applyBorder="1" applyFont="1"/>
    <xf borderId="12" fillId="12" fontId="13" numFmtId="0" xfId="0" applyAlignment="1" applyBorder="1" applyFont="1">
      <alignment horizontal="center"/>
    </xf>
    <xf borderId="5" fillId="12" fontId="13" numFmtId="0" xfId="0" applyAlignment="1" applyBorder="1" applyFont="1">
      <alignment horizontal="center"/>
    </xf>
    <xf borderId="27" fillId="11" fontId="9" numFmtId="0" xfId="0" applyAlignment="1" applyBorder="1" applyFont="1">
      <alignment horizontal="center" shrinkToFit="0" vertical="center" wrapText="1"/>
    </xf>
    <xf borderId="12" fillId="12" fontId="13" numFmtId="0" xfId="0" applyBorder="1" applyFont="1"/>
    <xf borderId="5" fillId="12" fontId="13" numFmtId="0" xfId="0" applyBorder="1" applyFont="1"/>
    <xf borderId="1" fillId="12" fontId="13" numFmtId="0" xfId="0" applyAlignment="1" applyBorder="1" applyFont="1">
      <alignment horizontal="right"/>
    </xf>
    <xf borderId="31" fillId="4" fontId="38" numFmtId="0" xfId="0" applyAlignment="1" applyBorder="1" applyFont="1">
      <alignment horizontal="center"/>
    </xf>
    <xf borderId="1" fillId="12" fontId="13" numFmtId="0" xfId="0" applyBorder="1" applyFont="1"/>
    <xf borderId="32" fillId="4" fontId="38" numFmtId="0" xfId="0" applyAlignment="1" applyBorder="1" applyFont="1">
      <alignment horizontal="center"/>
    </xf>
    <xf borderId="33" fillId="4" fontId="38" numFmtId="0" xfId="0" applyAlignment="1" applyBorder="1" applyFont="1">
      <alignment horizontal="center"/>
    </xf>
    <xf borderId="34" fillId="4" fontId="38" numFmtId="0" xfId="0" applyAlignment="1" applyBorder="1" applyFont="1">
      <alignment horizontal="center"/>
    </xf>
    <xf borderId="35" fillId="4" fontId="38" numFmtId="0" xfId="0" applyAlignment="1" applyBorder="1" applyFont="1">
      <alignment horizontal="center"/>
    </xf>
    <xf borderId="1" fillId="9" fontId="39" numFmtId="0" xfId="0" applyAlignment="1" applyBorder="1" applyFont="1">
      <alignment horizontal="center" readingOrder="0" shrinkToFit="0" vertical="center" wrapText="1"/>
    </xf>
    <xf borderId="36" fillId="4" fontId="38" numFmtId="0" xfId="0" applyAlignment="1" applyBorder="1" applyFont="1">
      <alignment horizontal="center"/>
    </xf>
    <xf borderId="1" fillId="4" fontId="40" numFmtId="0" xfId="0" applyAlignment="1" applyBorder="1" applyFont="1">
      <alignment horizontal="center" shrinkToFit="0" wrapText="1"/>
    </xf>
    <xf borderId="1" fillId="8" fontId="40" numFmtId="0" xfId="0" applyAlignment="1" applyBorder="1" applyFont="1">
      <alignment horizontal="center" shrinkToFit="0" wrapText="1"/>
    </xf>
    <xf borderId="1" fillId="6" fontId="40" numFmtId="0" xfId="0" applyAlignment="1" applyBorder="1" applyFont="1">
      <alignment horizontal="center" shrinkToFit="0" wrapText="1"/>
    </xf>
    <xf borderId="0" fillId="9" fontId="27" numFmtId="0" xfId="0" applyAlignment="1" applyFont="1">
      <alignment readingOrder="0"/>
    </xf>
    <xf borderId="1" fillId="4" fontId="1" numFmtId="0" xfId="0" applyAlignment="1" applyBorder="1" applyFont="1">
      <alignment horizontal="left" readingOrder="0" shrinkToFit="0" vertical="center" wrapText="1"/>
    </xf>
    <xf borderId="1" fillId="8" fontId="1" numFmtId="0" xfId="0" applyAlignment="1" applyBorder="1" applyFont="1">
      <alignment horizontal="center" readingOrder="0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27" fillId="11" fontId="1" numFmtId="0" xfId="0" applyAlignment="1" applyBorder="1" applyFont="1">
      <alignment horizontal="left" shrinkToFit="0" vertical="center" wrapText="1"/>
    </xf>
    <xf borderId="27" fillId="11" fontId="1" numFmtId="0" xfId="0" applyAlignment="1" applyBorder="1" applyFont="1">
      <alignment horizontal="center" shrinkToFit="0" vertical="center" wrapText="1"/>
    </xf>
    <xf borderId="27" fillId="11" fontId="16" numFmtId="0" xfId="0" applyBorder="1" applyFont="1"/>
    <xf borderId="7" fillId="0" fontId="4" numFmtId="0" xfId="0" applyAlignment="1" applyBorder="1" applyFont="1">
      <alignment shrinkToFit="0" wrapText="1"/>
    </xf>
    <xf borderId="6" fillId="2" fontId="1" numFmtId="0" xfId="0" applyAlignment="1" applyBorder="1" applyFont="1">
      <alignment shrinkToFit="0" wrapText="1"/>
    </xf>
    <xf borderId="1" fillId="4" fontId="35" numFmtId="0" xfId="0" applyAlignment="1" applyBorder="1" applyFont="1">
      <alignment horizontal="center" shrinkToFit="0" wrapText="1"/>
    </xf>
    <xf borderId="24" fillId="8" fontId="16" numFmtId="0" xfId="0" applyAlignment="1" applyBorder="1" applyFont="1">
      <alignment horizontal="right" vertical="bottom"/>
    </xf>
    <xf borderId="11" fillId="8" fontId="16" numFmtId="0" xfId="0" applyAlignment="1" applyBorder="1" applyFont="1">
      <alignment horizontal="right" readingOrder="0"/>
    </xf>
    <xf borderId="4" fillId="2" fontId="2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wrapText="1"/>
    </xf>
    <xf borderId="10" fillId="2" fontId="1" numFmtId="0" xfId="0" applyAlignment="1" applyBorder="1" applyFont="1">
      <alignment horizontal="center" shrinkToFit="0" wrapText="1"/>
    </xf>
    <xf borderId="11" fillId="8" fontId="16" numFmtId="0" xfId="0" applyAlignment="1" applyBorder="1" applyFont="1">
      <alignment horizontal="center" vertical="center"/>
    </xf>
    <xf borderId="11" fillId="8" fontId="16" numFmtId="0" xfId="0" applyAlignment="1" applyBorder="1" applyFont="1">
      <alignment horizontal="center" readingOrder="0" vertical="center"/>
    </xf>
    <xf borderId="0" fillId="0" fontId="27" numFmtId="0" xfId="0" applyAlignment="1" applyFont="1">
      <alignment horizontal="center"/>
    </xf>
    <xf borderId="3" fillId="8" fontId="4" numFmtId="0" xfId="0" applyAlignment="1" applyBorder="1" applyFont="1">
      <alignment horizontal="center" shrinkToFit="0" wrapText="1"/>
    </xf>
    <xf borderId="6" fillId="8" fontId="16" numFmtId="0" xfId="0" applyAlignment="1" applyBorder="1" applyFont="1">
      <alignment horizontal="center"/>
    </xf>
    <xf borderId="27" fillId="8" fontId="16" numFmtId="0" xfId="0" applyAlignment="1" applyBorder="1" applyFont="1">
      <alignment horizontal="center"/>
    </xf>
    <xf borderId="1" fillId="4" fontId="38" numFmtId="0" xfId="0" applyAlignment="1" applyBorder="1" applyFont="1">
      <alignment shrinkToFit="0" wrapText="1"/>
    </xf>
    <xf borderId="1" fillId="5" fontId="38" numFmtId="0" xfId="0" applyAlignment="1" applyBorder="1" applyFont="1">
      <alignment horizontal="center" shrinkToFit="0" wrapText="1"/>
    </xf>
    <xf borderId="1" fillId="6" fontId="38" numFmtId="0" xfId="0" applyAlignment="1" applyBorder="1" applyFont="1">
      <alignment horizontal="center" shrinkToFit="0" wrapText="1"/>
    </xf>
    <xf borderId="1" fillId="4" fontId="25" numFmtId="0" xfId="0" applyAlignment="1" applyBorder="1" applyFont="1">
      <alignment vertical="bottom"/>
    </xf>
    <xf quotePrefix="1" borderId="1" fillId="6" fontId="38" numFmtId="0" xfId="0" applyAlignment="1" applyBorder="1" applyFont="1">
      <alignment horizontal="center" shrinkToFit="0" wrapText="1"/>
    </xf>
    <xf borderId="1" fillId="4" fontId="38" numFmtId="0" xfId="0" applyAlignment="1" applyBorder="1" applyFont="1">
      <alignment shrinkToFit="0" wrapText="1"/>
    </xf>
    <xf borderId="1" fillId="5" fontId="38" numFmtId="0" xfId="0" applyAlignment="1" applyBorder="1" applyFont="1">
      <alignment horizontal="center" shrinkToFit="0" wrapText="1"/>
    </xf>
    <xf borderId="1" fillId="6" fontId="38" numFmtId="0" xfId="0" applyAlignment="1" applyBorder="1" applyFont="1">
      <alignment horizontal="center" shrinkToFit="0" wrapText="1"/>
    </xf>
    <xf borderId="54" fillId="4" fontId="25" numFmtId="0" xfId="0" applyAlignment="1" applyBorder="1" applyFont="1">
      <alignment vertical="bottom"/>
    </xf>
    <xf borderId="30" fillId="4" fontId="38" numFmtId="0" xfId="0" applyAlignment="1" applyBorder="1" applyFont="1">
      <alignment shrinkToFit="0" wrapText="1"/>
    </xf>
    <xf borderId="54" fillId="4" fontId="38" numFmtId="0" xfId="0" applyAlignment="1" applyBorder="1" applyFont="1">
      <alignment shrinkToFit="0" wrapText="1"/>
    </xf>
    <xf borderId="39" fillId="4" fontId="4" numFmtId="0" xfId="0" applyAlignment="1" applyBorder="1" applyFont="1">
      <alignment horizontal="center" readingOrder="0" shrinkToFit="0" vertical="center" wrapText="1"/>
    </xf>
    <xf borderId="25" fillId="4" fontId="4" numFmtId="0" xfId="0" applyAlignment="1" applyBorder="1" applyFont="1">
      <alignment horizontal="center" readingOrder="0" shrinkToFit="0" vertical="center" wrapText="1"/>
    </xf>
    <xf borderId="25" fillId="5" fontId="4" numFmtId="0" xfId="0" applyAlignment="1" applyBorder="1" applyFont="1">
      <alignment horizontal="center" readingOrder="0" shrinkToFit="0" vertical="center" wrapText="1"/>
    </xf>
    <xf borderId="25" fillId="6" fontId="4" numFmtId="0" xfId="0" applyAlignment="1" applyBorder="1" applyFont="1">
      <alignment horizontal="center" readingOrder="0" shrinkToFit="0" vertical="center" wrapText="1"/>
    </xf>
    <xf borderId="25" fillId="6" fontId="4" numFmtId="0" xfId="0" applyAlignment="1" applyBorder="1" applyFont="1">
      <alignment horizontal="center" shrinkToFit="0" vertical="center" wrapText="1"/>
    </xf>
    <xf borderId="39" fillId="4" fontId="4" numFmtId="0" xfId="0" applyAlignment="1" applyBorder="1" applyFont="1">
      <alignment horizontal="center" shrinkToFit="0" vertical="center" wrapText="1"/>
    </xf>
    <xf borderId="25" fillId="4" fontId="4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readingOrder="0" shrinkToFit="0" wrapText="1"/>
    </xf>
    <xf borderId="43" fillId="8" fontId="15" numFmtId="0" xfId="0" applyAlignment="1" applyBorder="1" applyFont="1">
      <alignment horizontal="center" readingOrder="0" shrinkToFit="0" vertical="center" wrapText="1"/>
    </xf>
    <xf borderId="1" fillId="4" fontId="38" numFmtId="0" xfId="0" applyAlignment="1" applyBorder="1" applyFont="1">
      <alignment horizontal="center" shrinkToFit="0" wrapText="1"/>
    </xf>
    <xf borderId="1" fillId="8" fontId="38" numFmtId="0" xfId="0" applyAlignment="1" applyBorder="1" applyFont="1">
      <alignment horizontal="center" shrinkToFit="0" wrapText="1"/>
    </xf>
    <xf borderId="24" fillId="4" fontId="4" numFmtId="0" xfId="0" applyAlignment="1" applyBorder="1" applyFont="1">
      <alignment horizontal="center" shrinkToFit="0" vertical="bottom" wrapText="1"/>
    </xf>
    <xf borderId="11" fillId="4" fontId="4" numFmtId="0" xfId="0" applyAlignment="1" applyBorder="1" applyFont="1">
      <alignment horizontal="center" shrinkToFit="0" vertical="bottom" wrapText="1"/>
    </xf>
    <xf borderId="11" fillId="5" fontId="4" numFmtId="0" xfId="0" applyAlignment="1" applyBorder="1" applyFont="1">
      <alignment horizontal="center" shrinkToFit="0" vertical="bottom" wrapText="1"/>
    </xf>
    <xf borderId="11" fillId="6" fontId="4" numFmtId="0" xfId="0" applyAlignment="1" applyBorder="1" applyFont="1">
      <alignment horizontal="center" shrinkToFit="0" vertical="bottom" wrapText="1"/>
    </xf>
    <xf borderId="24" fillId="6" fontId="4" numFmtId="164" xfId="0" applyAlignment="1" applyBorder="1" applyFont="1" applyNumberFormat="1">
      <alignment horizontal="center" shrinkToFit="0" vertical="bottom" wrapText="1"/>
    </xf>
    <xf borderId="39" fillId="4" fontId="4" numFmtId="0" xfId="0" applyAlignment="1" applyBorder="1" applyFont="1">
      <alignment horizontal="center" shrinkToFit="0" wrapText="1"/>
    </xf>
    <xf borderId="25" fillId="4" fontId="4" numFmtId="0" xfId="0" applyAlignment="1" applyBorder="1" applyFont="1">
      <alignment horizontal="center" shrinkToFit="0" wrapText="1"/>
    </xf>
    <xf borderId="25" fillId="5" fontId="4" numFmtId="0" xfId="0" applyAlignment="1" applyBorder="1" applyFont="1">
      <alignment horizontal="center" shrinkToFit="0" wrapText="1"/>
    </xf>
    <xf borderId="25" fillId="6" fontId="4" numFmtId="0" xfId="0" applyAlignment="1" applyBorder="1" applyFont="1">
      <alignment horizontal="center" shrinkToFit="0" wrapText="1"/>
    </xf>
    <xf borderId="34" fillId="4" fontId="41" numFmtId="0" xfId="0" applyAlignment="1" applyBorder="1" applyFont="1">
      <alignment horizontal="center"/>
    </xf>
    <xf borderId="13" fillId="3" fontId="7" numFmtId="0" xfId="0" applyAlignment="1" applyBorder="1" applyFont="1">
      <alignment horizontal="center" readingOrder="0" shrinkToFit="0" vertical="center" wrapText="1"/>
    </xf>
    <xf borderId="22" fillId="3" fontId="8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shrinkToFit="0" vertical="bottom" wrapText="1"/>
    </xf>
    <xf borderId="30" fillId="4" fontId="4" numFmtId="0" xfId="0" applyAlignment="1" applyBorder="1" applyFont="1">
      <alignment horizontal="center" shrinkToFit="0" vertical="bottom" wrapText="1"/>
    </xf>
    <xf borderId="30" fillId="5" fontId="4" numFmtId="0" xfId="0" applyAlignment="1" applyBorder="1" applyFont="1">
      <alignment horizontal="center" shrinkToFit="0" vertical="bottom" wrapText="1"/>
    </xf>
    <xf borderId="30" fillId="6" fontId="4" numFmtId="0" xfId="0" applyAlignment="1" applyBorder="1" applyFont="1">
      <alignment horizontal="center" shrinkToFit="0" vertical="bottom" wrapText="1"/>
    </xf>
    <xf borderId="1" fillId="6" fontId="4" numFmtId="164" xfId="0" applyAlignment="1" applyBorder="1" applyFont="1" applyNumberFormat="1">
      <alignment horizontal="center" shrinkToFit="0" vertical="bottom" wrapText="1"/>
    </xf>
    <xf borderId="42" fillId="8" fontId="16" numFmtId="0" xfId="0" applyBorder="1" applyFont="1"/>
    <xf borderId="24" fillId="4" fontId="4" numFmtId="0" xfId="0" applyAlignment="1" applyBorder="1" applyFont="1">
      <alignment horizontal="center" shrinkToFit="0" wrapText="1"/>
    </xf>
    <xf borderId="11" fillId="4" fontId="4" numFmtId="0" xfId="0" applyAlignment="1" applyBorder="1" applyFont="1">
      <alignment horizontal="center" shrinkToFit="0" wrapText="1"/>
    </xf>
    <xf borderId="11" fillId="5" fontId="4" numFmtId="0" xfId="0" applyAlignment="1" applyBorder="1" applyFont="1">
      <alignment horizontal="center" shrinkToFit="0" wrapText="1"/>
    </xf>
    <xf borderId="11" fillId="6" fontId="35" numFmtId="0" xfId="0" applyAlignment="1" applyBorder="1" applyFont="1">
      <alignment horizontal="center" shrinkToFit="0" wrapText="1"/>
    </xf>
    <xf borderId="11" fillId="6" fontId="4" numFmtId="0" xfId="0" applyAlignment="1" applyBorder="1" applyFont="1">
      <alignment horizontal="center" shrinkToFit="0" wrapText="1"/>
    </xf>
    <xf borderId="24" fillId="6" fontId="35" numFmtId="164" xfId="0" applyAlignment="1" applyBorder="1" applyFont="1" applyNumberFormat="1">
      <alignment horizontal="center" shrinkToFit="0" wrapText="1"/>
    </xf>
    <xf borderId="11" fillId="6" fontId="35" numFmtId="0" xfId="0" applyAlignment="1" applyBorder="1" applyFont="1">
      <alignment horizontal="center" shrinkToFit="0" vertical="bottom" wrapText="1"/>
    </xf>
    <xf borderId="24" fillId="6" fontId="4" numFmtId="164" xfId="0" applyAlignment="1" applyBorder="1" applyFont="1" applyNumberFormat="1">
      <alignment horizontal="center" shrinkToFit="0" wrapText="1"/>
    </xf>
    <xf borderId="24" fillId="4" fontId="4" numFmtId="0" xfId="0" applyAlignment="1" applyBorder="1" applyFont="1">
      <alignment horizontal="center" readingOrder="0" shrinkToFit="0" vertical="bottom" wrapText="1"/>
    </xf>
    <xf borderId="11" fillId="4" fontId="35" numFmtId="0" xfId="0" applyAlignment="1" applyBorder="1" applyFont="1">
      <alignment horizontal="center" shrinkToFit="0" vertical="bottom" wrapText="1"/>
    </xf>
    <xf borderId="24" fillId="6" fontId="35" numFmtId="164" xfId="0" applyAlignment="1" applyBorder="1" applyFont="1" applyNumberFormat="1">
      <alignment horizontal="center" shrinkToFit="0" vertical="bottom" wrapText="1"/>
    </xf>
    <xf borderId="11" fillId="6" fontId="38" numFmtId="0" xfId="0" applyAlignment="1" applyBorder="1" applyFont="1">
      <alignment horizontal="center" shrinkToFit="0" vertical="bottom" wrapText="1"/>
    </xf>
    <xf borderId="24" fillId="4" fontId="4" numFmtId="0" xfId="0" applyAlignment="1" applyBorder="1" applyFont="1">
      <alignment horizontal="center" vertical="bottom"/>
    </xf>
    <xf borderId="11" fillId="4" fontId="4" numFmtId="0" xfId="0" applyAlignment="1" applyBorder="1" applyFont="1">
      <alignment horizontal="center" vertical="bottom"/>
    </xf>
    <xf borderId="11" fillId="6" fontId="4" numFmtId="0" xfId="0" applyAlignment="1" applyBorder="1" applyFont="1">
      <alignment horizontal="center" vertical="bottom"/>
    </xf>
    <xf borderId="11" fillId="6" fontId="32" numFmtId="0" xfId="0" applyAlignment="1" applyBorder="1" applyFont="1">
      <alignment horizontal="center" shrinkToFit="0" vertical="bottom" wrapText="1"/>
    </xf>
    <xf borderId="11" fillId="4" fontId="4" numFmtId="0" xfId="0" applyAlignment="1" applyBorder="1" applyFont="1">
      <alignment horizontal="center" readingOrder="0" shrinkToFit="0" vertical="bottom" wrapText="1"/>
    </xf>
    <xf borderId="1" fillId="5" fontId="4" numFmtId="0" xfId="0" applyAlignment="1" applyBorder="1" applyFont="1">
      <alignment horizontal="center" shrinkToFit="0" vertical="bottom" wrapText="1"/>
    </xf>
    <xf borderId="1" fillId="6" fontId="4" numFmtId="0" xfId="0" applyAlignment="1" applyBorder="1" applyFont="1">
      <alignment horizontal="center" shrinkToFit="0" vertical="bottom" wrapText="1"/>
    </xf>
    <xf borderId="53" fillId="8" fontId="16" numFmtId="0" xfId="0" applyBorder="1" applyFont="1"/>
    <xf borderId="55" fillId="8" fontId="16" numFmtId="0" xfId="0" applyBorder="1" applyFont="1"/>
    <xf borderId="0" fillId="3" fontId="7" numFmtId="0" xfId="0" applyAlignment="1" applyFont="1">
      <alignment horizontal="center" shrinkToFit="0" vertical="center" wrapText="1"/>
    </xf>
    <xf borderId="27" fillId="3" fontId="23" numFmtId="0" xfId="0" applyAlignment="1" applyBorder="1" applyFont="1">
      <alignment horizontal="center" readingOrder="0"/>
    </xf>
    <xf borderId="0" fillId="0" fontId="33" numFmtId="0" xfId="0" applyAlignment="1" applyFont="1">
      <alignment readingOrder="0"/>
    </xf>
    <xf borderId="0" fillId="0" fontId="42" numFmtId="0" xfId="0" applyFont="1"/>
    <xf borderId="24" fillId="12" fontId="16" numFmtId="0" xfId="0" applyBorder="1" applyFont="1"/>
    <xf borderId="11" fillId="12" fontId="16" numFmtId="0" xfId="0" applyBorder="1" applyFont="1"/>
    <xf borderId="5" fillId="4" fontId="38" numFmtId="0" xfId="0" applyAlignment="1" applyBorder="1" applyFont="1">
      <alignment horizontal="center" shrinkToFit="0" wrapText="1"/>
    </xf>
    <xf borderId="5" fillId="5" fontId="38" numFmtId="0" xfId="0" applyAlignment="1" applyBorder="1" applyFont="1">
      <alignment horizontal="center" shrinkToFit="0" wrapText="1"/>
    </xf>
    <xf borderId="5" fillId="6" fontId="38" numFmtId="0" xfId="0" applyAlignment="1" applyBorder="1" applyFont="1">
      <alignment horizontal="center" shrinkToFit="0" wrapText="1"/>
    </xf>
    <xf borderId="19" fillId="4" fontId="38" numFmtId="0" xfId="0" applyAlignment="1" applyBorder="1" applyFont="1">
      <alignment horizontal="center" shrinkToFit="0" wrapText="1"/>
    </xf>
    <xf borderId="42" fillId="4" fontId="38" numFmtId="0" xfId="0" applyAlignment="1" applyBorder="1" applyFont="1">
      <alignment horizontal="center" shrinkToFit="0" wrapText="1"/>
    </xf>
    <xf borderId="42" fillId="5" fontId="38" numFmtId="0" xfId="0" applyAlignment="1" applyBorder="1" applyFont="1">
      <alignment horizontal="center" shrinkToFit="0" wrapText="1"/>
    </xf>
    <xf borderId="42" fillId="6" fontId="38" numFmtId="0" xfId="0" applyAlignment="1" applyBorder="1" applyFont="1">
      <alignment horizontal="center" shrinkToFit="0" wrapText="1"/>
    </xf>
    <xf borderId="42" fillId="4" fontId="38" numFmtId="0" xfId="0" applyAlignment="1" applyBorder="1" applyFont="1">
      <alignment horizontal="center"/>
    </xf>
    <xf borderId="42" fillId="6" fontId="38" numFmtId="0" xfId="0" applyAlignment="1" applyBorder="1" applyFont="1">
      <alignment horizontal="center"/>
    </xf>
    <xf borderId="42" fillId="6" fontId="38" numFmtId="11" xfId="0" applyAlignment="1" applyBorder="1" applyFont="1" applyNumberFormat="1">
      <alignment horizontal="center" shrinkToFit="0" wrapText="1"/>
    </xf>
    <xf borderId="19" fillId="4" fontId="38" numFmtId="0" xfId="0" applyAlignment="1" applyBorder="1" applyFont="1">
      <alignment horizontal="center"/>
    </xf>
    <xf borderId="42" fillId="5" fontId="38" numFmtId="0" xfId="0" applyAlignment="1" applyBorder="1" applyFont="1">
      <alignment horizontal="center"/>
    </xf>
    <xf borderId="1" fillId="15" fontId="7" numFmtId="0" xfId="0" applyAlignment="1" applyBorder="1" applyFill="1" applyFont="1">
      <alignment horizontal="center" shrinkToFit="0" vertical="center" wrapText="1"/>
    </xf>
    <xf borderId="19" fillId="15" fontId="38" numFmtId="0" xfId="0" applyAlignment="1" applyBorder="1" applyFont="1">
      <alignment horizontal="center" shrinkToFit="0" wrapText="1"/>
    </xf>
    <xf borderId="42" fillId="15" fontId="38" numFmtId="0" xfId="0" applyAlignment="1" applyBorder="1" applyFont="1">
      <alignment horizontal="center" shrinkToFit="0" wrapText="1"/>
    </xf>
    <xf borderId="24" fillId="15" fontId="16" numFmtId="0" xfId="0" applyAlignment="1" applyBorder="1" applyFont="1">
      <alignment readingOrder="0"/>
    </xf>
    <xf borderId="11" fillId="15" fontId="16" numFmtId="0" xfId="0" applyAlignment="1" applyBorder="1" applyFont="1">
      <alignment readingOrder="0"/>
    </xf>
    <xf borderId="11" fillId="15" fontId="16" numFmtId="0" xfId="0" applyBorder="1" applyFont="1"/>
    <xf borderId="1" fillId="15" fontId="17" numFmtId="0" xfId="0" applyAlignment="1" applyBorder="1" applyFont="1">
      <alignment horizontal="center" readingOrder="0" shrinkToFit="0" vertical="center" wrapText="1"/>
    </xf>
    <xf borderId="42" fillId="6" fontId="6" numFmtId="0" xfId="0" applyBorder="1" applyFont="1"/>
    <xf borderId="42" fillId="6" fontId="38" numFmtId="0" xfId="0" applyAlignment="1" applyBorder="1" applyFont="1">
      <alignment horizontal="center" readingOrder="0" shrinkToFit="0" wrapText="1"/>
    </xf>
    <xf borderId="56" fillId="8" fontId="16" numFmtId="0" xfId="0" applyAlignment="1" applyBorder="1" applyFont="1">
      <alignment horizontal="right" readingOrder="0" vertical="bottom"/>
    </xf>
    <xf borderId="5" fillId="8" fontId="6" numFmtId="0" xfId="0" applyAlignment="1" applyBorder="1" applyFont="1">
      <alignment vertical="bottom"/>
    </xf>
    <xf borderId="5" fillId="9" fontId="17" numFmtId="0" xfId="0" applyAlignment="1" applyBorder="1" applyFont="1">
      <alignment horizontal="center" shrinkToFit="0" vertical="bottom" wrapText="1"/>
    </xf>
    <xf borderId="42" fillId="6" fontId="38" numFmtId="165" xfId="0" applyAlignment="1" applyBorder="1" applyFont="1" applyNumberFormat="1">
      <alignment horizontal="center" shrinkToFit="0" wrapText="1"/>
    </xf>
    <xf borderId="42" fillId="4" fontId="6" numFmtId="0" xfId="0" applyBorder="1" applyFont="1"/>
    <xf borderId="27" fillId="15" fontId="7" numFmtId="0" xfId="0" applyAlignment="1" applyBorder="1" applyFont="1">
      <alignment horizontal="center" shrinkToFit="0" vertical="center" wrapText="1"/>
    </xf>
    <xf borderId="0" fillId="11" fontId="33" numFmtId="0" xfId="0" applyFont="1"/>
    <xf borderId="0" fillId="0" fontId="6" numFmtId="0" xfId="0" applyFont="1"/>
    <xf borderId="57" fillId="2" fontId="1" numFmtId="0" xfId="0" applyAlignment="1" applyBorder="1" applyFont="1">
      <alignment horizontal="left" shrinkToFit="0" wrapText="1"/>
    </xf>
    <xf borderId="58" fillId="4" fontId="4" numFmtId="0" xfId="0" applyAlignment="1" applyBorder="1" applyFont="1">
      <alignment shrinkToFit="0" vertical="bottom" wrapText="1"/>
    </xf>
    <xf borderId="23" fillId="4" fontId="4" numFmtId="0" xfId="0" applyAlignment="1" applyBorder="1" applyFont="1">
      <alignment shrinkToFit="0" vertical="bottom" wrapText="1"/>
    </xf>
    <xf borderId="23" fillId="5" fontId="4" numFmtId="0" xfId="0" applyAlignment="1" applyBorder="1" applyFont="1">
      <alignment horizontal="center" shrinkToFit="0" vertical="bottom" wrapText="1"/>
    </xf>
    <xf borderId="23" fillId="6" fontId="4" numFmtId="0" xfId="0" applyAlignment="1" applyBorder="1" applyFont="1">
      <alignment horizontal="center" readingOrder="0" shrinkToFit="0" vertical="bottom" wrapText="1"/>
    </xf>
    <xf borderId="23" fillId="6" fontId="4" numFmtId="0" xfId="0" applyAlignment="1" applyBorder="1" applyFont="1">
      <alignment horizontal="center" shrinkToFit="0" vertical="bottom" wrapText="1"/>
    </xf>
    <xf borderId="11" fillId="4" fontId="4" numFmtId="0" xfId="0" applyAlignment="1" applyBorder="1" applyFont="1">
      <alignment shrinkToFit="0" vertical="bottom" wrapText="1"/>
    </xf>
    <xf quotePrefix="1" borderId="11" fillId="6" fontId="4" numFmtId="0" xfId="0" applyAlignment="1" applyBorder="1" applyFont="1">
      <alignment horizontal="center" shrinkToFit="0" vertical="bottom" wrapText="1"/>
    </xf>
    <xf borderId="0" fillId="8" fontId="33" numFmtId="0" xfId="0" applyAlignment="1" applyFont="1">
      <alignment readingOrder="0"/>
    </xf>
    <xf borderId="7" fillId="2" fontId="43" numFmtId="0" xfId="0" applyAlignment="1" applyBorder="1" applyFont="1">
      <alignment shrinkToFit="0" vertical="center" wrapText="1"/>
    </xf>
    <xf borderId="59" fillId="0" fontId="3" numFmtId="0" xfId="0" applyBorder="1" applyFont="1"/>
    <xf borderId="1" fillId="14" fontId="6" numFmtId="0" xfId="0" applyAlignment="1" applyBorder="1" applyFont="1">
      <alignment vertical="bottom"/>
    </xf>
    <xf borderId="1" fillId="11" fontId="7" numFmtId="0" xfId="0" applyAlignment="1" applyBorder="1" applyFont="1">
      <alignment horizontal="center" shrinkToFit="0" vertical="center" wrapText="1"/>
    </xf>
    <xf borderId="1" fillId="11" fontId="6" numFmtId="0" xfId="0" applyAlignment="1" applyBorder="1" applyFont="1">
      <alignment vertical="bottom"/>
    </xf>
    <xf borderId="1" fillId="11" fontId="4" numFmtId="0" xfId="0" applyAlignment="1" applyBorder="1" applyFont="1">
      <alignment horizontal="center" shrinkToFit="0" wrapText="1"/>
    </xf>
    <xf borderId="1" fillId="11" fontId="35" numFmtId="0" xfId="0" applyAlignment="1" applyBorder="1" applyFont="1">
      <alignment horizontal="center" shrinkToFit="0" wrapText="1"/>
    </xf>
    <xf borderId="24" fillId="11" fontId="16" numFmtId="0" xfId="0" applyBorder="1" applyFont="1"/>
    <xf borderId="11" fillId="11" fontId="16" numFmtId="0" xfId="0" applyBorder="1" applyFont="1"/>
    <xf borderId="1" fillId="11" fontId="17" numFmtId="0" xfId="0" applyAlignment="1" applyBorder="1" applyFont="1">
      <alignment horizontal="center" shrinkToFit="0" vertical="center" wrapText="1"/>
    </xf>
    <xf borderId="1" fillId="14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1" fillId="12" fontId="7" numFmtId="0" xfId="0" applyAlignment="1" applyBorder="1" applyFont="1">
      <alignment horizontal="center" shrinkToFit="0" vertical="center" wrapText="1"/>
    </xf>
    <xf borderId="1" fillId="12" fontId="6" numFmtId="0" xfId="0" applyAlignment="1" applyBorder="1" applyFont="1">
      <alignment vertical="bottom"/>
    </xf>
    <xf borderId="1" fillId="12" fontId="4" numFmtId="0" xfId="0" applyAlignment="1" applyBorder="1" applyFont="1">
      <alignment horizontal="center" shrinkToFit="0" wrapText="1"/>
    </xf>
    <xf borderId="1" fillId="12" fontId="35" numFmtId="0" xfId="0" applyAlignment="1" applyBorder="1" applyFont="1">
      <alignment horizontal="center" shrinkToFit="0" wrapText="1"/>
    </xf>
    <xf borderId="1" fillId="12" fontId="16" numFmtId="0" xfId="0" applyBorder="1" applyFont="1"/>
    <xf borderId="1" fillId="12" fontId="17" numFmtId="0" xfId="0" applyAlignment="1" applyBorder="1" applyFont="1">
      <alignment horizontal="center" shrinkToFit="0" vertical="center" wrapText="1"/>
    </xf>
    <xf borderId="0" fillId="12" fontId="33" numFmtId="0" xfId="0" applyFont="1"/>
    <xf borderId="39" fillId="16" fontId="25" numFmtId="0" xfId="0" applyAlignment="1" applyBorder="1" applyFill="1" applyFont="1">
      <alignment horizontal="center" shrinkToFit="0" vertical="bottom" wrapText="1"/>
    </xf>
    <xf borderId="25" fillId="16" fontId="25" numFmtId="0" xfId="0" applyAlignment="1" applyBorder="1" applyFont="1">
      <alignment horizontal="center" shrinkToFit="0" vertical="bottom" wrapText="1"/>
    </xf>
    <xf borderId="25" fillId="17" fontId="43" numFmtId="0" xfId="0" applyAlignment="1" applyBorder="1" applyFill="1" applyFont="1">
      <alignment horizontal="center" shrinkToFit="0" wrapText="1"/>
    </xf>
    <xf borderId="25" fillId="18" fontId="43" numFmtId="0" xfId="0" applyAlignment="1" applyBorder="1" applyFill="1" applyFont="1">
      <alignment horizontal="center" shrinkToFit="0" vertical="bottom" wrapText="1"/>
    </xf>
    <xf quotePrefix="1" borderId="1" fillId="6" fontId="35" numFmtId="0" xfId="0" applyAlignment="1" applyBorder="1" applyFont="1">
      <alignment horizontal="center" shrinkToFit="0" wrapText="1"/>
    </xf>
    <xf borderId="26" fillId="4" fontId="4" numFmtId="0" xfId="0" applyAlignment="1" applyBorder="1" applyFont="1">
      <alignment horizontal="center" shrinkToFit="0" wrapText="1"/>
    </xf>
    <xf borderId="30" fillId="4" fontId="4" numFmtId="0" xfId="0" applyAlignment="1" applyBorder="1" applyFont="1">
      <alignment horizontal="center" shrinkToFit="0" wrapText="1"/>
    </xf>
    <xf borderId="0" fillId="0" fontId="12" numFmtId="0" xfId="0" applyAlignment="1" applyFont="1">
      <alignment readingOrder="0"/>
    </xf>
    <xf borderId="7" fillId="2" fontId="35" numFmtId="0" xfId="0" applyAlignment="1" applyBorder="1" applyFont="1">
      <alignment shrinkToFit="0" vertical="center" wrapText="1"/>
    </xf>
    <xf borderId="7" fillId="2" fontId="4" numFmtId="0" xfId="0" applyAlignment="1" applyBorder="1" applyFont="1">
      <alignment shrinkToFit="0" vertical="center" wrapText="1"/>
    </xf>
    <xf borderId="26" fillId="4" fontId="15" numFmtId="0" xfId="0" applyAlignment="1" applyBorder="1" applyFont="1">
      <alignment readingOrder="0" shrinkToFit="0" vertical="center" wrapText="1"/>
    </xf>
    <xf borderId="23" fillId="6" fontId="4" numFmtId="0" xfId="0" applyAlignment="1" applyBorder="1" applyFont="1">
      <alignment horizontal="center" shrinkToFit="0" vertical="center" wrapText="1"/>
    </xf>
    <xf borderId="58" fillId="4" fontId="4" numFmtId="0" xfId="0" applyAlignment="1" applyBorder="1" applyFont="1">
      <alignment horizontal="center" shrinkToFit="0" vertical="center" wrapText="1"/>
    </xf>
    <xf borderId="23" fillId="4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readingOrder="0"/>
    </xf>
    <xf borderId="1" fillId="4" fontId="32" numFmtId="0" xfId="0" applyAlignment="1" applyBorder="1" applyFont="1">
      <alignment horizontal="center" shrinkToFit="0" wrapText="1"/>
    </xf>
    <xf borderId="0" fillId="8" fontId="33" numFmtId="0" xfId="0" applyFont="1"/>
    <xf borderId="39" fillId="4" fontId="44" numFmtId="0" xfId="0" applyAlignment="1" applyBorder="1" applyFont="1">
      <alignment shrinkToFit="0" wrapText="1"/>
    </xf>
    <xf borderId="25" fillId="4" fontId="44" numFmtId="0" xfId="0" applyAlignment="1" applyBorder="1" applyFont="1">
      <alignment shrinkToFit="0" wrapText="1"/>
    </xf>
    <xf borderId="25" fillId="6" fontId="1" numFmtId="0" xfId="0" applyAlignment="1" applyBorder="1" applyFont="1">
      <alignment horizontal="center" shrinkToFit="0" vertical="center" wrapText="1"/>
    </xf>
    <xf borderId="39" fillId="4" fontId="44" numFmtId="0" xfId="0" applyAlignment="1" applyBorder="1" applyFont="1">
      <alignment shrinkToFit="0" vertical="center" wrapText="1"/>
    </xf>
    <xf borderId="25" fillId="4" fontId="44" numFmtId="0" xfId="0" applyAlignment="1" applyBorder="1" applyFont="1">
      <alignment shrinkToFit="0" vertical="center" wrapText="1"/>
    </xf>
    <xf borderId="39" fillId="4" fontId="45" numFmtId="0" xfId="0" applyAlignment="1" applyBorder="1" applyFont="1">
      <alignment shrinkToFit="0" vertical="center" wrapText="1"/>
    </xf>
    <xf borderId="60" fillId="3" fontId="23" numFmtId="0" xfId="0" applyAlignment="1" applyBorder="1" applyFont="1">
      <alignment horizontal="center"/>
    </xf>
    <xf borderId="60" fillId="4" fontId="13" numFmtId="0" xfId="0" applyAlignment="1" applyBorder="1" applyFont="1">
      <alignment horizontal="left"/>
    </xf>
    <xf borderId="60" fillId="4" fontId="13" numFmtId="0" xfId="0" applyAlignment="1" applyBorder="1" applyFont="1">
      <alignment horizontal="center"/>
    </xf>
    <xf borderId="60" fillId="8" fontId="13" numFmtId="0" xfId="0" applyAlignment="1" applyBorder="1" applyFont="1">
      <alignment horizontal="center"/>
    </xf>
    <xf borderId="19" fillId="8" fontId="13" numFmtId="0" xfId="0" applyAlignment="1" applyBorder="1" applyFont="1">
      <alignment horizontal="center"/>
    </xf>
    <xf borderId="61" fillId="8" fontId="24" numFmtId="0" xfId="0" applyAlignment="1" applyBorder="1" applyFont="1">
      <alignment horizontal="right"/>
    </xf>
    <xf borderId="44" fillId="0" fontId="46" numFmtId="0" xfId="0" applyAlignment="1" applyBorder="1" applyFont="1">
      <alignment shrinkToFit="0" wrapText="1"/>
    </xf>
    <xf borderId="1" fillId="19" fontId="7" numFmtId="0" xfId="0" applyAlignment="1" applyBorder="1" applyFill="1" applyFont="1">
      <alignment horizontal="center" shrinkToFit="0" vertical="center" wrapText="1"/>
    </xf>
    <xf borderId="1" fillId="8" fontId="17" numFmtId="0" xfId="0" applyAlignment="1" applyBorder="1" applyFont="1">
      <alignment horizontal="center" readingOrder="0" shrinkToFit="0" vertical="center" wrapText="1"/>
    </xf>
    <xf borderId="0" fillId="11" fontId="27" numFmtId="0" xfId="0" applyFont="1"/>
    <xf borderId="0" fillId="6" fontId="4" numFmtId="0" xfId="0" applyAlignment="1" applyFont="1">
      <alignment horizontal="center" vertical="bottom"/>
    </xf>
    <xf borderId="24" fillId="9" fontId="16" numFmtId="0" xfId="0" applyAlignment="1" applyBorder="1" applyFont="1">
      <alignment readingOrder="0"/>
    </xf>
    <xf borderId="11" fillId="9" fontId="16" numFmtId="0" xfId="0" applyAlignment="1" applyBorder="1" applyFont="1">
      <alignment readingOrder="0"/>
    </xf>
    <xf borderId="11" fillId="9" fontId="16" numFmtId="0" xfId="0" applyBorder="1" applyFont="1"/>
    <xf borderId="1" fillId="6" fontId="47" numFmtId="0" xfId="0" applyAlignment="1" applyBorder="1" applyFont="1">
      <alignment horizontal="center" shrinkToFit="0" wrapText="1"/>
    </xf>
    <xf borderId="39" fillId="4" fontId="4" numFmtId="0" xfId="0" applyAlignment="1" applyBorder="1" applyFont="1">
      <alignment readingOrder="0" shrinkToFit="0" wrapText="1"/>
    </xf>
    <xf borderId="25" fillId="4" fontId="4" numFmtId="0" xfId="0" applyAlignment="1" applyBorder="1" applyFont="1">
      <alignment readingOrder="0" shrinkToFit="0" wrapText="1"/>
    </xf>
    <xf borderId="25" fillId="8" fontId="4" numFmtId="0" xfId="0" applyAlignment="1" applyBorder="1" applyFont="1">
      <alignment horizontal="center" readingOrder="0" shrinkToFit="0" wrapText="1"/>
    </xf>
    <xf borderId="25" fillId="20" fontId="4" numFmtId="0" xfId="0" applyAlignment="1" applyBorder="1" applyFill="1" applyFont="1">
      <alignment horizontal="center" readingOrder="0" shrinkToFit="0" wrapText="1"/>
    </xf>
    <xf borderId="39" fillId="4" fontId="4" numFmtId="0" xfId="0" applyAlignment="1" applyBorder="1" applyFont="1">
      <alignment shrinkToFit="0" wrapText="1"/>
    </xf>
    <xf borderId="25" fillId="4" fontId="4" numFmtId="0" xfId="0" applyAlignment="1" applyBorder="1" applyFont="1">
      <alignment shrinkToFit="0" wrapText="1"/>
    </xf>
    <xf borderId="25" fillId="8" fontId="4" numFmtId="0" xfId="0" applyAlignment="1" applyBorder="1" applyFont="1">
      <alignment horizontal="center" shrinkToFit="0" wrapText="1"/>
    </xf>
    <xf borderId="25" fillId="20" fontId="4" numFmtId="0" xfId="0" applyAlignment="1" applyBorder="1" applyFont="1">
      <alignment horizontal="center" shrinkToFit="0" wrapText="1"/>
    </xf>
    <xf borderId="14" fillId="3" fontId="7" numFmtId="0" xfId="0" applyAlignment="1" applyBorder="1" applyFont="1">
      <alignment horizontal="center" readingOrder="0" shrinkToFit="0" vertical="center" wrapText="1"/>
    </xf>
    <xf borderId="1" fillId="21" fontId="15" numFmtId="166" xfId="0" applyAlignment="1" applyBorder="1" applyFill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shrinkToFit="0" wrapText="1"/>
    </xf>
    <xf borderId="1" fillId="8" fontId="1" numFmtId="0" xfId="0" applyAlignment="1" applyBorder="1" applyFont="1">
      <alignment horizontal="center" shrinkToFit="0" wrapText="1"/>
    </xf>
    <xf borderId="1" fillId="21" fontId="15" numFmtId="0" xfId="0" applyAlignment="1" applyBorder="1" applyFont="1">
      <alignment horizontal="center" shrinkToFit="0" vertical="center" wrapText="1"/>
    </xf>
    <xf borderId="1" fillId="21" fontId="15" numFmtId="167" xfId="0" applyAlignment="1" applyBorder="1" applyFont="1" applyNumberForma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/>
    </xf>
    <xf borderId="1" fillId="8" fontId="4" numFmtId="0" xfId="0" applyAlignment="1" applyBorder="1" applyFont="1">
      <alignment horizontal="center" readingOrder="0" shrinkToFit="0" wrapText="1"/>
    </xf>
    <xf borderId="2" fillId="6" fontId="4" numFmtId="0" xfId="0" applyAlignment="1" applyBorder="1" applyFont="1">
      <alignment horizontal="center" readingOrder="0" shrinkToFit="0" wrapText="1"/>
    </xf>
    <xf borderId="1" fillId="6" fontId="32" numFmtId="0" xfId="0" applyAlignment="1" applyBorder="1" applyFont="1">
      <alignment horizontal="center" readingOrder="0"/>
    </xf>
    <xf borderId="1" fillId="21" fontId="15" numFmtId="168" xfId="0" applyAlignment="1" applyBorder="1" applyFont="1" applyNumberFormat="1">
      <alignment horizontal="center" readingOrder="0" shrinkToFit="0" vertical="center" wrapText="1"/>
    </xf>
    <xf borderId="1" fillId="6" fontId="32" numFmtId="0" xfId="0" applyAlignment="1" applyBorder="1" applyFont="1">
      <alignment horizontal="center" readingOrder="0" shrinkToFit="0" wrapText="1"/>
    </xf>
    <xf borderId="1" fillId="21" fontId="15" numFmtId="169" xfId="0" applyAlignment="1" applyBorder="1" applyFont="1" applyNumberFormat="1">
      <alignment horizontal="center" readingOrder="0" shrinkToFit="0" vertical="center" wrapText="1"/>
    </xf>
    <xf borderId="1" fillId="6" fontId="15" numFmtId="0" xfId="0" applyAlignment="1" applyBorder="1" applyFont="1">
      <alignment horizontal="center" readingOrder="0" shrinkToFit="0" vertical="center" wrapText="1"/>
    </xf>
    <xf borderId="2" fillId="6" fontId="15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2" fillId="6" fontId="15" numFmtId="0" xfId="0" applyAlignment="1" applyBorder="1" applyFont="1">
      <alignment horizontal="center"/>
    </xf>
    <xf borderId="2" fillId="6" fontId="15" numFmtId="0" xfId="0" applyAlignment="1" applyBorder="1" applyFont="1">
      <alignment horizontal="center" shrinkToFit="0" wrapText="1"/>
    </xf>
    <xf borderId="30" fillId="8" fontId="15" numFmtId="0" xfId="0" applyAlignment="1" applyBorder="1" applyFont="1">
      <alignment horizontal="center" readingOrder="0" shrinkToFit="0" vertical="center" wrapText="1"/>
    </xf>
    <xf borderId="2" fillId="6" fontId="15" numFmtId="0" xfId="0" applyAlignment="1" applyBorder="1" applyFont="1">
      <alignment horizontal="center" shrinkToFit="0" vertical="center" wrapText="1"/>
    </xf>
    <xf borderId="24" fillId="4" fontId="15" numFmtId="0" xfId="0" applyAlignment="1" applyBorder="1" applyFont="1">
      <alignment readingOrder="0" shrinkToFit="0" vertical="center" wrapText="1"/>
    </xf>
    <xf borderId="29" fillId="6" fontId="15" numFmtId="0" xfId="0" applyAlignment="1" applyBorder="1" applyFont="1">
      <alignment horizontal="center" readingOrder="0" shrinkToFit="0" vertical="center" wrapText="1"/>
    </xf>
    <xf borderId="1" fillId="21" fontId="15" numFmtId="170" xfId="0" applyAlignment="1" applyBorder="1" applyFont="1" applyNumberFormat="1">
      <alignment horizontal="center" readingOrder="0" shrinkToFit="0" vertical="center" wrapText="1"/>
    </xf>
    <xf borderId="1" fillId="21" fontId="15" numFmtId="171" xfId="0" applyAlignment="1" applyBorder="1" applyFont="1" applyNumberFormat="1">
      <alignment horizontal="center" readingOrder="0" shrinkToFit="0" vertical="center" wrapText="1"/>
    </xf>
    <xf borderId="1" fillId="21" fontId="15" numFmtId="172" xfId="0" applyAlignment="1" applyBorder="1" applyFont="1" applyNumberFormat="1">
      <alignment horizontal="center" readingOrder="0" shrinkToFit="0" vertical="center" wrapText="1"/>
    </xf>
    <xf borderId="0" fillId="14" fontId="2" numFmtId="0" xfId="0" applyAlignment="1" applyFont="1">
      <alignment readingOrder="0"/>
    </xf>
    <xf borderId="27" fillId="6" fontId="22" numFmtId="0" xfId="0" applyAlignment="1" applyBorder="1" applyFont="1">
      <alignment horizontal="center" readingOrder="0"/>
    </xf>
    <xf borderId="1" fillId="4" fontId="15" numFmtId="0" xfId="0" applyAlignment="1" applyBorder="1" applyFont="1">
      <alignment readingOrder="0"/>
    </xf>
    <xf borderId="28" fillId="6" fontId="15" numFmtId="0" xfId="0" applyAlignment="1" applyBorder="1" applyFont="1">
      <alignment horizontal="center" readingOrder="0" shrinkToFit="0" vertical="center" wrapText="1"/>
    </xf>
    <xf borderId="27" fillId="6" fontId="15" numFmtId="0" xfId="0" applyAlignment="1" applyBorder="1" applyFont="1">
      <alignment horizontal="center" readingOrder="0"/>
    </xf>
    <xf borderId="26" fillId="6" fontId="15" numFmtId="0" xfId="0" applyAlignment="1" applyBorder="1" applyFont="1">
      <alignment horizontal="center" shrinkToFit="0" vertical="center" wrapText="1"/>
    </xf>
    <xf borderId="28" fillId="6" fontId="15" numFmtId="0" xfId="0" applyAlignment="1" applyBorder="1" applyFont="1">
      <alignment horizontal="center" shrinkToFit="0" vertical="center" wrapText="1"/>
    </xf>
    <xf borderId="27" fillId="6" fontId="15" numFmtId="0" xfId="0" applyAlignment="1" applyBorder="1" applyFont="1">
      <alignment horizontal="center"/>
    </xf>
    <xf borderId="1" fillId="6" fontId="15" numFmtId="0" xfId="0" applyAlignment="1" applyBorder="1" applyFont="1">
      <alignment horizontal="center"/>
    </xf>
    <xf borderId="24" fillId="6" fontId="15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27" fillId="6" fontId="13" numFmtId="0" xfId="0" applyAlignment="1" applyBorder="1" applyFont="1">
      <alignment horizontal="center"/>
    </xf>
    <xf borderId="24" fillId="6" fontId="13" numFmtId="0" xfId="0" applyAlignment="1" applyBorder="1" applyFont="1">
      <alignment horizontal="center"/>
    </xf>
    <xf borderId="27" fillId="6" fontId="1" numFmtId="0" xfId="0" applyAlignment="1" applyBorder="1" applyFont="1">
      <alignment horizontal="center" shrinkToFit="0" vertical="center" wrapText="1"/>
    </xf>
    <xf borderId="0" fillId="0" fontId="48" numFmtId="0" xfId="0" applyFont="1"/>
    <xf borderId="0" fillId="0" fontId="1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1819275</xdr:colOff>
      <xdr:row>0</xdr:row>
      <xdr:rowOff>0</xdr:rowOff>
    </xdr:from>
    <xdr:ext cx="2838450" cy="885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6.0" topLeftCell="J7" activePane="bottomRight" state="frozen"/>
      <selection activeCell="J1" sqref="J1" pane="topRight"/>
      <selection activeCell="A7" sqref="A7" pane="bottomLeft"/>
      <selection activeCell="J7" sqref="J7" pane="bottomRight"/>
    </sheetView>
  </sheetViews>
  <sheetFormatPr customHeight="1" defaultColWidth="12.63" defaultRowHeight="15.0"/>
  <cols>
    <col customWidth="1" min="1" max="1" width="8.63"/>
    <col customWidth="1" min="2" max="2" width="17.88"/>
    <col customWidth="1" min="3" max="3" width="20.0"/>
    <col customWidth="1" min="4" max="4" width="17.75"/>
    <col customWidth="1" min="5" max="5" width="7.63"/>
    <col customWidth="1" min="6" max="6" width="5.5"/>
    <col customWidth="1" min="7" max="7" width="4.63"/>
    <col customWidth="1" min="8" max="8" width="46.25"/>
    <col customWidth="1" min="9" max="9" width="10.5"/>
    <col customWidth="1" min="10" max="10" width="10.38"/>
    <col customWidth="1" min="11" max="12" width="11.88"/>
    <col customWidth="1" min="13" max="13" width="13.0"/>
    <col customWidth="1" min="14" max="21" width="8.63"/>
    <col customWidth="1" min="22" max="22" width="23.75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7" t="s">
        <v>2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7" t="s">
        <v>4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13"/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6" t="s">
        <v>32</v>
      </c>
      <c r="C7" s="37" t="s">
        <v>33</v>
      </c>
      <c r="D7" s="37" t="s">
        <v>34</v>
      </c>
      <c r="E7" s="38"/>
      <c r="F7" s="39"/>
      <c r="G7" s="39"/>
      <c r="H7" s="40" t="s">
        <v>35</v>
      </c>
      <c r="I7" s="41"/>
      <c r="J7" s="42"/>
      <c r="K7" s="43"/>
      <c r="L7" s="43"/>
      <c r="M7" s="43"/>
      <c r="N7" s="43">
        <f>sum(L7,M7)</f>
        <v>0</v>
      </c>
      <c r="O7" s="43"/>
      <c r="P7" s="43"/>
      <c r="Q7" s="43">
        <f t="shared" ref="Q7:Q96" si="1">sum(N7,O7,P7)</f>
        <v>0</v>
      </c>
      <c r="R7" s="43"/>
      <c r="S7" s="43"/>
      <c r="T7" s="43"/>
      <c r="U7" s="43"/>
      <c r="V7" s="43"/>
      <c r="W7" s="44"/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6" t="s">
        <v>37</v>
      </c>
      <c r="C8" s="37" t="s">
        <v>38</v>
      </c>
      <c r="D8" s="37" t="s">
        <v>39</v>
      </c>
      <c r="E8" s="47"/>
      <c r="F8" s="48"/>
      <c r="G8" s="48"/>
      <c r="H8" s="49" t="s">
        <v>40</v>
      </c>
      <c r="I8" s="50"/>
      <c r="J8" s="42"/>
      <c r="K8" s="43"/>
      <c r="L8" s="43"/>
      <c r="M8" s="43"/>
      <c r="N8" s="43">
        <v>0.0</v>
      </c>
      <c r="O8" s="43"/>
      <c r="P8" s="43"/>
      <c r="Q8" s="43">
        <f t="shared" si="1"/>
        <v>0</v>
      </c>
      <c r="R8" s="43"/>
      <c r="S8" s="43"/>
      <c r="T8" s="43"/>
      <c r="U8" s="43"/>
      <c r="V8" s="43"/>
      <c r="W8" s="44"/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51" t="s">
        <v>42</v>
      </c>
      <c r="C9" s="37" t="s">
        <v>43</v>
      </c>
      <c r="D9" s="37" t="s">
        <v>44</v>
      </c>
      <c r="E9" s="47"/>
      <c r="F9" s="48"/>
      <c r="G9" s="48"/>
      <c r="H9" s="52" t="s">
        <v>45</v>
      </c>
      <c r="I9" s="53"/>
      <c r="J9" s="54">
        <v>32.0</v>
      </c>
      <c r="K9" s="55">
        <v>30.0</v>
      </c>
      <c r="L9" s="55">
        <v>0.0</v>
      </c>
      <c r="M9" s="55">
        <v>0.0</v>
      </c>
      <c r="N9" s="43">
        <f t="shared" ref="N9:N40" si="2">sum(L9,M9)</f>
        <v>0</v>
      </c>
      <c r="O9" s="55">
        <v>0.0</v>
      </c>
      <c r="P9" s="55">
        <v>2.0</v>
      </c>
      <c r="Q9" s="43">
        <f t="shared" si="1"/>
        <v>2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57" t="s">
        <v>48</v>
      </c>
      <c r="C10" s="37" t="s">
        <v>49</v>
      </c>
      <c r="D10" s="37" t="s">
        <v>50</v>
      </c>
      <c r="E10" s="47"/>
      <c r="F10" s="48"/>
      <c r="G10" s="48"/>
      <c r="H10" s="52" t="s">
        <v>51</v>
      </c>
      <c r="I10" s="53"/>
      <c r="J10" s="42"/>
      <c r="K10" s="43"/>
      <c r="L10" s="43"/>
      <c r="M10" s="43"/>
      <c r="N10" s="43">
        <f t="shared" si="2"/>
        <v>0</v>
      </c>
      <c r="O10" s="43"/>
      <c r="P10" s="43"/>
      <c r="Q10" s="43">
        <f t="shared" si="1"/>
        <v>0</v>
      </c>
      <c r="R10" s="43"/>
      <c r="S10" s="43"/>
      <c r="T10" s="43"/>
      <c r="U10" s="43"/>
      <c r="V10" s="43"/>
      <c r="W10" s="44"/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57" t="s">
        <v>53</v>
      </c>
      <c r="C11" s="37" t="s">
        <v>54</v>
      </c>
      <c r="D11" s="37" t="s">
        <v>55</v>
      </c>
      <c r="E11" s="47"/>
      <c r="F11" s="48"/>
      <c r="G11" s="48"/>
      <c r="H11" s="52" t="s">
        <v>56</v>
      </c>
      <c r="I11" s="53"/>
      <c r="J11" s="54">
        <v>15.0</v>
      </c>
      <c r="K11" s="55">
        <v>13.0</v>
      </c>
      <c r="L11" s="55">
        <v>0.0</v>
      </c>
      <c r="M11" s="55">
        <v>2.0</v>
      </c>
      <c r="N11" s="43">
        <f t="shared" si="2"/>
        <v>2</v>
      </c>
      <c r="O11" s="55">
        <v>17.0</v>
      </c>
      <c r="P11" s="55">
        <v>0.0</v>
      </c>
      <c r="Q11" s="43">
        <f t="shared" si="1"/>
        <v>19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57" t="s">
        <v>58</v>
      </c>
      <c r="C12" s="37" t="s">
        <v>59</v>
      </c>
      <c r="D12" s="37" t="s">
        <v>60</v>
      </c>
      <c r="E12" s="47"/>
      <c r="F12" s="48"/>
      <c r="G12" s="48"/>
      <c r="H12" s="59" t="s">
        <v>61</v>
      </c>
      <c r="I12" s="53"/>
      <c r="J12" s="42"/>
      <c r="K12" s="43"/>
      <c r="L12" s="43"/>
      <c r="M12" s="43"/>
      <c r="N12" s="43">
        <f t="shared" si="2"/>
        <v>0</v>
      </c>
      <c r="O12" s="43"/>
      <c r="P12" s="43"/>
      <c r="Q12" s="43">
        <f t="shared" si="1"/>
        <v>0</v>
      </c>
      <c r="R12" s="43"/>
      <c r="S12" s="43"/>
      <c r="T12" s="43"/>
      <c r="U12" s="43"/>
      <c r="V12" s="43"/>
      <c r="W12" s="44"/>
      <c r="Z12" s="34"/>
      <c r="AA12" s="60" t="s">
        <v>62</v>
      </c>
      <c r="AB12" s="58"/>
      <c r="AC12" s="58"/>
      <c r="AD12" s="46">
        <f>W157</f>
        <v>49</v>
      </c>
    </row>
    <row r="13" ht="13.5" customHeight="1">
      <c r="A13" s="28">
        <v>7.0</v>
      </c>
      <c r="B13" s="57" t="s">
        <v>63</v>
      </c>
      <c r="C13" s="37" t="s">
        <v>64</v>
      </c>
      <c r="D13" s="37" t="s">
        <v>65</v>
      </c>
      <c r="E13" s="47"/>
      <c r="F13" s="48"/>
      <c r="G13" s="48"/>
      <c r="H13" s="59" t="s">
        <v>61</v>
      </c>
      <c r="I13" s="53"/>
      <c r="J13" s="54">
        <v>18.0</v>
      </c>
      <c r="K13" s="55">
        <v>12.0</v>
      </c>
      <c r="L13" s="55">
        <v>0.0</v>
      </c>
      <c r="M13" s="55">
        <v>0.0</v>
      </c>
      <c r="N13" s="43">
        <f t="shared" si="2"/>
        <v>0</v>
      </c>
      <c r="O13" s="55">
        <v>14.0</v>
      </c>
      <c r="P13" s="55">
        <v>6.0</v>
      </c>
      <c r="Q13" s="43">
        <f t="shared" si="1"/>
        <v>20</v>
      </c>
      <c r="R13" s="43"/>
      <c r="S13" s="43"/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57" t="s">
        <v>66</v>
      </c>
      <c r="C14" s="37" t="s">
        <v>67</v>
      </c>
      <c r="D14" s="37" t="s">
        <v>68</v>
      </c>
      <c r="E14" s="47"/>
      <c r="F14" s="48"/>
      <c r="G14" s="48"/>
      <c r="H14" s="59" t="s">
        <v>69</v>
      </c>
      <c r="I14" s="53"/>
      <c r="J14" s="54">
        <v>29.0</v>
      </c>
      <c r="K14" s="55">
        <v>27.0</v>
      </c>
      <c r="L14" s="55">
        <v>0.0</v>
      </c>
      <c r="M14" s="55">
        <v>0.0</v>
      </c>
      <c r="N14" s="43">
        <f t="shared" si="2"/>
        <v>0</v>
      </c>
      <c r="O14" s="55">
        <v>3.0</v>
      </c>
      <c r="P14" s="55">
        <v>2.0</v>
      </c>
      <c r="Q14" s="43">
        <f t="shared" si="1"/>
        <v>5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57" t="s">
        <v>71</v>
      </c>
      <c r="C15" s="37" t="s">
        <v>72</v>
      </c>
      <c r="D15" s="37" t="s">
        <v>73</v>
      </c>
      <c r="E15" s="47"/>
      <c r="F15" s="48"/>
      <c r="G15" s="48"/>
      <c r="H15" s="59" t="s">
        <v>69</v>
      </c>
      <c r="I15" s="53"/>
      <c r="J15" s="42"/>
      <c r="K15" s="43"/>
      <c r="L15" s="43"/>
      <c r="M15" s="43"/>
      <c r="N15" s="43">
        <f t="shared" si="2"/>
        <v>0</v>
      </c>
      <c r="O15" s="43"/>
      <c r="P15" s="43"/>
      <c r="Q15" s="43">
        <f t="shared" si="1"/>
        <v>0</v>
      </c>
      <c r="R15" s="43"/>
      <c r="S15" s="43"/>
      <c r="T15" s="43"/>
      <c r="U15" s="43"/>
      <c r="V15" s="43"/>
      <c r="W15" s="44"/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57" t="s">
        <v>75</v>
      </c>
      <c r="C16" s="37" t="s">
        <v>76</v>
      </c>
      <c r="D16" s="37" t="s">
        <v>77</v>
      </c>
      <c r="E16" s="47"/>
      <c r="F16" s="48"/>
      <c r="G16" s="48"/>
      <c r="H16" s="59" t="s">
        <v>69</v>
      </c>
      <c r="I16" s="53"/>
      <c r="J16" s="54">
        <v>26.0</v>
      </c>
      <c r="K16" s="55">
        <v>21.0</v>
      </c>
      <c r="L16" s="55">
        <v>0.0</v>
      </c>
      <c r="M16" s="55">
        <v>4.0</v>
      </c>
      <c r="N16" s="43">
        <f t="shared" si="2"/>
        <v>4</v>
      </c>
      <c r="O16" s="55">
        <v>6.0</v>
      </c>
      <c r="P16" s="55">
        <v>1.0</v>
      </c>
      <c r="Q16" s="43">
        <f t="shared" si="1"/>
        <v>11</v>
      </c>
      <c r="R16" s="43"/>
      <c r="S16" s="55" t="s">
        <v>78</v>
      </c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57" t="s">
        <v>80</v>
      </c>
      <c r="C17" s="37" t="s">
        <v>81</v>
      </c>
      <c r="D17" s="37" t="s">
        <v>82</v>
      </c>
      <c r="E17" s="47"/>
      <c r="F17" s="48"/>
      <c r="G17" s="48"/>
      <c r="H17" s="52" t="s">
        <v>69</v>
      </c>
      <c r="I17" s="53"/>
      <c r="J17" s="54">
        <v>28.0</v>
      </c>
      <c r="K17" s="55">
        <v>22.0</v>
      </c>
      <c r="L17" s="55">
        <v>0.0</v>
      </c>
      <c r="M17" s="55">
        <v>3.0</v>
      </c>
      <c r="N17" s="43">
        <f t="shared" si="2"/>
        <v>3</v>
      </c>
      <c r="O17" s="55">
        <v>2.0</v>
      </c>
      <c r="P17" s="55">
        <v>3.0</v>
      </c>
      <c r="Q17" s="43">
        <f t="shared" si="1"/>
        <v>8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57" t="s">
        <v>84</v>
      </c>
      <c r="C18" s="37" t="s">
        <v>85</v>
      </c>
      <c r="D18" s="37" t="s">
        <v>86</v>
      </c>
      <c r="E18" s="47"/>
      <c r="F18" s="48"/>
      <c r="G18" s="48"/>
      <c r="H18" s="52" t="s">
        <v>87</v>
      </c>
      <c r="I18" s="67"/>
      <c r="J18" s="54">
        <v>26.0</v>
      </c>
      <c r="K18" s="55">
        <v>15.0</v>
      </c>
      <c r="L18" s="55">
        <v>0.0</v>
      </c>
      <c r="M18" s="55">
        <v>0.0</v>
      </c>
      <c r="N18" s="43">
        <f t="shared" si="2"/>
        <v>0</v>
      </c>
      <c r="O18" s="55">
        <v>4.0</v>
      </c>
      <c r="P18" s="55">
        <v>11.0</v>
      </c>
      <c r="Q18" s="43">
        <f t="shared" si="1"/>
        <v>15</v>
      </c>
      <c r="R18" s="43"/>
      <c r="S18" s="43"/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4</v>
      </c>
      <c r="AC18" s="34"/>
      <c r="AD18" s="34"/>
    </row>
    <row r="19" ht="13.5" customHeight="1">
      <c r="A19" s="28">
        <v>13.0</v>
      </c>
      <c r="B19" s="68" t="s">
        <v>89</v>
      </c>
      <c r="C19" s="37" t="s">
        <v>90</v>
      </c>
      <c r="D19" s="37" t="s">
        <v>91</v>
      </c>
      <c r="E19" s="47"/>
      <c r="F19" s="48"/>
      <c r="G19" s="48"/>
      <c r="H19" s="59" t="s">
        <v>92</v>
      </c>
      <c r="I19" s="41"/>
      <c r="J19" s="69">
        <v>27.0</v>
      </c>
      <c r="K19" s="70">
        <v>14.0</v>
      </c>
      <c r="L19" s="70">
        <v>0.0</v>
      </c>
      <c r="M19" s="70">
        <v>0.0</v>
      </c>
      <c r="N19" s="71">
        <f t="shared" si="2"/>
        <v>0</v>
      </c>
      <c r="O19" s="70">
        <v>1.0</v>
      </c>
      <c r="P19" s="70">
        <v>13.0</v>
      </c>
      <c r="Q19" s="71">
        <f t="shared" si="1"/>
        <v>14</v>
      </c>
      <c r="R19" s="72"/>
      <c r="S19" s="72"/>
      <c r="T19" s="73"/>
      <c r="U19" s="72"/>
      <c r="V19" s="72"/>
      <c r="W19" s="74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68" t="s">
        <v>94</v>
      </c>
      <c r="C20" s="37" t="s">
        <v>95</v>
      </c>
      <c r="D20" s="37" t="s">
        <v>96</v>
      </c>
      <c r="E20" s="47"/>
      <c r="F20" s="48"/>
      <c r="G20" s="48"/>
      <c r="H20" s="59" t="s">
        <v>92</v>
      </c>
      <c r="I20" s="75"/>
      <c r="J20" s="42"/>
      <c r="K20" s="43"/>
      <c r="L20" s="43"/>
      <c r="M20" s="43"/>
      <c r="N20" s="43">
        <f t="shared" si="2"/>
        <v>0</v>
      </c>
      <c r="O20" s="43"/>
      <c r="P20" s="43"/>
      <c r="Q20" s="43">
        <f t="shared" si="1"/>
        <v>0</v>
      </c>
      <c r="R20" s="43"/>
      <c r="S20" s="43"/>
      <c r="T20" s="43"/>
      <c r="U20" s="43"/>
      <c r="V20" s="43"/>
      <c r="W20" s="44"/>
      <c r="Z20" s="34"/>
      <c r="AA20" s="61" t="s">
        <v>97</v>
      </c>
      <c r="AB20" s="66">
        <f>COUNTIF(S7:S157, "RPDUL")</f>
        <v>1</v>
      </c>
      <c r="AC20" s="34"/>
      <c r="AD20" s="34"/>
    </row>
    <row r="21" ht="13.5" customHeight="1">
      <c r="A21" s="28">
        <v>15.0</v>
      </c>
      <c r="B21" s="68" t="s">
        <v>98</v>
      </c>
      <c r="C21" s="37" t="s">
        <v>99</v>
      </c>
      <c r="D21" s="37" t="s">
        <v>100</v>
      </c>
      <c r="E21" s="47"/>
      <c r="F21" s="48"/>
      <c r="G21" s="48"/>
      <c r="H21" s="59" t="s">
        <v>92</v>
      </c>
      <c r="I21" s="53"/>
      <c r="J21" s="54">
        <v>27.0</v>
      </c>
      <c r="K21" s="55">
        <v>25.0</v>
      </c>
      <c r="L21" s="55">
        <v>0.0</v>
      </c>
      <c r="M21" s="55">
        <v>1.0</v>
      </c>
      <c r="N21" s="43">
        <f t="shared" si="2"/>
        <v>1</v>
      </c>
      <c r="O21" s="55">
        <v>5.0</v>
      </c>
      <c r="P21" s="55">
        <v>1.0</v>
      </c>
      <c r="Q21" s="43">
        <f t="shared" si="1"/>
        <v>7</v>
      </c>
      <c r="R21" s="43"/>
      <c r="S21" s="43"/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68" t="s">
        <v>102</v>
      </c>
      <c r="C22" s="37" t="s">
        <v>103</v>
      </c>
      <c r="D22" s="37" t="s">
        <v>104</v>
      </c>
      <c r="E22" s="47"/>
      <c r="F22" s="48"/>
      <c r="G22" s="48"/>
      <c r="H22" s="59" t="s">
        <v>92</v>
      </c>
      <c r="I22" s="53"/>
      <c r="J22" s="42"/>
      <c r="K22" s="43"/>
      <c r="L22" s="43"/>
      <c r="M22" s="43"/>
      <c r="N22" s="43">
        <f t="shared" si="2"/>
        <v>0</v>
      </c>
      <c r="O22" s="43"/>
      <c r="P22" s="43"/>
      <c r="Q22" s="43">
        <f t="shared" si="1"/>
        <v>0</v>
      </c>
      <c r="R22" s="43"/>
      <c r="S22" s="43"/>
      <c r="T22" s="43"/>
      <c r="U22" s="43"/>
      <c r="V22" s="43"/>
      <c r="W22" s="44"/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68" t="s">
        <v>106</v>
      </c>
      <c r="C23" s="37" t="s">
        <v>107</v>
      </c>
      <c r="D23" s="37" t="s">
        <v>108</v>
      </c>
      <c r="E23" s="47"/>
      <c r="F23" s="48"/>
      <c r="G23" s="48"/>
      <c r="H23" s="59" t="s">
        <v>92</v>
      </c>
      <c r="I23" s="53"/>
      <c r="J23" s="54">
        <v>28.0</v>
      </c>
      <c r="K23" s="55">
        <v>20.0</v>
      </c>
      <c r="L23" s="55">
        <v>0.0</v>
      </c>
      <c r="M23" s="55">
        <v>2.0</v>
      </c>
      <c r="N23" s="43">
        <f t="shared" si="2"/>
        <v>2</v>
      </c>
      <c r="O23" s="55">
        <v>0.0</v>
      </c>
      <c r="P23" s="55">
        <v>6.0</v>
      </c>
      <c r="Q23" s="43">
        <f t="shared" si="1"/>
        <v>8</v>
      </c>
      <c r="R23" s="43"/>
      <c r="S23" s="43"/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5</v>
      </c>
      <c r="AC23" s="34"/>
      <c r="AD23" s="34"/>
    </row>
    <row r="24" ht="13.5" customHeight="1">
      <c r="A24" s="28">
        <v>18.0</v>
      </c>
      <c r="B24" s="68" t="s">
        <v>110</v>
      </c>
      <c r="C24" s="37" t="s">
        <v>111</v>
      </c>
      <c r="D24" s="37" t="s">
        <v>112</v>
      </c>
      <c r="E24" s="47"/>
      <c r="F24" s="48"/>
      <c r="G24" s="48"/>
      <c r="H24" s="52" t="s">
        <v>92</v>
      </c>
      <c r="I24" s="41"/>
      <c r="J24" s="54">
        <v>32.0</v>
      </c>
      <c r="K24" s="55">
        <v>30.0</v>
      </c>
      <c r="L24" s="55">
        <v>0.0</v>
      </c>
      <c r="M24" s="55">
        <v>0.0</v>
      </c>
      <c r="N24" s="43">
        <f t="shared" si="2"/>
        <v>0</v>
      </c>
      <c r="O24" s="55">
        <v>0.0</v>
      </c>
      <c r="P24" s="55">
        <v>2.0</v>
      </c>
      <c r="Q24" s="43">
        <f t="shared" si="1"/>
        <v>2</v>
      </c>
      <c r="R24" s="43"/>
      <c r="S24" s="43"/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68" t="s">
        <v>113</v>
      </c>
      <c r="C25" s="37" t="s">
        <v>114</v>
      </c>
      <c r="D25" s="37" t="s">
        <v>115</v>
      </c>
      <c r="E25" s="47"/>
      <c r="F25" s="48"/>
      <c r="G25" s="48"/>
      <c r="H25" s="59" t="s">
        <v>92</v>
      </c>
      <c r="I25" s="41"/>
      <c r="J25" s="54">
        <v>32.0</v>
      </c>
      <c r="K25" s="55">
        <v>30.0</v>
      </c>
      <c r="L25" s="55">
        <v>0.0</v>
      </c>
      <c r="M25" s="55">
        <v>2.0</v>
      </c>
      <c r="N25" s="43">
        <f t="shared" si="2"/>
        <v>2</v>
      </c>
      <c r="O25" s="55">
        <v>0.0</v>
      </c>
      <c r="P25" s="55">
        <v>0.0</v>
      </c>
      <c r="Q25" s="43">
        <f t="shared" si="1"/>
        <v>2</v>
      </c>
      <c r="R25" s="43"/>
      <c r="S25" s="43"/>
      <c r="T25" s="43"/>
      <c r="U25" s="43" t="s">
        <v>116</v>
      </c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68" t="s">
        <v>117</v>
      </c>
      <c r="C26" s="37" t="s">
        <v>118</v>
      </c>
      <c r="D26" s="37" t="s">
        <v>119</v>
      </c>
      <c r="E26" s="47"/>
      <c r="F26" s="48"/>
      <c r="G26" s="48"/>
      <c r="H26" s="59" t="s">
        <v>92</v>
      </c>
      <c r="I26" s="41"/>
      <c r="J26" s="54">
        <v>31.0</v>
      </c>
      <c r="K26" s="55">
        <v>31.0</v>
      </c>
      <c r="L26" s="55">
        <v>0.0</v>
      </c>
      <c r="M26" s="55">
        <v>0.0</v>
      </c>
      <c r="N26" s="43">
        <f t="shared" si="2"/>
        <v>0</v>
      </c>
      <c r="O26" s="55">
        <v>1.0</v>
      </c>
      <c r="P26" s="55">
        <v>0.0</v>
      </c>
      <c r="Q26" s="43">
        <f t="shared" si="1"/>
        <v>1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68" t="s">
        <v>120</v>
      </c>
      <c r="C27" s="37" t="s">
        <v>121</v>
      </c>
      <c r="D27" s="37" t="s">
        <v>122</v>
      </c>
      <c r="E27" s="47"/>
      <c r="F27" s="48"/>
      <c r="G27" s="48"/>
      <c r="H27" s="59" t="s">
        <v>92</v>
      </c>
      <c r="I27" s="53"/>
      <c r="J27" s="54">
        <v>27.0</v>
      </c>
      <c r="K27" s="55">
        <v>23.0</v>
      </c>
      <c r="L27" s="55">
        <v>0.0</v>
      </c>
      <c r="M27" s="55">
        <v>1.0</v>
      </c>
      <c r="N27" s="43">
        <f t="shared" si="2"/>
        <v>1</v>
      </c>
      <c r="O27" s="55">
        <v>5.0</v>
      </c>
      <c r="P27" s="55">
        <v>3.0</v>
      </c>
      <c r="Q27" s="43">
        <f t="shared" si="1"/>
        <v>9</v>
      </c>
      <c r="R27" s="43"/>
      <c r="S27" s="55" t="s">
        <v>78</v>
      </c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68" t="s">
        <v>123</v>
      </c>
      <c r="C28" s="37" t="s">
        <v>124</v>
      </c>
      <c r="D28" s="37" t="s">
        <v>125</v>
      </c>
      <c r="E28" s="47"/>
      <c r="F28" s="48"/>
      <c r="G28" s="48"/>
      <c r="H28" s="52" t="s">
        <v>92</v>
      </c>
      <c r="I28" s="53"/>
      <c r="J28" s="54">
        <v>27.0</v>
      </c>
      <c r="K28" s="55">
        <v>20.0</v>
      </c>
      <c r="L28" s="55">
        <v>0.0</v>
      </c>
      <c r="M28" s="55">
        <v>0.0</v>
      </c>
      <c r="N28" s="43">
        <f t="shared" si="2"/>
        <v>0</v>
      </c>
      <c r="O28" s="55">
        <v>5.0</v>
      </c>
      <c r="P28" s="55">
        <v>7.0</v>
      </c>
      <c r="Q28" s="43">
        <f t="shared" si="1"/>
        <v>12</v>
      </c>
      <c r="R28" s="43"/>
      <c r="S28" s="43"/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68" t="s">
        <v>126</v>
      </c>
      <c r="C29" s="37" t="s">
        <v>127</v>
      </c>
      <c r="D29" s="37" t="s">
        <v>128</v>
      </c>
      <c r="E29" s="47"/>
      <c r="F29" s="48"/>
      <c r="G29" s="48"/>
      <c r="H29" s="59" t="s">
        <v>92</v>
      </c>
      <c r="I29" s="53"/>
      <c r="J29" s="42"/>
      <c r="K29" s="43"/>
      <c r="L29" s="43"/>
      <c r="M29" s="43"/>
      <c r="N29" s="43">
        <f t="shared" si="2"/>
        <v>0</v>
      </c>
      <c r="O29" s="43"/>
      <c r="P29" s="43"/>
      <c r="Q29" s="43">
        <f t="shared" si="1"/>
        <v>0</v>
      </c>
      <c r="R29" s="43"/>
      <c r="S29" s="43"/>
      <c r="T29" s="43"/>
      <c r="U29" s="43"/>
      <c r="V29" s="43"/>
      <c r="W29" s="44"/>
      <c r="Z29" s="34"/>
      <c r="AA29" s="34"/>
      <c r="AB29" s="34"/>
      <c r="AC29" s="34"/>
      <c r="AD29" s="34"/>
    </row>
    <row r="30" ht="13.5" customHeight="1">
      <c r="A30" s="28">
        <v>24.0</v>
      </c>
      <c r="B30" s="68" t="s">
        <v>129</v>
      </c>
      <c r="C30" s="37" t="s">
        <v>130</v>
      </c>
      <c r="D30" s="37" t="s">
        <v>131</v>
      </c>
      <c r="E30" s="47"/>
      <c r="F30" s="48"/>
      <c r="G30" s="48"/>
      <c r="H30" s="59" t="s">
        <v>92</v>
      </c>
      <c r="I30" s="76"/>
      <c r="J30" s="42"/>
      <c r="K30" s="43"/>
      <c r="L30" s="43"/>
      <c r="M30" s="43"/>
      <c r="N30" s="43">
        <f t="shared" si="2"/>
        <v>0</v>
      </c>
      <c r="O30" s="43"/>
      <c r="P30" s="43"/>
      <c r="Q30" s="43">
        <f t="shared" si="1"/>
        <v>0</v>
      </c>
      <c r="R30" s="43"/>
      <c r="S30" s="43"/>
      <c r="T30" s="43"/>
      <c r="U30" s="43"/>
      <c r="V30" s="43"/>
      <c r="W30" s="44"/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68" t="s">
        <v>132</v>
      </c>
      <c r="C31" s="37" t="s">
        <v>133</v>
      </c>
      <c r="D31" s="37" t="s">
        <v>134</v>
      </c>
      <c r="E31" s="47"/>
      <c r="F31" s="48"/>
      <c r="G31" s="48"/>
      <c r="H31" s="59" t="s">
        <v>135</v>
      </c>
      <c r="I31" s="53"/>
      <c r="J31" s="42"/>
      <c r="K31" s="43"/>
      <c r="L31" s="43"/>
      <c r="M31" s="43"/>
      <c r="N31" s="43">
        <f t="shared" si="2"/>
        <v>0</v>
      </c>
      <c r="O31" s="43"/>
      <c r="P31" s="43"/>
      <c r="Q31" s="43">
        <f t="shared" si="1"/>
        <v>0</v>
      </c>
      <c r="R31" s="43"/>
      <c r="S31" s="43"/>
      <c r="T31" s="43"/>
      <c r="U31" s="43"/>
      <c r="V31" s="43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68" t="s">
        <v>136</v>
      </c>
      <c r="C32" s="37" t="s">
        <v>137</v>
      </c>
      <c r="D32" s="37" t="s">
        <v>138</v>
      </c>
      <c r="E32" s="47"/>
      <c r="F32" s="48"/>
      <c r="G32" s="48"/>
      <c r="H32" s="59" t="s">
        <v>135</v>
      </c>
      <c r="I32" s="79"/>
      <c r="J32" s="54">
        <v>26.0</v>
      </c>
      <c r="K32" s="55">
        <v>20.0</v>
      </c>
      <c r="L32" s="55">
        <v>0.0</v>
      </c>
      <c r="M32" s="55">
        <v>0.0</v>
      </c>
      <c r="N32" s="43">
        <f t="shared" si="2"/>
        <v>0</v>
      </c>
      <c r="O32" s="55">
        <v>2.0</v>
      </c>
      <c r="P32" s="55">
        <v>6.0</v>
      </c>
      <c r="Q32" s="43">
        <f t="shared" si="1"/>
        <v>8</v>
      </c>
      <c r="R32" s="43"/>
      <c r="S32" s="43"/>
      <c r="T32" s="43"/>
      <c r="U32" s="43"/>
      <c r="V32" s="43"/>
      <c r="W32" s="56" t="s">
        <v>46</v>
      </c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68" t="s">
        <v>141</v>
      </c>
      <c r="C33" s="37" t="s">
        <v>142</v>
      </c>
      <c r="D33" s="37" t="s">
        <v>143</v>
      </c>
      <c r="E33" s="47"/>
      <c r="F33" s="48"/>
      <c r="G33" s="48"/>
      <c r="H33" s="59" t="s">
        <v>135</v>
      </c>
      <c r="I33" s="80"/>
      <c r="J33" s="54">
        <v>28.0</v>
      </c>
      <c r="K33" s="55">
        <v>27.0</v>
      </c>
      <c r="L33" s="55">
        <v>0.0</v>
      </c>
      <c r="M33" s="55">
        <v>0.0</v>
      </c>
      <c r="N33" s="43">
        <f t="shared" si="2"/>
        <v>0</v>
      </c>
      <c r="O33" s="55">
        <v>4.0</v>
      </c>
      <c r="P33" s="55">
        <v>1.0</v>
      </c>
      <c r="Q33" s="43">
        <f t="shared" si="1"/>
        <v>5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68" t="s">
        <v>146</v>
      </c>
      <c r="C34" s="37" t="s">
        <v>147</v>
      </c>
      <c r="D34" s="37" t="s">
        <v>148</v>
      </c>
      <c r="E34" s="47"/>
      <c r="F34" s="48"/>
      <c r="G34" s="48"/>
      <c r="H34" s="59" t="s">
        <v>149</v>
      </c>
      <c r="I34" s="53"/>
      <c r="J34" s="54">
        <v>31.0</v>
      </c>
      <c r="K34" s="55">
        <v>30.0</v>
      </c>
      <c r="L34" s="55">
        <v>0.0</v>
      </c>
      <c r="M34" s="55">
        <v>0.0</v>
      </c>
      <c r="N34" s="43">
        <f t="shared" si="2"/>
        <v>0</v>
      </c>
      <c r="O34" s="55">
        <v>1.0</v>
      </c>
      <c r="P34" s="55">
        <v>1.0</v>
      </c>
      <c r="Q34" s="43">
        <f t="shared" si="1"/>
        <v>2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68" t="s">
        <v>150</v>
      </c>
      <c r="C35" s="37" t="s">
        <v>151</v>
      </c>
      <c r="D35" s="37" t="s">
        <v>152</v>
      </c>
      <c r="E35" s="47"/>
      <c r="F35" s="48"/>
      <c r="G35" s="48"/>
      <c r="H35" s="59" t="s">
        <v>153</v>
      </c>
      <c r="I35" s="53"/>
      <c r="J35" s="81"/>
      <c r="K35" s="43"/>
      <c r="L35" s="43"/>
      <c r="M35" s="43"/>
      <c r="N35" s="43">
        <f t="shared" si="2"/>
        <v>0</v>
      </c>
      <c r="O35" s="43"/>
      <c r="P35" s="43"/>
      <c r="Q35" s="43">
        <f t="shared" si="1"/>
        <v>0</v>
      </c>
      <c r="R35" s="43"/>
      <c r="S35" s="43"/>
      <c r="T35" s="43"/>
      <c r="U35" s="43"/>
      <c r="V35" s="43"/>
      <c r="W35" s="44"/>
      <c r="Z35" s="61"/>
      <c r="AA35" s="61"/>
      <c r="AB35" s="66"/>
      <c r="AC35" s="34"/>
      <c r="AD35" s="34"/>
    </row>
    <row r="36" ht="13.5" customHeight="1">
      <c r="A36" s="28">
        <v>30.0</v>
      </c>
      <c r="B36" s="68" t="s">
        <v>154</v>
      </c>
      <c r="C36" s="37" t="s">
        <v>155</v>
      </c>
      <c r="D36" s="37" t="s">
        <v>156</v>
      </c>
      <c r="E36" s="47"/>
      <c r="F36" s="48"/>
      <c r="G36" s="48"/>
      <c r="H36" s="59" t="s">
        <v>153</v>
      </c>
      <c r="I36" s="82"/>
      <c r="J36" s="83"/>
      <c r="K36" s="43"/>
      <c r="L36" s="43"/>
      <c r="M36" s="43"/>
      <c r="N36" s="43">
        <f t="shared" si="2"/>
        <v>0</v>
      </c>
      <c r="O36" s="43"/>
      <c r="P36" s="43"/>
      <c r="Q36" s="43">
        <f t="shared" si="1"/>
        <v>0</v>
      </c>
      <c r="R36" s="43"/>
      <c r="S36" s="43"/>
      <c r="T36" s="43"/>
      <c r="U36" s="43"/>
      <c r="V36" s="43"/>
      <c r="W36" s="44"/>
      <c r="Z36" s="61"/>
      <c r="AA36" s="61"/>
      <c r="AB36" s="66"/>
      <c r="AC36" s="34"/>
      <c r="AD36" s="34"/>
    </row>
    <row r="37" ht="13.5" customHeight="1">
      <c r="A37" s="28">
        <v>31.0</v>
      </c>
      <c r="B37" s="68" t="s">
        <v>157</v>
      </c>
      <c r="C37" s="37" t="s">
        <v>158</v>
      </c>
      <c r="D37" s="37" t="s">
        <v>159</v>
      </c>
      <c r="E37" s="47"/>
      <c r="F37" s="48"/>
      <c r="G37" s="48"/>
      <c r="H37" s="59" t="s">
        <v>153</v>
      </c>
      <c r="I37" s="82"/>
      <c r="J37" s="83"/>
      <c r="K37" s="43"/>
      <c r="L37" s="43"/>
      <c r="M37" s="43"/>
      <c r="N37" s="43">
        <f t="shared" si="2"/>
        <v>0</v>
      </c>
      <c r="O37" s="43"/>
      <c r="P37" s="43"/>
      <c r="Q37" s="43">
        <f t="shared" si="1"/>
        <v>0</v>
      </c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68" t="s">
        <v>160</v>
      </c>
      <c r="C38" s="37" t="s">
        <v>161</v>
      </c>
      <c r="D38" s="37" t="s">
        <v>162</v>
      </c>
      <c r="E38" s="47"/>
      <c r="F38" s="48"/>
      <c r="G38" s="48"/>
      <c r="H38" s="52" t="s">
        <v>153</v>
      </c>
      <c r="I38" s="82"/>
      <c r="J38" s="87">
        <v>32.0</v>
      </c>
      <c r="K38" s="55">
        <v>25.0</v>
      </c>
      <c r="L38" s="55">
        <v>0.0</v>
      </c>
      <c r="M38" s="55">
        <v>1.0</v>
      </c>
      <c r="N38" s="43">
        <f t="shared" si="2"/>
        <v>1</v>
      </c>
      <c r="O38" s="55">
        <v>0.0</v>
      </c>
      <c r="P38" s="55">
        <v>6.0</v>
      </c>
      <c r="Q38" s="43">
        <f t="shared" si="1"/>
        <v>7</v>
      </c>
      <c r="R38" s="43"/>
      <c r="S38" s="43"/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68" t="s">
        <v>163</v>
      </c>
      <c r="C39" s="37" t="s">
        <v>164</v>
      </c>
      <c r="D39" s="37" t="s">
        <v>165</v>
      </c>
      <c r="E39" s="47"/>
      <c r="F39" s="48"/>
      <c r="G39" s="48"/>
      <c r="H39" s="59" t="s">
        <v>153</v>
      </c>
      <c r="I39" s="88"/>
      <c r="J39" s="83"/>
      <c r="K39" s="43"/>
      <c r="L39" s="43"/>
      <c r="M39" s="43"/>
      <c r="N39" s="43">
        <f t="shared" si="2"/>
        <v>0</v>
      </c>
      <c r="O39" s="43"/>
      <c r="P39" s="43"/>
      <c r="Q39" s="43">
        <f t="shared" si="1"/>
        <v>0</v>
      </c>
      <c r="R39" s="43"/>
      <c r="S39" s="43"/>
      <c r="T39" s="43"/>
      <c r="U39" s="43"/>
      <c r="V39" s="43"/>
      <c r="W39" s="44"/>
      <c r="Z39" s="61"/>
      <c r="AA39" s="61"/>
      <c r="AB39" s="66"/>
      <c r="AC39" s="34"/>
      <c r="AD39" s="34"/>
    </row>
    <row r="40" ht="13.5" customHeight="1">
      <c r="A40" s="28">
        <v>34.0</v>
      </c>
      <c r="B40" s="68" t="s">
        <v>166</v>
      </c>
      <c r="C40" s="37" t="s">
        <v>167</v>
      </c>
      <c r="D40" s="37" t="s">
        <v>168</v>
      </c>
      <c r="E40" s="47"/>
      <c r="F40" s="48"/>
      <c r="G40" s="48"/>
      <c r="H40" s="59" t="s">
        <v>153</v>
      </c>
      <c r="I40" s="88"/>
      <c r="J40" s="87">
        <v>29.0</v>
      </c>
      <c r="K40" s="55">
        <v>22.0</v>
      </c>
      <c r="L40" s="55">
        <v>0.0</v>
      </c>
      <c r="M40" s="43"/>
      <c r="N40" s="43">
        <f t="shared" si="2"/>
        <v>0</v>
      </c>
      <c r="O40" s="55">
        <v>3.0</v>
      </c>
      <c r="P40" s="55">
        <v>7.0</v>
      </c>
      <c r="Q40" s="43">
        <f t="shared" si="1"/>
        <v>10</v>
      </c>
      <c r="R40" s="43"/>
      <c r="S40" s="43"/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68" t="s">
        <v>169</v>
      </c>
      <c r="C41" s="37" t="s">
        <v>170</v>
      </c>
      <c r="D41" s="37" t="s">
        <v>171</v>
      </c>
      <c r="E41" s="47"/>
      <c r="F41" s="48"/>
      <c r="G41" s="48"/>
      <c r="H41" s="59" t="s">
        <v>153</v>
      </c>
      <c r="I41" s="89"/>
      <c r="J41" s="83"/>
      <c r="K41" s="43"/>
      <c r="L41" s="43"/>
      <c r="M41" s="43"/>
      <c r="N41" s="43">
        <v>0.0</v>
      </c>
      <c r="O41" s="43"/>
      <c r="P41" s="43"/>
      <c r="Q41" s="43">
        <f t="shared" si="1"/>
        <v>0</v>
      </c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68" t="s">
        <v>172</v>
      </c>
      <c r="C42" s="37" t="s">
        <v>173</v>
      </c>
      <c r="D42" s="37" t="s">
        <v>174</v>
      </c>
      <c r="E42" s="47"/>
      <c r="F42" s="48"/>
      <c r="G42" s="48"/>
      <c r="H42" s="52" t="s">
        <v>175</v>
      </c>
      <c r="I42" s="89"/>
      <c r="J42" s="87">
        <v>28.0</v>
      </c>
      <c r="K42" s="55">
        <v>24.0</v>
      </c>
      <c r="L42" s="55">
        <v>0.0</v>
      </c>
      <c r="M42" s="55">
        <v>0.0</v>
      </c>
      <c r="N42" s="43">
        <f t="shared" ref="N42:N46" si="3">sum(L42,M42)</f>
        <v>0</v>
      </c>
      <c r="O42" s="55">
        <v>4.0</v>
      </c>
      <c r="P42" s="55">
        <v>5.0</v>
      </c>
      <c r="Q42" s="43">
        <f t="shared" si="1"/>
        <v>9</v>
      </c>
      <c r="R42" s="43"/>
      <c r="S42" s="43"/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57" t="s">
        <v>176</v>
      </c>
      <c r="C43" s="37" t="s">
        <v>177</v>
      </c>
      <c r="D43" s="37" t="s">
        <v>178</v>
      </c>
      <c r="E43" s="47"/>
      <c r="F43" s="48"/>
      <c r="G43" s="48"/>
      <c r="H43" s="59" t="s">
        <v>179</v>
      </c>
      <c r="I43" s="82"/>
      <c r="J43" s="83"/>
      <c r="K43" s="43"/>
      <c r="L43" s="43"/>
      <c r="M43" s="43"/>
      <c r="N43" s="43">
        <f t="shared" si="3"/>
        <v>0</v>
      </c>
      <c r="O43" s="43"/>
      <c r="P43" s="43"/>
      <c r="Q43" s="43">
        <f t="shared" si="1"/>
        <v>0</v>
      </c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57" t="s">
        <v>180</v>
      </c>
      <c r="C44" s="37" t="s">
        <v>181</v>
      </c>
      <c r="D44" s="37" t="s">
        <v>182</v>
      </c>
      <c r="E44" s="47"/>
      <c r="F44" s="48"/>
      <c r="G44" s="48"/>
      <c r="H44" s="59" t="s">
        <v>183</v>
      </c>
      <c r="I44" s="82"/>
      <c r="J44" s="87">
        <v>25.0</v>
      </c>
      <c r="K44" s="55">
        <v>22.0</v>
      </c>
      <c r="L44" s="55">
        <v>0.0</v>
      </c>
      <c r="M44" s="55">
        <v>2.0</v>
      </c>
      <c r="N44" s="43">
        <f t="shared" si="3"/>
        <v>2</v>
      </c>
      <c r="O44" s="55">
        <v>7.0</v>
      </c>
      <c r="P44" s="55">
        <v>1.0</v>
      </c>
      <c r="Q44" s="43">
        <f t="shared" si="1"/>
        <v>10</v>
      </c>
      <c r="R44" s="43"/>
      <c r="S44" s="43"/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57" t="s">
        <v>184</v>
      </c>
      <c r="C45" s="37" t="s">
        <v>185</v>
      </c>
      <c r="D45" s="37" t="s">
        <v>186</v>
      </c>
      <c r="E45" s="47"/>
      <c r="F45" s="48"/>
      <c r="G45" s="48"/>
      <c r="H45" s="59" t="s">
        <v>183</v>
      </c>
      <c r="I45" s="90"/>
      <c r="J45" s="83"/>
      <c r="K45" s="43"/>
      <c r="L45" s="43"/>
      <c r="M45" s="43"/>
      <c r="N45" s="43">
        <f t="shared" si="3"/>
        <v>0</v>
      </c>
      <c r="O45" s="43"/>
      <c r="P45" s="43"/>
      <c r="Q45" s="43">
        <f t="shared" si="1"/>
        <v>0</v>
      </c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57" t="s">
        <v>187</v>
      </c>
      <c r="C46" s="37" t="s">
        <v>188</v>
      </c>
      <c r="D46" s="37" t="s">
        <v>189</v>
      </c>
      <c r="E46" s="47"/>
      <c r="F46" s="48"/>
      <c r="G46" s="48"/>
      <c r="H46" s="59" t="s">
        <v>183</v>
      </c>
      <c r="I46" s="82"/>
      <c r="J46" s="87">
        <v>14.0</v>
      </c>
      <c r="K46" s="55">
        <v>13.0</v>
      </c>
      <c r="L46" s="55">
        <v>0.0</v>
      </c>
      <c r="M46" s="55">
        <v>0.0</v>
      </c>
      <c r="N46" s="43">
        <f t="shared" si="3"/>
        <v>0</v>
      </c>
      <c r="O46" s="55">
        <v>18.0</v>
      </c>
      <c r="P46" s="55">
        <v>1.0</v>
      </c>
      <c r="Q46" s="43">
        <f t="shared" si="1"/>
        <v>19</v>
      </c>
      <c r="R46" s="43"/>
      <c r="S46" s="55" t="s">
        <v>190</v>
      </c>
      <c r="T46" s="43"/>
      <c r="U46" s="43"/>
      <c r="V46" s="55" t="s">
        <v>191</v>
      </c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57" t="s">
        <v>192</v>
      </c>
      <c r="C47" s="37" t="s">
        <v>193</v>
      </c>
      <c r="D47" s="37" t="s">
        <v>194</v>
      </c>
      <c r="E47" s="47"/>
      <c r="F47" s="48"/>
      <c r="G47" s="48"/>
      <c r="H47" s="59" t="s">
        <v>183</v>
      </c>
      <c r="I47" s="82"/>
      <c r="J47" s="83"/>
      <c r="K47" s="43"/>
      <c r="L47" s="43"/>
      <c r="M47" s="43"/>
      <c r="N47" s="43">
        <v>0.0</v>
      </c>
      <c r="O47" s="43"/>
      <c r="P47" s="43"/>
      <c r="Q47" s="43">
        <f t="shared" si="1"/>
        <v>0</v>
      </c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57" t="s">
        <v>195</v>
      </c>
      <c r="C48" s="37" t="s">
        <v>196</v>
      </c>
      <c r="D48" s="37" t="s">
        <v>197</v>
      </c>
      <c r="E48" s="47"/>
      <c r="F48" s="48"/>
      <c r="G48" s="48"/>
      <c r="H48" s="59" t="s">
        <v>183</v>
      </c>
      <c r="I48" s="82"/>
      <c r="J48" s="87">
        <v>21.0</v>
      </c>
      <c r="K48" s="55">
        <v>18.0</v>
      </c>
      <c r="L48" s="55">
        <v>0.0</v>
      </c>
      <c r="M48" s="55">
        <v>1.0</v>
      </c>
      <c r="N48" s="43">
        <f t="shared" ref="N48:N59" si="4">sum(L48,M48)</f>
        <v>1</v>
      </c>
      <c r="O48" s="55">
        <v>11.0</v>
      </c>
      <c r="P48" s="55">
        <v>2.0</v>
      </c>
      <c r="Q48" s="43">
        <f t="shared" si="1"/>
        <v>14</v>
      </c>
      <c r="R48" s="43"/>
      <c r="S48" s="55" t="s">
        <v>88</v>
      </c>
      <c r="T48" s="43"/>
      <c r="U48" s="43"/>
      <c r="V48" s="55" t="s">
        <v>198</v>
      </c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57" t="s">
        <v>199</v>
      </c>
      <c r="C49" s="37" t="s">
        <v>188</v>
      </c>
      <c r="D49" s="37" t="s">
        <v>200</v>
      </c>
      <c r="E49" s="47"/>
      <c r="F49" s="48"/>
      <c r="G49" s="48"/>
      <c r="H49" s="59" t="s">
        <v>183</v>
      </c>
      <c r="I49" s="91"/>
      <c r="J49" s="87">
        <v>29.0</v>
      </c>
      <c r="K49" s="55">
        <v>18.0</v>
      </c>
      <c r="L49" s="55">
        <v>0.0</v>
      </c>
      <c r="M49" s="55">
        <v>0.0</v>
      </c>
      <c r="N49" s="43">
        <f t="shared" si="4"/>
        <v>0</v>
      </c>
      <c r="O49" s="55">
        <v>3.0</v>
      </c>
      <c r="P49" s="55">
        <v>11.0</v>
      </c>
      <c r="Q49" s="43">
        <f t="shared" si="1"/>
        <v>14</v>
      </c>
      <c r="R49" s="43"/>
      <c r="S49" s="43"/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57" t="s">
        <v>157</v>
      </c>
      <c r="C50" s="37" t="s">
        <v>201</v>
      </c>
      <c r="D50" s="37" t="s">
        <v>202</v>
      </c>
      <c r="E50" s="47"/>
      <c r="F50" s="48"/>
      <c r="G50" s="48"/>
      <c r="H50" s="59" t="s">
        <v>183</v>
      </c>
      <c r="I50" s="82"/>
      <c r="J50" s="83"/>
      <c r="K50" s="43"/>
      <c r="L50" s="43"/>
      <c r="M50" s="43"/>
      <c r="N50" s="43">
        <f t="shared" si="4"/>
        <v>0</v>
      </c>
      <c r="O50" s="43"/>
      <c r="P50" s="43"/>
      <c r="Q50" s="43">
        <f t="shared" si="1"/>
        <v>0</v>
      </c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57" t="s">
        <v>203</v>
      </c>
      <c r="C51" s="37" t="s">
        <v>204</v>
      </c>
      <c r="D51" s="37" t="s">
        <v>205</v>
      </c>
      <c r="E51" s="47"/>
      <c r="F51" s="48"/>
      <c r="G51" s="48"/>
      <c r="H51" s="59" t="s">
        <v>183</v>
      </c>
      <c r="I51" s="82"/>
      <c r="J51" s="83"/>
      <c r="K51" s="43"/>
      <c r="L51" s="43"/>
      <c r="M51" s="43"/>
      <c r="N51" s="43">
        <f t="shared" si="4"/>
        <v>0</v>
      </c>
      <c r="O51" s="43"/>
      <c r="P51" s="43"/>
      <c r="Q51" s="43">
        <f t="shared" si="1"/>
        <v>0</v>
      </c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68" t="s">
        <v>206</v>
      </c>
      <c r="C52" s="37" t="s">
        <v>207</v>
      </c>
      <c r="D52" s="37" t="s">
        <v>208</v>
      </c>
      <c r="E52" s="47"/>
      <c r="F52" s="48"/>
      <c r="G52" s="48"/>
      <c r="H52" s="59" t="s">
        <v>183</v>
      </c>
      <c r="I52" s="82"/>
      <c r="J52" s="87">
        <v>27.0</v>
      </c>
      <c r="K52" s="55">
        <v>13.0</v>
      </c>
      <c r="L52" s="55">
        <v>4.0</v>
      </c>
      <c r="M52" s="55">
        <v>0.0</v>
      </c>
      <c r="N52" s="43">
        <f t="shared" si="4"/>
        <v>4</v>
      </c>
      <c r="O52" s="55">
        <v>5.0</v>
      </c>
      <c r="P52" s="55">
        <v>9.0</v>
      </c>
      <c r="Q52" s="43">
        <f t="shared" si="1"/>
        <v>18</v>
      </c>
      <c r="R52" s="43"/>
      <c r="S52" s="43"/>
      <c r="T52" s="43"/>
      <c r="U52" s="43"/>
      <c r="V52" s="43"/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47.0</v>
      </c>
      <c r="B53" s="57" t="s">
        <v>209</v>
      </c>
      <c r="C53" s="37" t="s">
        <v>210</v>
      </c>
      <c r="D53" s="37" t="s">
        <v>211</v>
      </c>
      <c r="E53" s="47"/>
      <c r="F53" s="48"/>
      <c r="G53" s="48"/>
      <c r="H53" s="52" t="s">
        <v>183</v>
      </c>
      <c r="I53" s="82"/>
      <c r="J53" s="87">
        <v>23.0</v>
      </c>
      <c r="K53" s="55">
        <v>19.0</v>
      </c>
      <c r="L53" s="55">
        <v>0.0</v>
      </c>
      <c r="M53" s="55">
        <v>0.0</v>
      </c>
      <c r="N53" s="43">
        <f t="shared" si="4"/>
        <v>0</v>
      </c>
      <c r="O53" s="55">
        <v>11.0</v>
      </c>
      <c r="P53" s="55">
        <v>2.0</v>
      </c>
      <c r="Q53" s="43">
        <f t="shared" si="1"/>
        <v>13</v>
      </c>
      <c r="R53" s="43"/>
      <c r="S53" s="43"/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57" t="s">
        <v>212</v>
      </c>
      <c r="C54" s="37" t="s">
        <v>213</v>
      </c>
      <c r="D54" s="37" t="s">
        <v>214</v>
      </c>
      <c r="E54" s="47"/>
      <c r="F54" s="48"/>
      <c r="G54" s="48"/>
      <c r="H54" s="52" t="s">
        <v>215</v>
      </c>
      <c r="I54" s="82"/>
      <c r="J54" s="87">
        <v>26.0</v>
      </c>
      <c r="K54" s="55">
        <v>21.0</v>
      </c>
      <c r="L54" s="55">
        <v>0.0</v>
      </c>
      <c r="M54" s="55">
        <v>0.0</v>
      </c>
      <c r="N54" s="43">
        <f t="shared" si="4"/>
        <v>0</v>
      </c>
      <c r="O54" s="55">
        <v>2.0</v>
      </c>
      <c r="P54" s="55">
        <v>5.0</v>
      </c>
      <c r="Q54" s="43">
        <f t="shared" si="1"/>
        <v>7</v>
      </c>
      <c r="R54" s="43"/>
      <c r="S54" s="43"/>
      <c r="T54" s="43"/>
      <c r="U54" s="43"/>
      <c r="V54" s="55" t="s">
        <v>216</v>
      </c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57" t="s">
        <v>217</v>
      </c>
      <c r="C55" s="37" t="s">
        <v>218</v>
      </c>
      <c r="D55" s="37" t="s">
        <v>219</v>
      </c>
      <c r="E55" s="47"/>
      <c r="F55" s="48"/>
      <c r="G55" s="48"/>
      <c r="H55" s="52" t="s">
        <v>215</v>
      </c>
      <c r="I55" s="82"/>
      <c r="J55" s="87">
        <v>29.0</v>
      </c>
      <c r="K55" s="55">
        <v>25.0</v>
      </c>
      <c r="L55" s="55">
        <v>0.0</v>
      </c>
      <c r="M55" s="55">
        <v>0.0</v>
      </c>
      <c r="N55" s="43">
        <f t="shared" si="4"/>
        <v>0</v>
      </c>
      <c r="O55" s="55">
        <v>3.0</v>
      </c>
      <c r="P55" s="55">
        <v>2.0</v>
      </c>
      <c r="Q55" s="43">
        <f t="shared" si="1"/>
        <v>5</v>
      </c>
      <c r="R55" s="43"/>
      <c r="S55" s="43"/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57" t="s">
        <v>220</v>
      </c>
      <c r="C56" s="37" t="s">
        <v>221</v>
      </c>
      <c r="D56" s="37" t="s">
        <v>222</v>
      </c>
      <c r="E56" s="47"/>
      <c r="F56" s="48"/>
      <c r="G56" s="48"/>
      <c r="H56" s="52" t="s">
        <v>215</v>
      </c>
      <c r="I56" s="82"/>
      <c r="J56" s="83"/>
      <c r="K56" s="43"/>
      <c r="L56" s="43"/>
      <c r="M56" s="43"/>
      <c r="N56" s="43">
        <f t="shared" si="4"/>
        <v>0</v>
      </c>
      <c r="O56" s="43"/>
      <c r="P56" s="43"/>
      <c r="Q56" s="43">
        <f t="shared" si="1"/>
        <v>0</v>
      </c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57" t="s">
        <v>223</v>
      </c>
      <c r="C57" s="37" t="s">
        <v>224</v>
      </c>
      <c r="D57" s="37" t="s">
        <v>225</v>
      </c>
      <c r="E57" s="47"/>
      <c r="F57" s="48"/>
      <c r="G57" s="48"/>
      <c r="H57" s="52" t="s">
        <v>215</v>
      </c>
      <c r="I57" s="82"/>
      <c r="J57" s="83"/>
      <c r="K57" s="43"/>
      <c r="L57" s="43"/>
      <c r="M57" s="43"/>
      <c r="N57" s="43">
        <f t="shared" si="4"/>
        <v>0</v>
      </c>
      <c r="O57" s="43"/>
      <c r="P57" s="43"/>
      <c r="Q57" s="43">
        <f t="shared" si="1"/>
        <v>0</v>
      </c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57" t="s">
        <v>84</v>
      </c>
      <c r="C58" s="37" t="s">
        <v>226</v>
      </c>
      <c r="D58" s="37" t="s">
        <v>44</v>
      </c>
      <c r="E58" s="47"/>
      <c r="F58" s="48"/>
      <c r="G58" s="48"/>
      <c r="H58" s="52" t="s">
        <v>215</v>
      </c>
      <c r="I58" s="82"/>
      <c r="J58" s="83"/>
      <c r="K58" s="43"/>
      <c r="L58" s="43"/>
      <c r="M58" s="43"/>
      <c r="N58" s="43">
        <f t="shared" si="4"/>
        <v>0</v>
      </c>
      <c r="O58" s="43"/>
      <c r="P58" s="43"/>
      <c r="Q58" s="43">
        <f t="shared" si="1"/>
        <v>0</v>
      </c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92">
        <v>53.0</v>
      </c>
      <c r="B59" s="57" t="s">
        <v>227</v>
      </c>
      <c r="C59" s="37" t="s">
        <v>228</v>
      </c>
      <c r="D59" s="37" t="s">
        <v>229</v>
      </c>
      <c r="E59" s="47"/>
      <c r="F59" s="48"/>
      <c r="G59" s="48"/>
      <c r="H59" s="52" t="s">
        <v>215</v>
      </c>
      <c r="I59" s="82"/>
      <c r="J59" s="87">
        <v>6.0</v>
      </c>
      <c r="K59" s="55">
        <v>5.0</v>
      </c>
      <c r="L59" s="55">
        <v>0.0</v>
      </c>
      <c r="M59" s="55">
        <v>0.0</v>
      </c>
      <c r="N59" s="43">
        <f t="shared" si="4"/>
        <v>0</v>
      </c>
      <c r="O59" s="55">
        <v>26.0</v>
      </c>
      <c r="P59" s="55">
        <v>1.0</v>
      </c>
      <c r="Q59" s="43">
        <f t="shared" si="1"/>
        <v>27</v>
      </c>
      <c r="R59" s="43"/>
      <c r="S59" s="55" t="s">
        <v>88</v>
      </c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57" t="s">
        <v>230</v>
      </c>
      <c r="C60" s="37" t="s">
        <v>231</v>
      </c>
      <c r="D60" s="37" t="s">
        <v>232</v>
      </c>
      <c r="E60" s="47"/>
      <c r="F60" s="48"/>
      <c r="G60" s="48"/>
      <c r="H60" s="52" t="s">
        <v>233</v>
      </c>
      <c r="I60" s="82"/>
      <c r="J60" s="87">
        <v>28.0</v>
      </c>
      <c r="K60" s="55">
        <v>25.0</v>
      </c>
      <c r="L60" s="55">
        <v>0.0</v>
      </c>
      <c r="M60" s="55">
        <v>0.0</v>
      </c>
      <c r="N60" s="43">
        <v>0.0</v>
      </c>
      <c r="O60" s="55">
        <v>4.0</v>
      </c>
      <c r="P60" s="55">
        <v>3.0</v>
      </c>
      <c r="Q60" s="43">
        <f t="shared" si="1"/>
        <v>7</v>
      </c>
      <c r="R60" s="43"/>
      <c r="S60" s="43"/>
      <c r="T60" s="43"/>
      <c r="U60" s="43"/>
      <c r="V60" s="43"/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57" t="s">
        <v>234</v>
      </c>
      <c r="C61" s="37" t="s">
        <v>235</v>
      </c>
      <c r="D61" s="37" t="s">
        <v>236</v>
      </c>
      <c r="E61" s="47"/>
      <c r="F61" s="48"/>
      <c r="G61" s="48"/>
      <c r="H61" s="52" t="s">
        <v>233</v>
      </c>
      <c r="I61" s="82"/>
      <c r="J61" s="93">
        <v>14.0</v>
      </c>
      <c r="K61" s="94">
        <v>10.0</v>
      </c>
      <c r="L61" s="95">
        <v>0.0</v>
      </c>
      <c r="M61" s="95">
        <v>0.0</v>
      </c>
      <c r="N61" s="95">
        <f t="shared" ref="N61:N96" si="5">sum(L61,M61)</f>
        <v>0</v>
      </c>
      <c r="O61" s="94">
        <v>14.0</v>
      </c>
      <c r="P61" s="95">
        <v>4.0</v>
      </c>
      <c r="Q61" s="95">
        <f t="shared" si="1"/>
        <v>18</v>
      </c>
      <c r="R61" s="72"/>
      <c r="S61" s="96" t="s">
        <v>237</v>
      </c>
      <c r="T61" s="72"/>
      <c r="U61" s="72"/>
      <c r="V61" s="97"/>
      <c r="W61" s="98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57" t="s">
        <v>238</v>
      </c>
      <c r="C62" s="37" t="s">
        <v>239</v>
      </c>
      <c r="D62" s="37" t="s">
        <v>202</v>
      </c>
      <c r="E62" s="47"/>
      <c r="F62" s="48"/>
      <c r="G62" s="48"/>
      <c r="H62" s="59" t="s">
        <v>233</v>
      </c>
      <c r="I62" s="82"/>
      <c r="J62" s="87">
        <v>30.0</v>
      </c>
      <c r="K62" s="55">
        <v>22.0</v>
      </c>
      <c r="L62" s="55">
        <v>0.0</v>
      </c>
      <c r="M62" s="55">
        <v>2.0</v>
      </c>
      <c r="N62" s="43">
        <f t="shared" si="5"/>
        <v>2</v>
      </c>
      <c r="O62" s="55">
        <v>0.0</v>
      </c>
      <c r="P62" s="55">
        <v>6.0</v>
      </c>
      <c r="Q62" s="43">
        <f t="shared" si="1"/>
        <v>8</v>
      </c>
      <c r="R62" s="43"/>
      <c r="S62" s="43"/>
      <c r="T62" s="43"/>
      <c r="U62" s="43"/>
      <c r="V62" s="43"/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57" t="s">
        <v>240</v>
      </c>
      <c r="C63" s="37" t="s">
        <v>241</v>
      </c>
      <c r="D63" s="37" t="s">
        <v>242</v>
      </c>
      <c r="E63" s="47"/>
      <c r="F63" s="48"/>
      <c r="G63" s="48"/>
      <c r="H63" s="59" t="s">
        <v>233</v>
      </c>
      <c r="I63" s="82"/>
      <c r="J63" s="87">
        <v>24.0</v>
      </c>
      <c r="K63" s="55">
        <v>8.0</v>
      </c>
      <c r="L63" s="55">
        <v>0.0</v>
      </c>
      <c r="M63" s="55">
        <v>0.0</v>
      </c>
      <c r="N63" s="43">
        <f t="shared" si="5"/>
        <v>0</v>
      </c>
      <c r="O63" s="55">
        <v>8.0</v>
      </c>
      <c r="P63" s="55">
        <v>16.0</v>
      </c>
      <c r="Q63" s="43">
        <f t="shared" si="1"/>
        <v>24</v>
      </c>
      <c r="R63" s="43"/>
      <c r="S63" s="55" t="s">
        <v>243</v>
      </c>
      <c r="T63" s="43"/>
      <c r="U63" s="43"/>
      <c r="V63" s="55" t="s">
        <v>244</v>
      </c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57" t="s">
        <v>245</v>
      </c>
      <c r="C64" s="37" t="s">
        <v>246</v>
      </c>
      <c r="D64" s="37" t="s">
        <v>247</v>
      </c>
      <c r="E64" s="47"/>
      <c r="F64" s="48"/>
      <c r="G64" s="48"/>
      <c r="H64" s="59" t="s">
        <v>233</v>
      </c>
      <c r="I64" s="82"/>
      <c r="J64" s="87">
        <v>0.0</v>
      </c>
      <c r="K64" s="55">
        <v>0.0</v>
      </c>
      <c r="L64" s="55">
        <v>0.0</v>
      </c>
      <c r="M64" s="55">
        <v>0.0</v>
      </c>
      <c r="N64" s="43">
        <f t="shared" si="5"/>
        <v>0</v>
      </c>
      <c r="O64" s="55">
        <v>32.0</v>
      </c>
      <c r="P64" s="55">
        <v>0.0</v>
      </c>
      <c r="Q64" s="43">
        <f t="shared" si="1"/>
        <v>32</v>
      </c>
      <c r="R64" s="43"/>
      <c r="S64" s="43"/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57" t="s">
        <v>248</v>
      </c>
      <c r="C65" s="37" t="s">
        <v>249</v>
      </c>
      <c r="D65" s="37" t="s">
        <v>250</v>
      </c>
      <c r="E65" s="47"/>
      <c r="F65" s="48"/>
      <c r="G65" s="48"/>
      <c r="H65" s="59" t="s">
        <v>251</v>
      </c>
      <c r="I65" s="82"/>
      <c r="J65" s="87">
        <v>29.0</v>
      </c>
      <c r="K65" s="55">
        <v>21.0</v>
      </c>
      <c r="L65" s="55">
        <v>0.0</v>
      </c>
      <c r="M65" s="55">
        <v>0.0</v>
      </c>
      <c r="N65" s="43">
        <f t="shared" si="5"/>
        <v>0</v>
      </c>
      <c r="O65" s="55">
        <v>1.0</v>
      </c>
      <c r="P65" s="55">
        <v>8.0</v>
      </c>
      <c r="Q65" s="43">
        <f t="shared" si="1"/>
        <v>9</v>
      </c>
      <c r="R65" s="43"/>
      <c r="S65" s="43"/>
      <c r="T65" s="43"/>
      <c r="U65" s="43"/>
      <c r="V65" s="43"/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57" t="s">
        <v>252</v>
      </c>
      <c r="C66" s="37" t="s">
        <v>253</v>
      </c>
      <c r="D66" s="37" t="s">
        <v>254</v>
      </c>
      <c r="E66" s="47"/>
      <c r="F66" s="48"/>
      <c r="G66" s="48"/>
      <c r="H66" s="59" t="s">
        <v>251</v>
      </c>
      <c r="I66" s="82"/>
      <c r="J66" s="87">
        <v>24.0</v>
      </c>
      <c r="K66" s="55">
        <v>20.0</v>
      </c>
      <c r="L66" s="55">
        <v>0.0</v>
      </c>
      <c r="M66" s="55">
        <v>0.0</v>
      </c>
      <c r="N66" s="43">
        <f t="shared" si="5"/>
        <v>0</v>
      </c>
      <c r="O66" s="55">
        <v>8.0</v>
      </c>
      <c r="P66" s="55">
        <v>4.0</v>
      </c>
      <c r="Q66" s="43">
        <f t="shared" si="1"/>
        <v>12</v>
      </c>
      <c r="R66" s="43"/>
      <c r="S66" s="43"/>
      <c r="T66" s="43"/>
      <c r="U66" s="43"/>
      <c r="V66" s="43"/>
      <c r="W66" s="56" t="s">
        <v>46</v>
      </c>
      <c r="Z66" s="61"/>
      <c r="AA66" s="61"/>
      <c r="AB66" s="66"/>
      <c r="AC66" s="34"/>
      <c r="AD66" s="34"/>
    </row>
    <row r="67" ht="13.5" customHeight="1">
      <c r="A67" s="28">
        <v>61.0</v>
      </c>
      <c r="B67" s="57" t="s">
        <v>255</v>
      </c>
      <c r="C67" s="37" t="s">
        <v>256</v>
      </c>
      <c r="D67" s="37" t="s">
        <v>257</v>
      </c>
      <c r="E67" s="47"/>
      <c r="F67" s="48"/>
      <c r="G67" s="48"/>
      <c r="H67" s="59" t="s">
        <v>258</v>
      </c>
      <c r="I67" s="82"/>
      <c r="J67" s="83"/>
      <c r="K67" s="43"/>
      <c r="L67" s="43"/>
      <c r="M67" s="43"/>
      <c r="N67" s="43">
        <f t="shared" si="5"/>
        <v>0</v>
      </c>
      <c r="O67" s="43"/>
      <c r="P67" s="43"/>
      <c r="Q67" s="43">
        <f t="shared" si="1"/>
        <v>0</v>
      </c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57" t="s">
        <v>259</v>
      </c>
      <c r="C68" s="37" t="s">
        <v>260</v>
      </c>
      <c r="D68" s="99"/>
      <c r="E68" s="47"/>
      <c r="F68" s="48"/>
      <c r="G68" s="48"/>
      <c r="H68" s="59" t="s">
        <v>261</v>
      </c>
      <c r="I68" s="82"/>
      <c r="J68" s="83"/>
      <c r="K68" s="43"/>
      <c r="L68" s="43"/>
      <c r="M68" s="43"/>
      <c r="N68" s="43">
        <f t="shared" si="5"/>
        <v>0</v>
      </c>
      <c r="O68" s="43"/>
      <c r="P68" s="43"/>
      <c r="Q68" s="43">
        <f t="shared" si="1"/>
        <v>0</v>
      </c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68" t="s">
        <v>262</v>
      </c>
      <c r="C69" s="37" t="s">
        <v>263</v>
      </c>
      <c r="D69" s="37" t="s">
        <v>264</v>
      </c>
      <c r="E69" s="47"/>
      <c r="F69" s="48"/>
      <c r="G69" s="48"/>
      <c r="H69" s="52" t="s">
        <v>153</v>
      </c>
      <c r="I69" s="82"/>
      <c r="J69" s="87">
        <v>29.0</v>
      </c>
      <c r="K69" s="55">
        <v>25.0</v>
      </c>
      <c r="L69" s="55">
        <v>0.0</v>
      </c>
      <c r="M69" s="55">
        <v>0.0</v>
      </c>
      <c r="N69" s="43">
        <f t="shared" si="5"/>
        <v>0</v>
      </c>
      <c r="O69" s="55">
        <v>1.0</v>
      </c>
      <c r="P69" s="55">
        <v>4.0</v>
      </c>
      <c r="Q69" s="43">
        <f t="shared" si="1"/>
        <v>5</v>
      </c>
      <c r="R69" s="43"/>
      <c r="S69" s="43"/>
      <c r="T69" s="43"/>
      <c r="U69" s="43"/>
      <c r="V69" s="43"/>
      <c r="W69" s="56" t="s">
        <v>46</v>
      </c>
      <c r="Z69" s="61"/>
      <c r="AA69" s="61"/>
      <c r="AB69" s="66"/>
      <c r="AC69" s="34"/>
      <c r="AD69" s="34"/>
    </row>
    <row r="70" ht="13.5" customHeight="1">
      <c r="A70" s="28">
        <v>64.0</v>
      </c>
      <c r="B70" s="57" t="s">
        <v>265</v>
      </c>
      <c r="C70" s="37" t="s">
        <v>266</v>
      </c>
      <c r="D70" s="37" t="s">
        <v>267</v>
      </c>
      <c r="E70" s="47"/>
      <c r="F70" s="48"/>
      <c r="G70" s="48"/>
      <c r="H70" s="52" t="s">
        <v>268</v>
      </c>
      <c r="I70" s="82"/>
      <c r="J70" s="83"/>
      <c r="K70" s="43"/>
      <c r="L70" s="43"/>
      <c r="M70" s="43"/>
      <c r="N70" s="43">
        <f t="shared" si="5"/>
        <v>0</v>
      </c>
      <c r="O70" s="43"/>
      <c r="P70" s="43"/>
      <c r="Q70" s="43">
        <f t="shared" si="1"/>
        <v>0</v>
      </c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57" t="s">
        <v>269</v>
      </c>
      <c r="C71" s="37" t="s">
        <v>270</v>
      </c>
      <c r="D71" s="37" t="s">
        <v>271</v>
      </c>
      <c r="E71" s="47"/>
      <c r="F71" s="48"/>
      <c r="G71" s="48"/>
      <c r="H71" s="52" t="s">
        <v>272</v>
      </c>
      <c r="I71" s="82"/>
      <c r="J71" s="83"/>
      <c r="K71" s="43"/>
      <c r="L71" s="43"/>
      <c r="M71" s="43"/>
      <c r="N71" s="43">
        <f t="shared" si="5"/>
        <v>0</v>
      </c>
      <c r="O71" s="43"/>
      <c r="P71" s="43"/>
      <c r="Q71" s="43">
        <f t="shared" si="1"/>
        <v>0</v>
      </c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57" t="s">
        <v>273</v>
      </c>
      <c r="C72" s="37" t="s">
        <v>274</v>
      </c>
      <c r="D72" s="37" t="s">
        <v>275</v>
      </c>
      <c r="E72" s="47"/>
      <c r="F72" s="48"/>
      <c r="G72" s="48"/>
      <c r="H72" s="52" t="s">
        <v>276</v>
      </c>
      <c r="I72" s="82"/>
      <c r="J72" s="100">
        <v>28.0</v>
      </c>
      <c r="K72" s="95">
        <v>25.0</v>
      </c>
      <c r="L72" s="95">
        <v>0.0</v>
      </c>
      <c r="M72" s="95">
        <v>0.0</v>
      </c>
      <c r="N72" s="95">
        <f t="shared" si="5"/>
        <v>0</v>
      </c>
      <c r="O72" s="95">
        <v>4.0</v>
      </c>
      <c r="P72" s="95">
        <v>3.0</v>
      </c>
      <c r="Q72" s="95">
        <f t="shared" si="1"/>
        <v>7</v>
      </c>
      <c r="R72" s="43"/>
      <c r="S72" s="55" t="s">
        <v>277</v>
      </c>
      <c r="T72" s="43"/>
      <c r="U72" s="43"/>
      <c r="V72" s="43"/>
      <c r="W72" s="56" t="s">
        <v>46</v>
      </c>
      <c r="Z72" s="61"/>
      <c r="AA72" s="61"/>
      <c r="AB72" s="66"/>
      <c r="AC72" s="34"/>
      <c r="AD72" s="34"/>
    </row>
    <row r="73" ht="13.5" customHeight="1">
      <c r="A73" s="28">
        <v>67.0</v>
      </c>
      <c r="B73" s="57" t="s">
        <v>278</v>
      </c>
      <c r="C73" s="37" t="s">
        <v>279</v>
      </c>
      <c r="D73" s="37" t="s">
        <v>280</v>
      </c>
      <c r="E73" s="47"/>
      <c r="F73" s="48"/>
      <c r="G73" s="48"/>
      <c r="H73" s="52" t="s">
        <v>281</v>
      </c>
      <c r="I73" s="82"/>
      <c r="J73" s="87">
        <v>32.0</v>
      </c>
      <c r="K73" s="55">
        <v>0.0</v>
      </c>
      <c r="L73" s="55">
        <v>0.0</v>
      </c>
      <c r="M73" s="55">
        <v>0.0</v>
      </c>
      <c r="N73" s="43">
        <f t="shared" si="5"/>
        <v>0</v>
      </c>
      <c r="O73" s="55">
        <v>0.0</v>
      </c>
      <c r="P73" s="55">
        <v>3.0</v>
      </c>
      <c r="Q73" s="43">
        <f t="shared" si="1"/>
        <v>3</v>
      </c>
      <c r="R73" s="43"/>
      <c r="S73" s="43"/>
      <c r="T73" s="43"/>
      <c r="U73" s="43"/>
      <c r="V73" s="43"/>
      <c r="W73" s="56" t="s">
        <v>46</v>
      </c>
      <c r="Z73" s="61"/>
      <c r="AA73" s="61"/>
      <c r="AB73" s="66"/>
      <c r="AC73" s="34"/>
      <c r="AD73" s="34"/>
    </row>
    <row r="74" ht="13.5" customHeight="1">
      <c r="A74" s="28">
        <v>68.0</v>
      </c>
      <c r="B74" s="57" t="s">
        <v>282</v>
      </c>
      <c r="C74" s="37" t="s">
        <v>283</v>
      </c>
      <c r="D74" s="37" t="s">
        <v>284</v>
      </c>
      <c r="E74" s="47"/>
      <c r="F74" s="48"/>
      <c r="G74" s="48"/>
      <c r="H74" s="52" t="s">
        <v>281</v>
      </c>
      <c r="I74" s="82"/>
      <c r="J74" s="87">
        <v>24.0</v>
      </c>
      <c r="K74" s="55">
        <v>17.0</v>
      </c>
      <c r="L74" s="55">
        <v>0.0</v>
      </c>
      <c r="M74" s="55">
        <v>5.0</v>
      </c>
      <c r="N74" s="43">
        <f t="shared" si="5"/>
        <v>5</v>
      </c>
      <c r="O74" s="55">
        <v>8.0</v>
      </c>
      <c r="P74" s="55">
        <v>2.0</v>
      </c>
      <c r="Q74" s="43">
        <f t="shared" si="1"/>
        <v>15</v>
      </c>
      <c r="R74" s="43"/>
      <c r="S74" s="43"/>
      <c r="T74" s="43"/>
      <c r="U74" s="43"/>
      <c r="V74" s="43"/>
      <c r="W74" s="56" t="s">
        <v>46</v>
      </c>
      <c r="Z74" s="61"/>
      <c r="AA74" s="61"/>
      <c r="AB74" s="66"/>
      <c r="AC74" s="34"/>
      <c r="AD74" s="34"/>
    </row>
    <row r="75" ht="13.5" customHeight="1">
      <c r="A75" s="28">
        <v>69.0</v>
      </c>
      <c r="B75" s="57" t="s">
        <v>285</v>
      </c>
      <c r="C75" s="37" t="s">
        <v>286</v>
      </c>
      <c r="D75" s="37" t="s">
        <v>287</v>
      </c>
      <c r="E75" s="47"/>
      <c r="F75" s="48"/>
      <c r="G75" s="48"/>
      <c r="H75" s="52" t="s">
        <v>281</v>
      </c>
      <c r="I75" s="82"/>
      <c r="J75" s="101">
        <v>25.0</v>
      </c>
      <c r="K75" s="71">
        <v>24.0</v>
      </c>
      <c r="L75" s="71">
        <v>0.0</v>
      </c>
      <c r="M75" s="102">
        <v>1.0</v>
      </c>
      <c r="N75" s="71">
        <f t="shared" si="5"/>
        <v>1</v>
      </c>
      <c r="O75" s="71">
        <v>2.0</v>
      </c>
      <c r="P75" s="71">
        <v>0.0</v>
      </c>
      <c r="Q75" s="71">
        <f t="shared" si="1"/>
        <v>3</v>
      </c>
      <c r="R75" s="72"/>
      <c r="S75" s="72"/>
      <c r="T75" s="72"/>
      <c r="U75" s="72"/>
      <c r="V75" s="72"/>
      <c r="W75" s="98" t="s">
        <v>46</v>
      </c>
      <c r="Z75" s="61"/>
      <c r="AA75" s="61"/>
      <c r="AB75" s="66"/>
      <c r="AC75" s="34"/>
      <c r="AD75" s="34"/>
    </row>
    <row r="76" ht="13.5" customHeight="1">
      <c r="A76" s="28">
        <v>70.0</v>
      </c>
      <c r="B76" s="57" t="s">
        <v>288</v>
      </c>
      <c r="C76" s="37" t="s">
        <v>289</v>
      </c>
      <c r="D76" s="37" t="s">
        <v>290</v>
      </c>
      <c r="E76" s="47"/>
      <c r="F76" s="48"/>
      <c r="G76" s="48"/>
      <c r="H76" s="52" t="s">
        <v>281</v>
      </c>
      <c r="I76" s="53"/>
      <c r="J76" s="54">
        <v>31.0</v>
      </c>
      <c r="K76" s="55">
        <v>24.0</v>
      </c>
      <c r="L76" s="55">
        <v>0.0</v>
      </c>
      <c r="M76" s="55">
        <v>0.0</v>
      </c>
      <c r="N76" s="43">
        <f t="shared" si="5"/>
        <v>0</v>
      </c>
      <c r="O76" s="55">
        <v>1.0</v>
      </c>
      <c r="P76" s="55">
        <v>7.0</v>
      </c>
      <c r="Q76" s="43">
        <f t="shared" si="1"/>
        <v>8</v>
      </c>
      <c r="R76" s="43"/>
      <c r="S76" s="55" t="s">
        <v>277</v>
      </c>
      <c r="T76" s="43" t="s">
        <v>116</v>
      </c>
      <c r="U76" s="43"/>
      <c r="V76" s="43"/>
      <c r="W76" s="56" t="s">
        <v>46</v>
      </c>
      <c r="Z76" s="61"/>
      <c r="AA76" s="61"/>
      <c r="AB76" s="66"/>
      <c r="AC76" s="34"/>
      <c r="AD76" s="34"/>
    </row>
    <row r="77" ht="13.5" customHeight="1">
      <c r="A77" s="28">
        <v>71.0</v>
      </c>
      <c r="B77" s="57" t="s">
        <v>291</v>
      </c>
      <c r="C77" s="37" t="s">
        <v>292</v>
      </c>
      <c r="D77" s="37" t="s">
        <v>293</v>
      </c>
      <c r="E77" s="47"/>
      <c r="F77" s="48"/>
      <c r="G77" s="48"/>
      <c r="H77" s="59" t="s">
        <v>294</v>
      </c>
      <c r="I77" s="53"/>
      <c r="J77" s="54">
        <v>32.0</v>
      </c>
      <c r="K77" s="55">
        <v>29.0</v>
      </c>
      <c r="L77" s="55">
        <v>0.0</v>
      </c>
      <c r="M77" s="55">
        <v>0.0</v>
      </c>
      <c r="N77" s="43">
        <f t="shared" si="5"/>
        <v>0</v>
      </c>
      <c r="O77" s="55">
        <v>0.0</v>
      </c>
      <c r="P77" s="55">
        <v>3.0</v>
      </c>
      <c r="Q77" s="43">
        <f t="shared" si="1"/>
        <v>3</v>
      </c>
      <c r="R77" s="43"/>
      <c r="S77" s="55" t="s">
        <v>277</v>
      </c>
      <c r="T77" s="43"/>
      <c r="U77" s="43"/>
      <c r="V77" s="43"/>
      <c r="W77" s="56" t="s">
        <v>46</v>
      </c>
      <c r="Z77" s="61"/>
      <c r="AA77" s="61"/>
      <c r="AB77" s="66"/>
      <c r="AC77" s="34"/>
      <c r="AD77" s="34"/>
    </row>
    <row r="78" ht="13.5" customHeight="1">
      <c r="A78" s="28">
        <v>72.0</v>
      </c>
      <c r="B78" s="57" t="s">
        <v>295</v>
      </c>
      <c r="C78" s="37" t="s">
        <v>296</v>
      </c>
      <c r="D78" s="37" t="s">
        <v>297</v>
      </c>
      <c r="E78" s="47"/>
      <c r="F78" s="48"/>
      <c r="G78" s="48"/>
      <c r="H78" s="59" t="s">
        <v>298</v>
      </c>
      <c r="I78" s="53"/>
      <c r="J78" s="42"/>
      <c r="K78" s="43"/>
      <c r="L78" s="43"/>
      <c r="M78" s="43"/>
      <c r="N78" s="43">
        <f t="shared" si="5"/>
        <v>0</v>
      </c>
      <c r="O78" s="43"/>
      <c r="P78" s="43"/>
      <c r="Q78" s="43">
        <f t="shared" si="1"/>
        <v>0</v>
      </c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68" t="s">
        <v>299</v>
      </c>
      <c r="C79" s="37" t="s">
        <v>300</v>
      </c>
      <c r="D79" s="37" t="s">
        <v>301</v>
      </c>
      <c r="E79" s="47"/>
      <c r="F79" s="48"/>
      <c r="G79" s="48"/>
      <c r="H79" s="52" t="s">
        <v>298</v>
      </c>
      <c r="I79" s="53"/>
      <c r="J79" s="42"/>
      <c r="K79" s="43"/>
      <c r="L79" s="43"/>
      <c r="M79" s="43"/>
      <c r="N79" s="43">
        <f t="shared" si="5"/>
        <v>0</v>
      </c>
      <c r="O79" s="43"/>
      <c r="P79" s="43"/>
      <c r="Q79" s="43">
        <f t="shared" si="1"/>
        <v>0</v>
      </c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68" t="s">
        <v>302</v>
      </c>
      <c r="C80" s="37" t="s">
        <v>303</v>
      </c>
      <c r="D80" s="37" t="s">
        <v>304</v>
      </c>
      <c r="E80" s="47"/>
      <c r="F80" s="48"/>
      <c r="G80" s="48"/>
      <c r="H80" s="52" t="s">
        <v>251</v>
      </c>
      <c r="I80" s="53"/>
      <c r="J80" s="54">
        <v>29.0</v>
      </c>
      <c r="K80" s="55">
        <v>23.0</v>
      </c>
      <c r="L80" s="55">
        <v>0.0</v>
      </c>
      <c r="M80" s="55">
        <v>0.0</v>
      </c>
      <c r="N80" s="43">
        <f t="shared" si="5"/>
        <v>0</v>
      </c>
      <c r="O80" s="55">
        <v>3.0</v>
      </c>
      <c r="P80" s="55">
        <v>6.0</v>
      </c>
      <c r="Q80" s="43">
        <f t="shared" si="1"/>
        <v>9</v>
      </c>
      <c r="R80" s="43"/>
      <c r="S80" s="43"/>
      <c r="T80" s="43"/>
      <c r="U80" s="43"/>
      <c r="V80" s="43"/>
      <c r="W80" s="56" t="s">
        <v>46</v>
      </c>
      <c r="Z80" s="61"/>
      <c r="AA80" s="61"/>
      <c r="AB80" s="66"/>
      <c r="AC80" s="34"/>
      <c r="AD80" s="34"/>
    </row>
    <row r="81" ht="13.5" customHeight="1">
      <c r="A81" s="28">
        <v>75.0</v>
      </c>
      <c r="B81" s="68" t="s">
        <v>305</v>
      </c>
      <c r="C81" s="37" t="s">
        <v>306</v>
      </c>
      <c r="D81" s="37" t="s">
        <v>307</v>
      </c>
      <c r="E81" s="47"/>
      <c r="F81" s="48"/>
      <c r="G81" s="48"/>
      <c r="H81" s="52" t="s">
        <v>251</v>
      </c>
      <c r="I81" s="53"/>
      <c r="J81" s="54">
        <v>28.0</v>
      </c>
      <c r="K81" s="55">
        <v>28.0</v>
      </c>
      <c r="L81" s="55">
        <v>0.0</v>
      </c>
      <c r="M81" s="55">
        <v>0.0</v>
      </c>
      <c r="N81" s="43">
        <f t="shared" si="5"/>
        <v>0</v>
      </c>
      <c r="O81" s="55">
        <v>0.0</v>
      </c>
      <c r="P81" s="55">
        <v>0.0</v>
      </c>
      <c r="Q81" s="43">
        <f t="shared" si="1"/>
        <v>0</v>
      </c>
      <c r="R81" s="43"/>
      <c r="S81" s="43"/>
      <c r="T81" s="43"/>
      <c r="U81" s="43"/>
      <c r="V81" s="43"/>
      <c r="W81" s="56" t="s">
        <v>46</v>
      </c>
      <c r="Z81" s="61"/>
      <c r="AA81" s="61"/>
      <c r="AB81" s="66"/>
      <c r="AC81" s="34"/>
      <c r="AD81" s="34"/>
    </row>
    <row r="82" ht="13.5" customHeight="1">
      <c r="A82" s="28">
        <v>76.0</v>
      </c>
      <c r="B82" s="68" t="s">
        <v>308</v>
      </c>
      <c r="C82" s="37" t="s">
        <v>309</v>
      </c>
      <c r="D82" s="37" t="s">
        <v>310</v>
      </c>
      <c r="E82" s="47"/>
      <c r="F82" s="48"/>
      <c r="G82" s="48"/>
      <c r="H82" s="52" t="s">
        <v>251</v>
      </c>
      <c r="I82" s="53"/>
      <c r="J82" s="54">
        <v>29.0</v>
      </c>
      <c r="K82" s="55">
        <v>22.0</v>
      </c>
      <c r="L82" s="55">
        <v>0.0</v>
      </c>
      <c r="M82" s="55">
        <v>0.0</v>
      </c>
      <c r="N82" s="43">
        <f t="shared" si="5"/>
        <v>0</v>
      </c>
      <c r="O82" s="55">
        <v>3.0</v>
      </c>
      <c r="P82" s="55">
        <v>9.0</v>
      </c>
      <c r="Q82" s="43">
        <f t="shared" si="1"/>
        <v>12</v>
      </c>
      <c r="R82" s="43"/>
      <c r="S82" s="55" t="s">
        <v>88</v>
      </c>
      <c r="T82" s="43"/>
      <c r="U82" s="43"/>
      <c r="V82" s="43"/>
      <c r="W82" s="56" t="s">
        <v>46</v>
      </c>
      <c r="Z82" s="61"/>
      <c r="AA82" s="61"/>
      <c r="AB82" s="66"/>
      <c r="AC82" s="34"/>
      <c r="AD82" s="34"/>
    </row>
    <row r="83" ht="13.5" customHeight="1">
      <c r="A83" s="28">
        <v>77.0</v>
      </c>
      <c r="B83" s="68" t="s">
        <v>311</v>
      </c>
      <c r="C83" s="37" t="s">
        <v>312</v>
      </c>
      <c r="D83" s="37" t="s">
        <v>313</v>
      </c>
      <c r="E83" s="47"/>
      <c r="F83" s="48"/>
      <c r="G83" s="48"/>
      <c r="H83" s="59" t="s">
        <v>314</v>
      </c>
      <c r="I83" s="53"/>
      <c r="J83" s="42"/>
      <c r="K83" s="43"/>
      <c r="L83" s="43"/>
      <c r="M83" s="43"/>
      <c r="N83" s="43">
        <f t="shared" si="5"/>
        <v>0</v>
      </c>
      <c r="O83" s="43"/>
      <c r="P83" s="43"/>
      <c r="Q83" s="43">
        <f t="shared" si="1"/>
        <v>0</v>
      </c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68" t="s">
        <v>315</v>
      </c>
      <c r="C84" s="37" t="s">
        <v>316</v>
      </c>
      <c r="D84" s="37" t="s">
        <v>317</v>
      </c>
      <c r="E84" s="47"/>
      <c r="F84" s="48"/>
      <c r="G84" s="48"/>
      <c r="H84" s="59" t="s">
        <v>314</v>
      </c>
      <c r="I84" s="103"/>
      <c r="J84" s="104">
        <v>29.0</v>
      </c>
      <c r="K84" s="54">
        <v>24.0</v>
      </c>
      <c r="L84" s="55">
        <v>1.0</v>
      </c>
      <c r="M84" s="55">
        <v>0.0</v>
      </c>
      <c r="N84" s="43">
        <f t="shared" si="5"/>
        <v>1</v>
      </c>
      <c r="O84" s="55">
        <v>3.0</v>
      </c>
      <c r="P84" s="55">
        <v>4.0</v>
      </c>
      <c r="Q84" s="43">
        <f t="shared" si="1"/>
        <v>8</v>
      </c>
      <c r="R84" s="43"/>
      <c r="S84" s="43"/>
      <c r="T84" s="43"/>
      <c r="U84" s="43"/>
      <c r="V84" s="43"/>
      <c r="W84" s="56" t="s">
        <v>46</v>
      </c>
      <c r="Z84" s="61"/>
      <c r="AA84" s="61"/>
      <c r="AB84" s="66"/>
      <c r="AC84" s="34"/>
      <c r="AD84" s="34"/>
    </row>
    <row r="85" ht="13.5" customHeight="1">
      <c r="A85" s="28">
        <v>79.0</v>
      </c>
      <c r="B85" s="68" t="s">
        <v>318</v>
      </c>
      <c r="C85" s="37" t="s">
        <v>319</v>
      </c>
      <c r="D85" s="37" t="s">
        <v>250</v>
      </c>
      <c r="E85" s="47"/>
      <c r="F85" s="48"/>
      <c r="G85" s="48"/>
      <c r="H85" s="59" t="s">
        <v>314</v>
      </c>
      <c r="I85" s="53"/>
      <c r="J85" s="42"/>
      <c r="K85" s="43"/>
      <c r="L85" s="43"/>
      <c r="M85" s="43"/>
      <c r="N85" s="43">
        <f t="shared" si="5"/>
        <v>0</v>
      </c>
      <c r="O85" s="43"/>
      <c r="P85" s="43"/>
      <c r="Q85" s="43">
        <f t="shared" si="1"/>
        <v>0</v>
      </c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68" t="s">
        <v>320</v>
      </c>
      <c r="C86" s="37" t="s">
        <v>321</v>
      </c>
      <c r="D86" s="37" t="s">
        <v>322</v>
      </c>
      <c r="E86" s="47"/>
      <c r="F86" s="48"/>
      <c r="G86" s="48"/>
      <c r="H86" s="59" t="s">
        <v>314</v>
      </c>
      <c r="I86" s="53"/>
      <c r="J86" s="42"/>
      <c r="K86" s="43"/>
      <c r="L86" s="43"/>
      <c r="M86" s="43"/>
      <c r="N86" s="43">
        <f t="shared" si="5"/>
        <v>0</v>
      </c>
      <c r="O86" s="43"/>
      <c r="P86" s="43"/>
      <c r="Q86" s="43">
        <f t="shared" si="1"/>
        <v>0</v>
      </c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68" t="s">
        <v>323</v>
      </c>
      <c r="C87" s="37" t="s">
        <v>324</v>
      </c>
      <c r="D87" s="37" t="s">
        <v>325</v>
      </c>
      <c r="E87" s="47"/>
      <c r="F87" s="48"/>
      <c r="G87" s="48"/>
      <c r="H87" s="59" t="s">
        <v>314</v>
      </c>
      <c r="I87" s="53"/>
      <c r="J87" s="42"/>
      <c r="K87" s="43"/>
      <c r="L87" s="43"/>
      <c r="M87" s="43"/>
      <c r="N87" s="43">
        <f t="shared" si="5"/>
        <v>0</v>
      </c>
      <c r="O87" s="43"/>
      <c r="P87" s="43"/>
      <c r="Q87" s="43">
        <f t="shared" si="1"/>
        <v>0</v>
      </c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68" t="s">
        <v>166</v>
      </c>
      <c r="C88" s="37" t="s">
        <v>326</v>
      </c>
      <c r="D88" s="37" t="s">
        <v>327</v>
      </c>
      <c r="E88" s="53"/>
      <c r="F88" s="53"/>
      <c r="G88" s="53"/>
      <c r="H88" s="52" t="s">
        <v>328</v>
      </c>
      <c r="I88" s="105"/>
      <c r="J88" s="54">
        <v>28.0</v>
      </c>
      <c r="K88" s="55">
        <v>21.0</v>
      </c>
      <c r="L88" s="55">
        <v>0.0</v>
      </c>
      <c r="M88" s="55">
        <v>0.0</v>
      </c>
      <c r="N88" s="43">
        <f t="shared" si="5"/>
        <v>0</v>
      </c>
      <c r="O88" s="55">
        <v>4.0</v>
      </c>
      <c r="P88" s="55">
        <v>8.0</v>
      </c>
      <c r="Q88" s="43">
        <f t="shared" si="1"/>
        <v>12</v>
      </c>
      <c r="R88" s="43"/>
      <c r="S88" s="43"/>
      <c r="T88" s="43"/>
      <c r="U88" s="43"/>
      <c r="V88" s="43"/>
      <c r="W88" s="56" t="s">
        <v>46</v>
      </c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>
        <f t="shared" si="5"/>
        <v>0</v>
      </c>
      <c r="O89" s="43"/>
      <c r="P89" s="43"/>
      <c r="Q89" s="43">
        <f t="shared" si="1"/>
        <v>0</v>
      </c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>
        <f t="shared" si="5"/>
        <v>0</v>
      </c>
      <c r="O90" s="43"/>
      <c r="P90" s="43"/>
      <c r="Q90" s="43">
        <f t="shared" si="1"/>
        <v>0</v>
      </c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>
        <f t="shared" si="5"/>
        <v>0</v>
      </c>
      <c r="O91" s="43"/>
      <c r="P91" s="43"/>
      <c r="Q91" s="43">
        <f t="shared" si="1"/>
        <v>0</v>
      </c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>
        <f t="shared" si="5"/>
        <v>0</v>
      </c>
      <c r="O92" s="43"/>
      <c r="P92" s="43"/>
      <c r="Q92" s="43">
        <f t="shared" si="1"/>
        <v>0</v>
      </c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>
        <f t="shared" si="5"/>
        <v>0</v>
      </c>
      <c r="O93" s="43"/>
      <c r="P93" s="43"/>
      <c r="Q93" s="43">
        <f t="shared" si="1"/>
        <v>0</v>
      </c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>
        <f t="shared" si="5"/>
        <v>0</v>
      </c>
      <c r="O94" s="43"/>
      <c r="P94" s="43"/>
      <c r="Q94" s="43">
        <f t="shared" si="1"/>
        <v>0</v>
      </c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>
        <f t="shared" si="5"/>
        <v>0</v>
      </c>
      <c r="O95" s="43"/>
      <c r="P95" s="43"/>
      <c r="Q95" s="43">
        <f t="shared" si="1"/>
        <v>0</v>
      </c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>
        <f t="shared" si="5"/>
        <v>0</v>
      </c>
      <c r="O96" s="43"/>
      <c r="P96" s="43"/>
      <c r="Q96" s="43">
        <f t="shared" si="1"/>
        <v>0</v>
      </c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6">SUM(J7:J156)</f>
        <v>1272</v>
      </c>
      <c r="K157" s="123">
        <f t="shared" si="6"/>
        <v>1003</v>
      </c>
      <c r="L157" s="123">
        <f t="shared" si="6"/>
        <v>5</v>
      </c>
      <c r="M157" s="123">
        <f t="shared" si="6"/>
        <v>27</v>
      </c>
      <c r="N157" s="123">
        <f t="shared" si="6"/>
        <v>32</v>
      </c>
      <c r="O157" s="123">
        <f t="shared" si="6"/>
        <v>259</v>
      </c>
      <c r="P157" s="123">
        <f t="shared" si="6"/>
        <v>207</v>
      </c>
      <c r="Q157" s="123">
        <f t="shared" si="6"/>
        <v>498</v>
      </c>
      <c r="R157" s="124"/>
      <c r="S157" s="124"/>
      <c r="T157" s="125"/>
      <c r="U157" s="83"/>
      <c r="V157" s="83" t="s">
        <v>330</v>
      </c>
      <c r="W157" s="126">
        <f>countif(W7:W156,"YES")</f>
        <v>49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 t="s">
        <v>331</v>
      </c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9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T5:T6"/>
    <mergeCell ref="U5:U6"/>
    <mergeCell ref="V5:V6"/>
    <mergeCell ref="W5:W6"/>
    <mergeCell ref="AA6:AD6"/>
    <mergeCell ref="AA7:AC7"/>
    <mergeCell ref="AA8:AC8"/>
    <mergeCell ref="AA9:AC9"/>
    <mergeCell ref="I5:I6"/>
    <mergeCell ref="J5:J6"/>
    <mergeCell ref="K5:K6"/>
    <mergeCell ref="L5:P5"/>
    <mergeCell ref="Q5:Q6"/>
    <mergeCell ref="R5:R6"/>
    <mergeCell ref="S5:S6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7.75"/>
    <col customWidth="1" min="3" max="3" width="17.25"/>
    <col customWidth="1" min="4" max="4" width="17.5"/>
    <col customWidth="1" min="5" max="5" width="12.25"/>
    <col customWidth="1" min="6" max="6" width="7.0"/>
    <col customWidth="1" min="7" max="7" width="11.88"/>
    <col customWidth="1" min="8" max="8" width="16.25"/>
    <col customWidth="1" min="9" max="9" width="16.5"/>
    <col customWidth="1" min="10" max="10" width="11.75"/>
    <col customWidth="1" min="11" max="11" width="11.0"/>
    <col customWidth="1" min="12" max="12" width="10.13"/>
    <col customWidth="1" min="13" max="13" width="15.38"/>
    <col customWidth="1" min="14" max="15" width="8.63"/>
    <col customWidth="1" min="16" max="16" width="6.38"/>
    <col customWidth="1" min="17" max="21" width="8.63"/>
    <col customWidth="1" min="22" max="22" width="16.75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32" t="s">
        <v>332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7" t="s">
        <v>333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7" t="s">
        <v>334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7">
        <v>5379716.0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335</v>
      </c>
      <c r="C7" s="37" t="s">
        <v>336</v>
      </c>
      <c r="D7" s="37" t="s">
        <v>337</v>
      </c>
      <c r="E7" s="133" t="s">
        <v>338</v>
      </c>
      <c r="F7" s="134">
        <v>47.0</v>
      </c>
      <c r="G7" s="134" t="s">
        <v>339</v>
      </c>
      <c r="H7" s="134" t="s">
        <v>340</v>
      </c>
      <c r="I7" s="134">
        <v>9.557057952E9</v>
      </c>
      <c r="J7" s="54">
        <v>21.0</v>
      </c>
      <c r="K7" s="55">
        <v>14.0</v>
      </c>
      <c r="L7" s="55">
        <v>0.0</v>
      </c>
      <c r="M7" s="55">
        <v>5.0</v>
      </c>
      <c r="N7" s="43">
        <f t="shared" ref="N7:N22" si="1">(L7+M7)</f>
        <v>5</v>
      </c>
      <c r="O7" s="55">
        <v>9.0</v>
      </c>
      <c r="P7" s="55">
        <v>2.0</v>
      </c>
      <c r="Q7" s="43">
        <f t="shared" ref="Q7:Q22" si="2">(N7+O7+P7)</f>
        <v>16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341</v>
      </c>
      <c r="C8" s="37" t="s">
        <v>342</v>
      </c>
      <c r="D8" s="37" t="s">
        <v>205</v>
      </c>
      <c r="E8" s="133" t="s">
        <v>338</v>
      </c>
      <c r="F8" s="134">
        <v>55.0</v>
      </c>
      <c r="G8" s="134" t="s">
        <v>339</v>
      </c>
      <c r="H8" s="134" t="s">
        <v>343</v>
      </c>
      <c r="I8" s="134">
        <v>9.178809992E9</v>
      </c>
      <c r="J8" s="54">
        <v>16.0</v>
      </c>
      <c r="K8" s="55">
        <v>8.0</v>
      </c>
      <c r="L8" s="55">
        <v>0.0</v>
      </c>
      <c r="M8" s="55">
        <v>0.0</v>
      </c>
      <c r="N8" s="43">
        <f t="shared" si="1"/>
        <v>0</v>
      </c>
      <c r="O8" s="55">
        <v>16.0</v>
      </c>
      <c r="P8" s="55">
        <v>8.0</v>
      </c>
      <c r="Q8" s="43">
        <f t="shared" si="2"/>
        <v>24</v>
      </c>
      <c r="R8" s="43"/>
      <c r="S8" s="55" t="s">
        <v>344</v>
      </c>
      <c r="T8" s="43"/>
      <c r="U8" s="55" t="s">
        <v>345</v>
      </c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135" t="s">
        <v>346</v>
      </c>
      <c r="C9" s="37" t="s">
        <v>347</v>
      </c>
      <c r="D9" s="37" t="s">
        <v>348</v>
      </c>
      <c r="E9" s="133" t="s">
        <v>338</v>
      </c>
      <c r="F9" s="134">
        <v>56.0</v>
      </c>
      <c r="G9" s="134" t="s">
        <v>339</v>
      </c>
      <c r="H9" s="134" t="s">
        <v>349</v>
      </c>
      <c r="I9" s="134">
        <v>9.554002855E9</v>
      </c>
      <c r="J9" s="54">
        <v>26.0</v>
      </c>
      <c r="K9" s="55">
        <v>20.0</v>
      </c>
      <c r="L9" s="55">
        <v>0.0</v>
      </c>
      <c r="M9" s="55">
        <v>5.0</v>
      </c>
      <c r="N9" s="43">
        <f t="shared" si="1"/>
        <v>5</v>
      </c>
      <c r="O9" s="55">
        <v>2.0</v>
      </c>
      <c r="P9" s="55">
        <v>1.0</v>
      </c>
      <c r="Q9" s="43">
        <f t="shared" si="2"/>
        <v>8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135" t="s">
        <v>350</v>
      </c>
      <c r="C10" s="37" t="s">
        <v>351</v>
      </c>
      <c r="D10" s="37" t="s">
        <v>352</v>
      </c>
      <c r="E10" s="133" t="s">
        <v>338</v>
      </c>
      <c r="F10" s="134">
        <v>44.0</v>
      </c>
      <c r="G10" s="134" t="s">
        <v>339</v>
      </c>
      <c r="H10" s="134" t="s">
        <v>343</v>
      </c>
      <c r="I10" s="134">
        <v>9.515858238E9</v>
      </c>
      <c r="J10" s="54">
        <v>27.0</v>
      </c>
      <c r="K10" s="55">
        <v>21.0</v>
      </c>
      <c r="L10" s="55">
        <v>0.0</v>
      </c>
      <c r="M10" s="55">
        <v>0.0</v>
      </c>
      <c r="N10" s="43">
        <f t="shared" si="1"/>
        <v>0</v>
      </c>
      <c r="O10" s="55">
        <v>4.0</v>
      </c>
      <c r="P10" s="55">
        <v>4.0</v>
      </c>
      <c r="Q10" s="43">
        <f t="shared" si="2"/>
        <v>8</v>
      </c>
      <c r="R10" s="43"/>
      <c r="S10" s="55" t="s">
        <v>277</v>
      </c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135" t="s">
        <v>353</v>
      </c>
      <c r="C11" s="37" t="s">
        <v>354</v>
      </c>
      <c r="D11" s="37" t="s">
        <v>355</v>
      </c>
      <c r="E11" s="133" t="s">
        <v>338</v>
      </c>
      <c r="F11" s="134">
        <v>34.0</v>
      </c>
      <c r="G11" s="134" t="s">
        <v>339</v>
      </c>
      <c r="H11" s="134" t="s">
        <v>343</v>
      </c>
      <c r="I11" s="134">
        <v>9.956525581E9</v>
      </c>
      <c r="J11" s="54">
        <v>27.0</v>
      </c>
      <c r="K11" s="55">
        <v>27.0</v>
      </c>
      <c r="L11" s="55">
        <v>0.0</v>
      </c>
      <c r="M11" s="55">
        <v>0.0</v>
      </c>
      <c r="N11" s="43">
        <f t="shared" si="1"/>
        <v>0</v>
      </c>
      <c r="O11" s="55">
        <v>1.0</v>
      </c>
      <c r="P11" s="55">
        <v>0.0</v>
      </c>
      <c r="Q11" s="43">
        <f t="shared" si="2"/>
        <v>1</v>
      </c>
      <c r="R11" s="43"/>
      <c r="S11" s="55" t="s">
        <v>277</v>
      </c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136" t="s">
        <v>356</v>
      </c>
      <c r="C12" s="37" t="s">
        <v>357</v>
      </c>
      <c r="D12" s="37" t="s">
        <v>358</v>
      </c>
      <c r="E12" s="133" t="s">
        <v>338</v>
      </c>
      <c r="F12" s="134">
        <v>53.0</v>
      </c>
      <c r="G12" s="134" t="s">
        <v>339</v>
      </c>
      <c r="H12" s="134" t="s">
        <v>349</v>
      </c>
      <c r="I12" s="134">
        <v>9.622174265E9</v>
      </c>
      <c r="J12" s="54">
        <v>25.0</v>
      </c>
      <c r="K12" s="55">
        <v>22.0</v>
      </c>
      <c r="L12" s="55">
        <v>0.0</v>
      </c>
      <c r="M12" s="55">
        <v>0.0</v>
      </c>
      <c r="N12" s="43">
        <f t="shared" si="1"/>
        <v>0</v>
      </c>
      <c r="O12" s="55">
        <v>3.0</v>
      </c>
      <c r="P12" s="55">
        <v>2.0</v>
      </c>
      <c r="Q12" s="43">
        <f t="shared" si="2"/>
        <v>5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44</v>
      </c>
    </row>
    <row r="13" ht="13.5" customHeight="1">
      <c r="A13" s="28">
        <v>7.0</v>
      </c>
      <c r="B13" s="137" t="s">
        <v>359</v>
      </c>
      <c r="C13" s="37" t="s">
        <v>360</v>
      </c>
      <c r="D13" s="37" t="s">
        <v>361</v>
      </c>
      <c r="E13" s="133" t="s">
        <v>338</v>
      </c>
      <c r="F13" s="134">
        <v>43.0</v>
      </c>
      <c r="G13" s="134" t="s">
        <v>362</v>
      </c>
      <c r="H13" s="134" t="s">
        <v>363</v>
      </c>
      <c r="I13" s="134">
        <v>9.067690921E9</v>
      </c>
      <c r="J13" s="54">
        <v>21.0</v>
      </c>
      <c r="K13" s="55">
        <v>14.0</v>
      </c>
      <c r="L13" s="55">
        <v>0.0</v>
      </c>
      <c r="M13" s="55">
        <v>2.0</v>
      </c>
      <c r="N13" s="43">
        <f t="shared" si="1"/>
        <v>2</v>
      </c>
      <c r="O13" s="55">
        <v>11.0</v>
      </c>
      <c r="P13" s="55">
        <v>4.0</v>
      </c>
      <c r="Q13" s="43">
        <f t="shared" si="2"/>
        <v>17</v>
      </c>
      <c r="R13" s="43"/>
      <c r="S13" s="55" t="s">
        <v>101</v>
      </c>
      <c r="T13" s="43"/>
      <c r="U13" s="55" t="s">
        <v>364</v>
      </c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135" t="s">
        <v>365</v>
      </c>
      <c r="C14" s="37" t="s">
        <v>366</v>
      </c>
      <c r="D14" s="37" t="s">
        <v>367</v>
      </c>
      <c r="E14" s="133" t="s">
        <v>338</v>
      </c>
      <c r="F14" s="134">
        <v>45.0</v>
      </c>
      <c r="G14" s="134" t="s">
        <v>339</v>
      </c>
      <c r="H14" s="134" t="s">
        <v>368</v>
      </c>
      <c r="I14" s="134">
        <v>9.605314881E9</v>
      </c>
      <c r="J14" s="54">
        <v>28.0</v>
      </c>
      <c r="K14" s="55">
        <v>18.0</v>
      </c>
      <c r="L14" s="55">
        <v>0.0</v>
      </c>
      <c r="M14" s="55">
        <v>0.0</v>
      </c>
      <c r="N14" s="43">
        <f t="shared" si="1"/>
        <v>0</v>
      </c>
      <c r="O14" s="55">
        <v>4.0</v>
      </c>
      <c r="P14" s="55">
        <v>10.0</v>
      </c>
      <c r="Q14" s="43">
        <f t="shared" si="2"/>
        <v>14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135" t="s">
        <v>369</v>
      </c>
      <c r="C15" s="37" t="s">
        <v>370</v>
      </c>
      <c r="D15" s="37" t="s">
        <v>371</v>
      </c>
      <c r="E15" s="133" t="s">
        <v>338</v>
      </c>
      <c r="F15" s="134">
        <v>38.0</v>
      </c>
      <c r="G15" s="134" t="s">
        <v>339</v>
      </c>
      <c r="H15" s="134" t="s">
        <v>349</v>
      </c>
      <c r="I15" s="134">
        <v>9.163037325E9</v>
      </c>
      <c r="J15" s="54">
        <v>9.0</v>
      </c>
      <c r="K15" s="55">
        <v>3.0</v>
      </c>
      <c r="L15" s="55">
        <v>4.0</v>
      </c>
      <c r="M15" s="55">
        <v>0.0</v>
      </c>
      <c r="N15" s="43">
        <f t="shared" si="1"/>
        <v>4</v>
      </c>
      <c r="O15" s="55">
        <v>23.0</v>
      </c>
      <c r="P15" s="55">
        <v>2.0</v>
      </c>
      <c r="Q15" s="43">
        <f t="shared" si="2"/>
        <v>29</v>
      </c>
      <c r="R15" s="43"/>
      <c r="S15" s="55" t="s">
        <v>88</v>
      </c>
      <c r="T15" s="43"/>
      <c r="U15" s="43"/>
      <c r="V15" s="43"/>
      <c r="W15" s="56" t="s">
        <v>46</v>
      </c>
      <c r="X15" s="138" t="s">
        <v>116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135" t="s">
        <v>372</v>
      </c>
      <c r="C16" s="37" t="s">
        <v>373</v>
      </c>
      <c r="D16" s="37" t="s">
        <v>374</v>
      </c>
      <c r="E16" s="133" t="s">
        <v>338</v>
      </c>
      <c r="F16" s="134">
        <v>34.0</v>
      </c>
      <c r="G16" s="134" t="s">
        <v>339</v>
      </c>
      <c r="H16" s="134" t="s">
        <v>343</v>
      </c>
      <c r="I16" s="134">
        <v>9.053040724E9</v>
      </c>
      <c r="J16" s="54">
        <v>30.0</v>
      </c>
      <c r="K16" s="55">
        <v>23.0</v>
      </c>
      <c r="L16" s="55">
        <v>0.0</v>
      </c>
      <c r="M16" s="55">
        <v>1.0</v>
      </c>
      <c r="N16" s="43">
        <f t="shared" si="1"/>
        <v>1</v>
      </c>
      <c r="O16" s="55">
        <v>2.0</v>
      </c>
      <c r="P16" s="55">
        <v>6.0</v>
      </c>
      <c r="Q16" s="43">
        <f t="shared" si="2"/>
        <v>9</v>
      </c>
      <c r="R16" s="43"/>
      <c r="S16" s="43"/>
      <c r="T16" s="43"/>
      <c r="U16" s="43"/>
      <c r="V16" s="55" t="s">
        <v>375</v>
      </c>
      <c r="W16" s="56" t="s">
        <v>46</v>
      </c>
      <c r="Z16" s="34"/>
      <c r="AA16" s="65" t="s">
        <v>79</v>
      </c>
      <c r="AB16" s="66">
        <f>COUNTIF(S7:S157, "CDU")</f>
        <v>3</v>
      </c>
      <c r="AC16" s="34"/>
      <c r="AD16" s="34"/>
    </row>
    <row r="17" ht="13.5" customHeight="1">
      <c r="A17" s="28">
        <v>11.0</v>
      </c>
      <c r="B17" s="135" t="s">
        <v>376</v>
      </c>
      <c r="C17" s="37" t="s">
        <v>377</v>
      </c>
      <c r="D17" s="37" t="s">
        <v>378</v>
      </c>
      <c r="E17" s="133" t="s">
        <v>338</v>
      </c>
      <c r="F17" s="134">
        <v>42.0</v>
      </c>
      <c r="G17" s="134" t="s">
        <v>339</v>
      </c>
      <c r="H17" s="134" t="s">
        <v>349</v>
      </c>
      <c r="I17" s="134">
        <v>9.543986212E9</v>
      </c>
      <c r="J17" s="54">
        <v>27.0</v>
      </c>
      <c r="K17" s="55">
        <v>14.0</v>
      </c>
      <c r="L17" s="55">
        <v>3.0</v>
      </c>
      <c r="M17" s="55">
        <v>9.0</v>
      </c>
      <c r="N17" s="43">
        <f t="shared" si="1"/>
        <v>12</v>
      </c>
      <c r="O17" s="55">
        <v>5.0</v>
      </c>
      <c r="P17" s="55">
        <v>1.0</v>
      </c>
      <c r="Q17" s="43">
        <f t="shared" si="2"/>
        <v>18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139" t="s">
        <v>379</v>
      </c>
      <c r="C18" s="37" t="s">
        <v>380</v>
      </c>
      <c r="D18" s="37" t="s">
        <v>381</v>
      </c>
      <c r="E18" s="133" t="s">
        <v>338</v>
      </c>
      <c r="F18" s="134">
        <v>41.0</v>
      </c>
      <c r="G18" s="134" t="s">
        <v>339</v>
      </c>
      <c r="H18" s="134" t="s">
        <v>349</v>
      </c>
      <c r="I18" s="134">
        <v>9.201335195E9</v>
      </c>
      <c r="J18" s="54">
        <v>21.0</v>
      </c>
      <c r="K18" s="55">
        <v>13.0</v>
      </c>
      <c r="L18" s="55">
        <v>1.0</v>
      </c>
      <c r="M18" s="55">
        <v>7.0</v>
      </c>
      <c r="N18" s="43">
        <f t="shared" si="1"/>
        <v>8</v>
      </c>
      <c r="O18" s="55">
        <v>10.0</v>
      </c>
      <c r="P18" s="55">
        <v>1.0</v>
      </c>
      <c r="Q18" s="43">
        <f t="shared" si="2"/>
        <v>19</v>
      </c>
      <c r="R18" s="43"/>
      <c r="S18" s="55" t="s">
        <v>88</v>
      </c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7</v>
      </c>
      <c r="AC18" s="34"/>
      <c r="AD18" s="34"/>
    </row>
    <row r="19" ht="13.5" customHeight="1">
      <c r="A19" s="28">
        <v>13.0</v>
      </c>
      <c r="B19" s="140" t="s">
        <v>382</v>
      </c>
      <c r="C19" s="37" t="s">
        <v>383</v>
      </c>
      <c r="D19" s="37" t="s">
        <v>384</v>
      </c>
      <c r="E19" s="133" t="s">
        <v>338</v>
      </c>
      <c r="F19" s="134">
        <v>34.0</v>
      </c>
      <c r="G19" s="134" t="s">
        <v>385</v>
      </c>
      <c r="H19" s="134" t="s">
        <v>343</v>
      </c>
      <c r="I19" s="134">
        <v>9.154694712E9</v>
      </c>
      <c r="J19" s="54">
        <v>30.0</v>
      </c>
      <c r="K19" s="55">
        <v>29.0</v>
      </c>
      <c r="L19" s="55">
        <v>0.0</v>
      </c>
      <c r="M19" s="55">
        <v>1.0</v>
      </c>
      <c r="N19" s="43">
        <f t="shared" si="1"/>
        <v>1</v>
      </c>
      <c r="O19" s="55">
        <v>0.0</v>
      </c>
      <c r="P19" s="55">
        <v>0.0</v>
      </c>
      <c r="Q19" s="43">
        <f t="shared" si="2"/>
        <v>1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137" t="s">
        <v>386</v>
      </c>
      <c r="C20" s="37" t="s">
        <v>387</v>
      </c>
      <c r="D20" s="37" t="s">
        <v>388</v>
      </c>
      <c r="E20" s="133" t="s">
        <v>338</v>
      </c>
      <c r="F20" s="134">
        <v>52.0</v>
      </c>
      <c r="G20" s="134" t="s">
        <v>362</v>
      </c>
      <c r="H20" s="134" t="s">
        <v>343</v>
      </c>
      <c r="I20" s="134">
        <v>9.554314553E9</v>
      </c>
      <c r="J20" s="54">
        <v>17.0</v>
      </c>
      <c r="K20" s="55">
        <v>15.0</v>
      </c>
      <c r="L20" s="55">
        <v>0.0</v>
      </c>
      <c r="M20" s="55">
        <v>0.0</v>
      </c>
      <c r="N20" s="43">
        <f t="shared" si="1"/>
        <v>0</v>
      </c>
      <c r="O20" s="55">
        <v>15.0</v>
      </c>
      <c r="P20" s="55">
        <v>2.0</v>
      </c>
      <c r="Q20" s="43">
        <f t="shared" si="2"/>
        <v>17</v>
      </c>
      <c r="R20" s="43"/>
      <c r="S20" s="55" t="s">
        <v>88</v>
      </c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1</v>
      </c>
      <c r="AC20" s="34"/>
      <c r="AD20" s="34"/>
    </row>
    <row r="21" ht="15.75" customHeight="1">
      <c r="A21" s="28">
        <v>15.0</v>
      </c>
      <c r="B21" s="137" t="s">
        <v>389</v>
      </c>
      <c r="C21" s="37" t="s">
        <v>390</v>
      </c>
      <c r="D21" s="37" t="s">
        <v>391</v>
      </c>
      <c r="E21" s="133" t="s">
        <v>338</v>
      </c>
      <c r="F21" s="134">
        <v>45.0</v>
      </c>
      <c r="G21" s="134" t="s">
        <v>362</v>
      </c>
      <c r="H21" s="134" t="s">
        <v>349</v>
      </c>
      <c r="I21" s="134">
        <v>9.361577824E9</v>
      </c>
      <c r="J21" s="42"/>
      <c r="K21" s="43"/>
      <c r="L21" s="43"/>
      <c r="M21" s="43"/>
      <c r="N21" s="43">
        <f t="shared" si="1"/>
        <v>0</v>
      </c>
      <c r="O21" s="43"/>
      <c r="P21" s="43"/>
      <c r="Q21" s="43">
        <f t="shared" si="2"/>
        <v>0</v>
      </c>
      <c r="R21" s="43"/>
      <c r="S21" s="43"/>
      <c r="T21" s="43"/>
      <c r="U21" s="43"/>
      <c r="V21" s="43"/>
      <c r="W21" s="44"/>
      <c r="Z21" s="34"/>
      <c r="AA21" s="61" t="s">
        <v>101</v>
      </c>
      <c r="AB21" s="66">
        <f>COUNTIF(U7:U157, "JC")</f>
        <v>0</v>
      </c>
      <c r="AC21" s="34"/>
      <c r="AD21" s="34"/>
    </row>
    <row r="22" ht="15.75" customHeight="1">
      <c r="A22" s="28">
        <v>16.0</v>
      </c>
      <c r="B22" s="135" t="s">
        <v>392</v>
      </c>
      <c r="C22" s="37" t="s">
        <v>393</v>
      </c>
      <c r="D22" s="37" t="s">
        <v>394</v>
      </c>
      <c r="E22" s="133" t="s">
        <v>338</v>
      </c>
      <c r="F22" s="134">
        <v>36.0</v>
      </c>
      <c r="G22" s="134" t="s">
        <v>339</v>
      </c>
      <c r="H22" s="134" t="s">
        <v>349</v>
      </c>
      <c r="I22" s="134">
        <v>9.386544652E9</v>
      </c>
      <c r="J22" s="54">
        <v>17.0</v>
      </c>
      <c r="K22" s="55">
        <v>14.0</v>
      </c>
      <c r="L22" s="55">
        <v>0.0</v>
      </c>
      <c r="M22" s="55">
        <v>0.0</v>
      </c>
      <c r="N22" s="43">
        <f t="shared" si="1"/>
        <v>0</v>
      </c>
      <c r="O22" s="55">
        <v>15.0</v>
      </c>
      <c r="P22" s="55">
        <v>3.0</v>
      </c>
      <c r="Q22" s="43">
        <f t="shared" si="2"/>
        <v>18</v>
      </c>
      <c r="R22" s="43"/>
      <c r="S22" s="55" t="s">
        <v>88</v>
      </c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135" t="s">
        <v>395</v>
      </c>
      <c r="C23" s="37" t="s">
        <v>396</v>
      </c>
      <c r="D23" s="37" t="s">
        <v>397</v>
      </c>
      <c r="E23" s="133" t="s">
        <v>338</v>
      </c>
      <c r="F23" s="134">
        <v>27.0</v>
      </c>
      <c r="G23" s="134" t="s">
        <v>339</v>
      </c>
      <c r="H23" s="134" t="s">
        <v>349</v>
      </c>
      <c r="I23" s="134">
        <v>9.073962447E9</v>
      </c>
      <c r="J23" s="141">
        <v>27.0</v>
      </c>
      <c r="K23" s="95">
        <v>24.0</v>
      </c>
      <c r="L23" s="95">
        <v>0.0</v>
      </c>
      <c r="M23" s="95">
        <v>1.0</v>
      </c>
      <c r="N23" s="95">
        <f>L23+M23</f>
        <v>1</v>
      </c>
      <c r="O23" s="95">
        <v>5.0</v>
      </c>
      <c r="P23" s="95">
        <v>2.0</v>
      </c>
      <c r="Q23" s="95">
        <v>8.0</v>
      </c>
      <c r="R23" s="72"/>
      <c r="S23" s="72"/>
      <c r="T23" s="72"/>
      <c r="U23" s="72"/>
      <c r="V23" s="72"/>
      <c r="W23" s="98" t="s">
        <v>46</v>
      </c>
      <c r="Z23" s="34"/>
      <c r="AA23" s="61" t="s">
        <v>109</v>
      </c>
      <c r="AB23" s="66">
        <f>COUNTIF(S7:S157, "Ortho")</f>
        <v>2</v>
      </c>
      <c r="AC23" s="34"/>
      <c r="AD23" s="34"/>
    </row>
    <row r="24" ht="13.5" customHeight="1">
      <c r="A24" s="28">
        <v>18.0</v>
      </c>
      <c r="B24" s="135" t="s">
        <v>398</v>
      </c>
      <c r="C24" s="37" t="s">
        <v>399</v>
      </c>
      <c r="D24" s="37" t="s">
        <v>400</v>
      </c>
      <c r="E24" s="133" t="s">
        <v>338</v>
      </c>
      <c r="F24" s="134">
        <v>32.0</v>
      </c>
      <c r="G24" s="134" t="s">
        <v>385</v>
      </c>
      <c r="H24" s="134" t="s">
        <v>343</v>
      </c>
      <c r="I24" s="134">
        <v>9.16969983E9</v>
      </c>
      <c r="J24" s="54">
        <v>31.0</v>
      </c>
      <c r="K24" s="55">
        <v>26.0</v>
      </c>
      <c r="L24" s="55">
        <v>2.0</v>
      </c>
      <c r="M24" s="55">
        <v>3.0</v>
      </c>
      <c r="N24" s="43">
        <f t="shared" ref="N24:N55" si="3">(L24+M24)</f>
        <v>5</v>
      </c>
      <c r="O24" s="55">
        <v>0.0</v>
      </c>
      <c r="P24" s="55">
        <v>0.0</v>
      </c>
      <c r="Q24" s="43">
        <f t="shared" ref="Q24:Q55" si="4">(N24+O24+P24)</f>
        <v>5</v>
      </c>
      <c r="R24" s="43"/>
      <c r="S24" s="43"/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135" t="s">
        <v>401</v>
      </c>
      <c r="C25" s="37" t="s">
        <v>402</v>
      </c>
      <c r="D25" s="37" t="s">
        <v>403</v>
      </c>
      <c r="E25" s="133" t="s">
        <v>338</v>
      </c>
      <c r="F25" s="134">
        <v>55.0</v>
      </c>
      <c r="G25" s="134" t="s">
        <v>339</v>
      </c>
      <c r="H25" s="134" t="s">
        <v>404</v>
      </c>
      <c r="I25" s="134">
        <v>9.770565174E9</v>
      </c>
      <c r="J25" s="54">
        <v>15.0</v>
      </c>
      <c r="K25" s="55">
        <v>8.0</v>
      </c>
      <c r="L25" s="55">
        <v>0.0</v>
      </c>
      <c r="M25" s="55">
        <v>3.0</v>
      </c>
      <c r="N25" s="43">
        <f t="shared" si="3"/>
        <v>3</v>
      </c>
      <c r="O25" s="55">
        <v>17.0</v>
      </c>
      <c r="P25" s="55">
        <v>4.0</v>
      </c>
      <c r="Q25" s="43">
        <f t="shared" si="4"/>
        <v>24</v>
      </c>
      <c r="R25" s="43"/>
      <c r="S25" s="55" t="s">
        <v>88</v>
      </c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135" t="s">
        <v>405</v>
      </c>
      <c r="C26" s="37" t="s">
        <v>406</v>
      </c>
      <c r="D26" s="37" t="s">
        <v>407</v>
      </c>
      <c r="E26" s="133" t="s">
        <v>338</v>
      </c>
      <c r="F26" s="134">
        <v>40.0</v>
      </c>
      <c r="G26" s="134" t="s">
        <v>339</v>
      </c>
      <c r="H26" s="134" t="s">
        <v>349</v>
      </c>
      <c r="I26" s="134">
        <v>9.67340945E9</v>
      </c>
      <c r="J26" s="54">
        <v>24.0</v>
      </c>
      <c r="K26" s="55">
        <v>19.0</v>
      </c>
      <c r="L26" s="55">
        <v>0.0</v>
      </c>
      <c r="M26" s="55">
        <v>0.0</v>
      </c>
      <c r="N26" s="43">
        <f t="shared" si="3"/>
        <v>0</v>
      </c>
      <c r="O26" s="55">
        <v>8.0</v>
      </c>
      <c r="P26" s="55">
        <v>5.0</v>
      </c>
      <c r="Q26" s="43">
        <f t="shared" si="4"/>
        <v>13</v>
      </c>
      <c r="R26" s="43"/>
      <c r="S26" s="43"/>
      <c r="T26" s="43"/>
      <c r="U26" s="43"/>
      <c r="V26" s="55" t="s">
        <v>408</v>
      </c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135" t="s">
        <v>32</v>
      </c>
      <c r="C27" s="37" t="s">
        <v>409</v>
      </c>
      <c r="D27" s="37" t="s">
        <v>410</v>
      </c>
      <c r="E27" s="133" t="s">
        <v>338</v>
      </c>
      <c r="F27" s="134">
        <v>44.0</v>
      </c>
      <c r="G27" s="134" t="s">
        <v>339</v>
      </c>
      <c r="H27" s="134" t="s">
        <v>349</v>
      </c>
      <c r="I27" s="134">
        <v>9.498937071E9</v>
      </c>
      <c r="J27" s="54">
        <v>26.0</v>
      </c>
      <c r="K27" s="55">
        <v>19.0</v>
      </c>
      <c r="L27" s="55">
        <v>2.0</v>
      </c>
      <c r="M27" s="55">
        <v>1.0</v>
      </c>
      <c r="N27" s="43">
        <f t="shared" si="3"/>
        <v>3</v>
      </c>
      <c r="O27" s="55">
        <v>4.0</v>
      </c>
      <c r="P27" s="55">
        <v>4.0</v>
      </c>
      <c r="Q27" s="43">
        <f t="shared" si="4"/>
        <v>11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139" t="s">
        <v>32</v>
      </c>
      <c r="C28" s="37" t="s">
        <v>411</v>
      </c>
      <c r="D28" s="37" t="s">
        <v>412</v>
      </c>
      <c r="E28" s="133" t="s">
        <v>338</v>
      </c>
      <c r="F28" s="134">
        <v>50.0</v>
      </c>
      <c r="G28" s="134" t="s">
        <v>339</v>
      </c>
      <c r="H28" s="134" t="s">
        <v>349</v>
      </c>
      <c r="I28" s="134">
        <v>9.665269124E9</v>
      </c>
      <c r="J28" s="54">
        <v>9.0</v>
      </c>
      <c r="K28" s="55">
        <v>3.0</v>
      </c>
      <c r="L28" s="55">
        <v>1.0</v>
      </c>
      <c r="M28" s="55">
        <v>5.0</v>
      </c>
      <c r="N28" s="43">
        <f t="shared" si="3"/>
        <v>6</v>
      </c>
      <c r="O28" s="55">
        <v>23.0</v>
      </c>
      <c r="P28" s="55">
        <v>0.0</v>
      </c>
      <c r="Q28" s="43">
        <f t="shared" si="4"/>
        <v>29</v>
      </c>
      <c r="R28" s="43"/>
      <c r="S28" s="55" t="s">
        <v>97</v>
      </c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137" t="s">
        <v>413</v>
      </c>
      <c r="C29" s="37" t="s">
        <v>414</v>
      </c>
      <c r="D29" s="37" t="s">
        <v>415</v>
      </c>
      <c r="E29" s="133" t="s">
        <v>338</v>
      </c>
      <c r="F29" s="134">
        <v>36.0</v>
      </c>
      <c r="G29" s="134" t="s">
        <v>339</v>
      </c>
      <c r="H29" s="134" t="s">
        <v>349</v>
      </c>
      <c r="I29" s="134">
        <v>9.218655087E9</v>
      </c>
      <c r="J29" s="54">
        <v>23.0</v>
      </c>
      <c r="K29" s="55">
        <v>17.0</v>
      </c>
      <c r="L29" s="55">
        <v>0.0</v>
      </c>
      <c r="M29" s="55">
        <v>3.0</v>
      </c>
      <c r="N29" s="43">
        <f t="shared" si="3"/>
        <v>3</v>
      </c>
      <c r="O29" s="55">
        <v>9.0</v>
      </c>
      <c r="P29" s="55">
        <v>3.0</v>
      </c>
      <c r="Q29" s="43">
        <f t="shared" si="4"/>
        <v>15</v>
      </c>
      <c r="R29" s="43"/>
      <c r="S29" s="43"/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135" t="s">
        <v>416</v>
      </c>
      <c r="C30" s="37" t="s">
        <v>417</v>
      </c>
      <c r="D30" s="37" t="s">
        <v>418</v>
      </c>
      <c r="E30" s="133" t="s">
        <v>338</v>
      </c>
      <c r="F30" s="134">
        <v>55.0</v>
      </c>
      <c r="G30" s="134" t="s">
        <v>339</v>
      </c>
      <c r="H30" s="134" t="s">
        <v>349</v>
      </c>
      <c r="I30" s="134">
        <v>9.064777977E9</v>
      </c>
      <c r="J30" s="54">
        <v>26.0</v>
      </c>
      <c r="K30" s="55">
        <v>21.0</v>
      </c>
      <c r="L30" s="55">
        <v>0.0</v>
      </c>
      <c r="M30" s="55">
        <v>4.0</v>
      </c>
      <c r="N30" s="43">
        <f t="shared" si="3"/>
        <v>4</v>
      </c>
      <c r="O30" s="55">
        <v>4.0</v>
      </c>
      <c r="P30" s="55">
        <v>1.0</v>
      </c>
      <c r="Q30" s="43">
        <f t="shared" si="4"/>
        <v>9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135" t="s">
        <v>419</v>
      </c>
      <c r="C31" s="37" t="s">
        <v>420</v>
      </c>
      <c r="D31" s="37" t="s">
        <v>421</v>
      </c>
      <c r="E31" s="133" t="s">
        <v>338</v>
      </c>
      <c r="F31" s="134">
        <v>49.0</v>
      </c>
      <c r="G31" s="134" t="s">
        <v>339</v>
      </c>
      <c r="H31" s="134" t="s">
        <v>422</v>
      </c>
      <c r="I31" s="142"/>
      <c r="J31" s="54">
        <v>22.0</v>
      </c>
      <c r="K31" s="55">
        <v>11.0</v>
      </c>
      <c r="L31" s="55">
        <v>3.0</v>
      </c>
      <c r="M31" s="55">
        <v>8.0</v>
      </c>
      <c r="N31" s="43">
        <f t="shared" si="3"/>
        <v>11</v>
      </c>
      <c r="O31" s="55">
        <v>10.0</v>
      </c>
      <c r="P31" s="55">
        <v>0.0</v>
      </c>
      <c r="Q31" s="43">
        <f t="shared" si="4"/>
        <v>21</v>
      </c>
      <c r="R31" s="43"/>
      <c r="S31" s="55" t="s">
        <v>88</v>
      </c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135" t="s">
        <v>423</v>
      </c>
      <c r="C32" s="37" t="s">
        <v>424</v>
      </c>
      <c r="D32" s="37" t="s">
        <v>425</v>
      </c>
      <c r="E32" s="133" t="s">
        <v>338</v>
      </c>
      <c r="F32" s="134">
        <v>54.0</v>
      </c>
      <c r="G32" s="134" t="s">
        <v>339</v>
      </c>
      <c r="H32" s="134" t="s">
        <v>349</v>
      </c>
      <c r="I32" s="134">
        <v>9.684993217E9</v>
      </c>
      <c r="J32" s="54">
        <v>26.0</v>
      </c>
      <c r="K32" s="55">
        <v>18.0</v>
      </c>
      <c r="L32" s="55">
        <v>0.0</v>
      </c>
      <c r="M32" s="55">
        <v>8.0</v>
      </c>
      <c r="N32" s="43">
        <f t="shared" si="3"/>
        <v>8</v>
      </c>
      <c r="O32" s="55">
        <v>4.0</v>
      </c>
      <c r="P32" s="55">
        <v>0.0</v>
      </c>
      <c r="Q32" s="43">
        <f t="shared" si="4"/>
        <v>12</v>
      </c>
      <c r="R32" s="43"/>
      <c r="S32" s="43"/>
      <c r="T32" s="43"/>
      <c r="U32" s="43"/>
      <c r="V32" s="43"/>
      <c r="W32" s="56" t="s">
        <v>46</v>
      </c>
      <c r="Z32" s="61" t="s">
        <v>139</v>
      </c>
      <c r="AA32" s="61" t="s">
        <v>140</v>
      </c>
      <c r="AB32" s="66">
        <f>COUNTIF(T7:T157, "G")</f>
        <v>2</v>
      </c>
      <c r="AC32" s="34"/>
      <c r="AD32" s="34"/>
    </row>
    <row r="33" ht="13.5" customHeight="1">
      <c r="A33" s="28">
        <v>27.0</v>
      </c>
      <c r="B33" s="135" t="s">
        <v>426</v>
      </c>
      <c r="C33" s="37" t="s">
        <v>427</v>
      </c>
      <c r="D33" s="37" t="s">
        <v>428</v>
      </c>
      <c r="E33" s="133" t="s">
        <v>338</v>
      </c>
      <c r="F33" s="134">
        <v>55.0</v>
      </c>
      <c r="G33" s="134" t="s">
        <v>339</v>
      </c>
      <c r="H33" s="134" t="s">
        <v>349</v>
      </c>
      <c r="I33" s="134">
        <v>9.152840989E9</v>
      </c>
      <c r="J33" s="54">
        <v>20.0</v>
      </c>
      <c r="K33" s="55">
        <v>14.0</v>
      </c>
      <c r="L33" s="55">
        <v>0.0</v>
      </c>
      <c r="M33" s="55">
        <v>1.0</v>
      </c>
      <c r="N33" s="43">
        <f t="shared" si="3"/>
        <v>1</v>
      </c>
      <c r="O33" s="55">
        <v>12.0</v>
      </c>
      <c r="P33" s="55">
        <v>5.0</v>
      </c>
      <c r="Q33" s="43">
        <f t="shared" si="4"/>
        <v>18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135" t="s">
        <v>429</v>
      </c>
      <c r="C34" s="37" t="s">
        <v>430</v>
      </c>
      <c r="D34" s="37" t="s">
        <v>431</v>
      </c>
      <c r="E34" s="133" t="s">
        <v>338</v>
      </c>
      <c r="F34" s="134">
        <v>42.0</v>
      </c>
      <c r="G34" s="134" t="s">
        <v>339</v>
      </c>
      <c r="H34" s="134" t="s">
        <v>349</v>
      </c>
      <c r="I34" s="134">
        <v>9.059514726E9</v>
      </c>
      <c r="J34" s="54">
        <v>23.0</v>
      </c>
      <c r="K34" s="55">
        <v>17.0</v>
      </c>
      <c r="L34" s="55">
        <v>1.0</v>
      </c>
      <c r="M34" s="55">
        <v>5.0</v>
      </c>
      <c r="N34" s="43">
        <f t="shared" si="3"/>
        <v>6</v>
      </c>
      <c r="O34" s="55">
        <v>9.0</v>
      </c>
      <c r="P34" s="55">
        <v>0.0</v>
      </c>
      <c r="Q34" s="43">
        <f t="shared" si="4"/>
        <v>15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139" t="s">
        <v>432</v>
      </c>
      <c r="C35" s="37" t="s">
        <v>433</v>
      </c>
      <c r="D35" s="37" t="s">
        <v>434</v>
      </c>
      <c r="E35" s="133" t="s">
        <v>338</v>
      </c>
      <c r="F35" s="134">
        <v>32.0</v>
      </c>
      <c r="G35" s="134" t="s">
        <v>339</v>
      </c>
      <c r="H35" s="134" t="s">
        <v>435</v>
      </c>
      <c r="I35" s="134">
        <v>9.476331276E9</v>
      </c>
      <c r="J35" s="81"/>
      <c r="K35" s="43"/>
      <c r="L35" s="43"/>
      <c r="M35" s="43"/>
      <c r="N35" s="43">
        <f t="shared" si="3"/>
        <v>0</v>
      </c>
      <c r="O35" s="43"/>
      <c r="P35" s="43"/>
      <c r="Q35" s="43">
        <f t="shared" si="4"/>
        <v>0</v>
      </c>
      <c r="R35" s="43"/>
      <c r="S35" s="43"/>
      <c r="T35" s="43"/>
      <c r="U35" s="43"/>
      <c r="V35" s="43"/>
      <c r="W35" s="44"/>
      <c r="Z35" s="61"/>
      <c r="AA35" s="61"/>
      <c r="AB35" s="66"/>
      <c r="AC35" s="34"/>
      <c r="AD35" s="34"/>
    </row>
    <row r="36" ht="13.5" customHeight="1">
      <c r="A36" s="28">
        <v>30.0</v>
      </c>
      <c r="B36" s="143" t="s">
        <v>436</v>
      </c>
      <c r="C36" s="37" t="s">
        <v>437</v>
      </c>
      <c r="D36" s="37" t="s">
        <v>205</v>
      </c>
      <c r="E36" s="133" t="s">
        <v>338</v>
      </c>
      <c r="F36" s="134">
        <v>43.0</v>
      </c>
      <c r="G36" s="134" t="s">
        <v>339</v>
      </c>
      <c r="H36" s="134" t="s">
        <v>349</v>
      </c>
      <c r="I36" s="134">
        <v>9.062712178E9</v>
      </c>
      <c r="J36" s="87">
        <v>32.0</v>
      </c>
      <c r="K36" s="55">
        <v>27.0</v>
      </c>
      <c r="L36" s="55">
        <v>0.0</v>
      </c>
      <c r="M36" s="55">
        <v>0.0</v>
      </c>
      <c r="N36" s="43">
        <f t="shared" si="3"/>
        <v>0</v>
      </c>
      <c r="O36" s="55">
        <v>0.0</v>
      </c>
      <c r="P36" s="55">
        <v>5.0</v>
      </c>
      <c r="Q36" s="43">
        <f t="shared" si="4"/>
        <v>5</v>
      </c>
      <c r="R36" s="43"/>
      <c r="S36" s="43"/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135" t="s">
        <v>436</v>
      </c>
      <c r="C37" s="37" t="s">
        <v>438</v>
      </c>
      <c r="D37" s="37" t="s">
        <v>439</v>
      </c>
      <c r="E37" s="133" t="s">
        <v>338</v>
      </c>
      <c r="F37" s="134">
        <v>42.0</v>
      </c>
      <c r="G37" s="134" t="s">
        <v>339</v>
      </c>
      <c r="H37" s="134" t="s">
        <v>440</v>
      </c>
      <c r="I37" s="134">
        <v>9.431323131E9</v>
      </c>
      <c r="J37" s="83"/>
      <c r="K37" s="43"/>
      <c r="L37" s="43"/>
      <c r="M37" s="43"/>
      <c r="N37" s="43">
        <f t="shared" si="3"/>
        <v>0</v>
      </c>
      <c r="O37" s="43"/>
      <c r="P37" s="43"/>
      <c r="Q37" s="43">
        <f t="shared" si="4"/>
        <v>0</v>
      </c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135" t="s">
        <v>441</v>
      </c>
      <c r="C38" s="37" t="s">
        <v>442</v>
      </c>
      <c r="D38" s="37" t="s">
        <v>178</v>
      </c>
      <c r="E38" s="133" t="s">
        <v>338</v>
      </c>
      <c r="F38" s="142"/>
      <c r="G38" s="142"/>
      <c r="H38" s="142"/>
      <c r="I38" s="142"/>
      <c r="J38" s="87">
        <v>32.0</v>
      </c>
      <c r="K38" s="55">
        <v>26.0</v>
      </c>
      <c r="L38" s="55">
        <v>0.0</v>
      </c>
      <c r="M38" s="55">
        <v>0.0</v>
      </c>
      <c r="N38" s="43">
        <f t="shared" si="3"/>
        <v>0</v>
      </c>
      <c r="O38" s="55">
        <v>0.0</v>
      </c>
      <c r="P38" s="55">
        <v>6.0</v>
      </c>
      <c r="Q38" s="43">
        <f t="shared" si="4"/>
        <v>6</v>
      </c>
      <c r="R38" s="43"/>
      <c r="S38" s="43"/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135" t="s">
        <v>443</v>
      </c>
      <c r="C39" s="37" t="s">
        <v>444</v>
      </c>
      <c r="D39" s="37" t="s">
        <v>445</v>
      </c>
      <c r="E39" s="133" t="s">
        <v>338</v>
      </c>
      <c r="F39" s="134">
        <v>31.0</v>
      </c>
      <c r="G39" s="134" t="s">
        <v>339</v>
      </c>
      <c r="H39" s="134" t="s">
        <v>340</v>
      </c>
      <c r="I39" s="134">
        <v>9.064912691E9</v>
      </c>
      <c r="J39" s="87">
        <v>28.0</v>
      </c>
      <c r="K39" s="55">
        <v>22.0</v>
      </c>
      <c r="L39" s="55">
        <v>0.0</v>
      </c>
      <c r="M39" s="55">
        <v>0.0</v>
      </c>
      <c r="N39" s="43">
        <f t="shared" si="3"/>
        <v>0</v>
      </c>
      <c r="O39" s="55">
        <v>0.0</v>
      </c>
      <c r="P39" s="55">
        <v>6.0</v>
      </c>
      <c r="Q39" s="43">
        <f t="shared" si="4"/>
        <v>6</v>
      </c>
      <c r="R39" s="43"/>
      <c r="S39" s="43"/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135" t="s">
        <v>446</v>
      </c>
      <c r="C40" s="37" t="s">
        <v>447</v>
      </c>
      <c r="D40" s="37" t="s">
        <v>448</v>
      </c>
      <c r="E40" s="133" t="s">
        <v>338</v>
      </c>
      <c r="F40" s="134">
        <v>43.0</v>
      </c>
      <c r="G40" s="134" t="s">
        <v>385</v>
      </c>
      <c r="H40" s="134" t="s">
        <v>343</v>
      </c>
      <c r="I40" s="134">
        <v>9.16301018E9</v>
      </c>
      <c r="J40" s="87">
        <v>21.0</v>
      </c>
      <c r="K40" s="55">
        <v>20.0</v>
      </c>
      <c r="L40" s="55">
        <v>0.0</v>
      </c>
      <c r="M40" s="55">
        <v>1.0</v>
      </c>
      <c r="N40" s="43">
        <f t="shared" si="3"/>
        <v>1</v>
      </c>
      <c r="O40" s="55">
        <v>1.0</v>
      </c>
      <c r="P40" s="55">
        <v>0.0</v>
      </c>
      <c r="Q40" s="43">
        <f t="shared" si="4"/>
        <v>2</v>
      </c>
      <c r="R40" s="43"/>
      <c r="S40" s="43"/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135" t="s">
        <v>449</v>
      </c>
      <c r="C41" s="37" t="s">
        <v>450</v>
      </c>
      <c r="D41" s="37" t="s">
        <v>451</v>
      </c>
      <c r="E41" s="133" t="s">
        <v>338</v>
      </c>
      <c r="F41" s="134">
        <v>53.0</v>
      </c>
      <c r="G41" s="134" t="s">
        <v>362</v>
      </c>
      <c r="H41" s="134" t="s">
        <v>349</v>
      </c>
      <c r="I41" s="134">
        <v>9.532152003E9</v>
      </c>
      <c r="J41" s="87">
        <v>28.0</v>
      </c>
      <c r="K41" s="55">
        <v>28.0</v>
      </c>
      <c r="L41" s="55">
        <v>0.0</v>
      </c>
      <c r="M41" s="55">
        <v>0.0</v>
      </c>
      <c r="N41" s="43">
        <f t="shared" si="3"/>
        <v>0</v>
      </c>
      <c r="O41" s="55">
        <v>4.0</v>
      </c>
      <c r="P41" s="55">
        <v>0.0</v>
      </c>
      <c r="Q41" s="43">
        <f t="shared" si="4"/>
        <v>4</v>
      </c>
      <c r="R41" s="43"/>
      <c r="S41" s="43"/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135" t="s">
        <v>452</v>
      </c>
      <c r="C42" s="37" t="s">
        <v>453</v>
      </c>
      <c r="D42" s="37" t="s">
        <v>32</v>
      </c>
      <c r="E42" s="133" t="s">
        <v>338</v>
      </c>
      <c r="F42" s="134">
        <v>40.0</v>
      </c>
      <c r="G42" s="134" t="s">
        <v>339</v>
      </c>
      <c r="H42" s="134" t="s">
        <v>340</v>
      </c>
      <c r="I42" s="134">
        <v>9.067046753E9</v>
      </c>
      <c r="J42" s="87">
        <v>27.0</v>
      </c>
      <c r="K42" s="55">
        <v>14.0</v>
      </c>
      <c r="L42" s="55">
        <v>2.0</v>
      </c>
      <c r="M42" s="55">
        <v>4.0</v>
      </c>
      <c r="N42" s="43">
        <f t="shared" si="3"/>
        <v>6</v>
      </c>
      <c r="O42" s="55">
        <v>5.0</v>
      </c>
      <c r="P42" s="55">
        <v>7.0</v>
      </c>
      <c r="Q42" s="43">
        <f t="shared" si="4"/>
        <v>18</v>
      </c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139" t="s">
        <v>454</v>
      </c>
      <c r="C43" s="37" t="s">
        <v>455</v>
      </c>
      <c r="D43" s="37" t="s">
        <v>456</v>
      </c>
      <c r="E43" s="133" t="s">
        <v>338</v>
      </c>
      <c r="F43" s="134">
        <v>52.0</v>
      </c>
      <c r="G43" s="134" t="s">
        <v>339</v>
      </c>
      <c r="H43" s="134" t="s">
        <v>343</v>
      </c>
      <c r="I43" s="134">
        <v>9.653423782E9</v>
      </c>
      <c r="J43" s="87">
        <v>15.0</v>
      </c>
      <c r="K43" s="55">
        <v>11.0</v>
      </c>
      <c r="L43" s="55">
        <v>2.0</v>
      </c>
      <c r="M43" s="55">
        <v>1.0</v>
      </c>
      <c r="N43" s="43">
        <f t="shared" si="3"/>
        <v>3</v>
      </c>
      <c r="O43" s="55">
        <v>17.0</v>
      </c>
      <c r="P43" s="55">
        <v>1.0</v>
      </c>
      <c r="Q43" s="43">
        <f t="shared" si="4"/>
        <v>21</v>
      </c>
      <c r="R43" s="43"/>
      <c r="S43" s="55" t="s">
        <v>88</v>
      </c>
      <c r="T43" s="55" t="s">
        <v>140</v>
      </c>
      <c r="U43" s="43"/>
      <c r="V43" s="55" t="s">
        <v>457</v>
      </c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137" t="s">
        <v>458</v>
      </c>
      <c r="C44" s="37" t="s">
        <v>459</v>
      </c>
      <c r="D44" s="37" t="s">
        <v>454</v>
      </c>
      <c r="E44" s="133" t="s">
        <v>338</v>
      </c>
      <c r="F44" s="134">
        <v>42.0</v>
      </c>
      <c r="G44" s="134" t="s">
        <v>339</v>
      </c>
      <c r="H44" s="134" t="s">
        <v>349</v>
      </c>
      <c r="I44" s="134">
        <v>9.355233167E9</v>
      </c>
      <c r="J44" s="87">
        <v>25.0</v>
      </c>
      <c r="K44" s="55">
        <v>2.0</v>
      </c>
      <c r="L44" s="55">
        <v>2.0</v>
      </c>
      <c r="M44" s="55">
        <v>1.0</v>
      </c>
      <c r="N44" s="43">
        <f t="shared" si="3"/>
        <v>3</v>
      </c>
      <c r="O44" s="55">
        <v>7.0</v>
      </c>
      <c r="P44" s="55">
        <v>0.0</v>
      </c>
      <c r="Q44" s="43">
        <f t="shared" si="4"/>
        <v>10</v>
      </c>
      <c r="R44" s="43"/>
      <c r="S44" s="43"/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135" t="s">
        <v>460</v>
      </c>
      <c r="C45" s="37" t="s">
        <v>461</v>
      </c>
      <c r="D45" s="37" t="s">
        <v>462</v>
      </c>
      <c r="E45" s="133" t="s">
        <v>338</v>
      </c>
      <c r="F45" s="134">
        <v>32.0</v>
      </c>
      <c r="G45" s="134" t="s">
        <v>362</v>
      </c>
      <c r="H45" s="134" t="s">
        <v>349</v>
      </c>
      <c r="I45" s="134">
        <v>9.451438676E9</v>
      </c>
      <c r="J45" s="87">
        <v>7.0</v>
      </c>
      <c r="K45" s="55">
        <v>6.0</v>
      </c>
      <c r="L45" s="55">
        <v>1.0</v>
      </c>
      <c r="M45" s="55">
        <v>0.0</v>
      </c>
      <c r="N45" s="43">
        <f t="shared" si="3"/>
        <v>1</v>
      </c>
      <c r="O45" s="55">
        <v>25.0</v>
      </c>
      <c r="P45" s="55">
        <v>0.0</v>
      </c>
      <c r="Q45" s="43">
        <f t="shared" si="4"/>
        <v>26</v>
      </c>
      <c r="R45" s="43"/>
      <c r="S45" s="55" t="s">
        <v>79</v>
      </c>
      <c r="T45" s="43"/>
      <c r="U45" s="43"/>
      <c r="V45" s="43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135" t="s">
        <v>463</v>
      </c>
      <c r="C46" s="37" t="s">
        <v>464</v>
      </c>
      <c r="D46" s="37" t="s">
        <v>465</v>
      </c>
      <c r="E46" s="133" t="s">
        <v>338</v>
      </c>
      <c r="F46" s="134">
        <v>45.0</v>
      </c>
      <c r="G46" s="134" t="s">
        <v>385</v>
      </c>
      <c r="H46" s="134" t="s">
        <v>349</v>
      </c>
      <c r="I46" s="134">
        <v>9.605314859E9</v>
      </c>
      <c r="J46" s="87">
        <v>26.0</v>
      </c>
      <c r="K46" s="55">
        <v>20.0</v>
      </c>
      <c r="L46" s="55">
        <v>0.0</v>
      </c>
      <c r="M46" s="55">
        <v>5.0</v>
      </c>
      <c r="N46" s="43">
        <f t="shared" si="3"/>
        <v>5</v>
      </c>
      <c r="O46" s="55">
        <v>6.0</v>
      </c>
      <c r="P46" s="55">
        <v>0.0</v>
      </c>
      <c r="Q46" s="43">
        <f t="shared" si="4"/>
        <v>11</v>
      </c>
      <c r="R46" s="43"/>
      <c r="S46" s="43"/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135" t="s">
        <v>466</v>
      </c>
      <c r="C47" s="37" t="s">
        <v>467</v>
      </c>
      <c r="D47" s="37" t="s">
        <v>468</v>
      </c>
      <c r="E47" s="133" t="s">
        <v>338</v>
      </c>
      <c r="F47" s="134">
        <v>30.0</v>
      </c>
      <c r="G47" s="134" t="s">
        <v>385</v>
      </c>
      <c r="H47" s="134" t="s">
        <v>469</v>
      </c>
      <c r="I47" s="134">
        <v>9.089871956E9</v>
      </c>
      <c r="J47" s="87">
        <v>28.0</v>
      </c>
      <c r="K47" s="55">
        <v>25.0</v>
      </c>
      <c r="L47" s="55">
        <v>0.0</v>
      </c>
      <c r="M47" s="55">
        <v>0.0</v>
      </c>
      <c r="N47" s="43">
        <f t="shared" si="3"/>
        <v>0</v>
      </c>
      <c r="O47" s="55">
        <v>2.0</v>
      </c>
      <c r="P47" s="55">
        <v>3.0</v>
      </c>
      <c r="Q47" s="43">
        <f t="shared" si="4"/>
        <v>5</v>
      </c>
      <c r="R47" s="43"/>
      <c r="S47" s="43"/>
      <c r="T47" s="43"/>
      <c r="U47" s="43"/>
      <c r="V47" s="43"/>
      <c r="W47" s="56" t="s">
        <v>46</v>
      </c>
      <c r="Y47" s="138" t="s">
        <v>116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135" t="s">
        <v>470</v>
      </c>
      <c r="C48" s="37" t="s">
        <v>471</v>
      </c>
      <c r="D48" s="37" t="s">
        <v>472</v>
      </c>
      <c r="E48" s="133" t="s">
        <v>338</v>
      </c>
      <c r="F48" s="134">
        <v>59.0</v>
      </c>
      <c r="G48" s="134" t="s">
        <v>339</v>
      </c>
      <c r="H48" s="134" t="s">
        <v>349</v>
      </c>
      <c r="I48" s="134">
        <v>9.494253959E9</v>
      </c>
      <c r="J48" s="83"/>
      <c r="K48" s="43"/>
      <c r="L48" s="43"/>
      <c r="M48" s="43"/>
      <c r="N48" s="43">
        <f t="shared" si="3"/>
        <v>0</v>
      </c>
      <c r="O48" s="43"/>
      <c r="P48" s="43"/>
      <c r="Q48" s="43">
        <f t="shared" si="4"/>
        <v>0</v>
      </c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35" t="s">
        <v>473</v>
      </c>
      <c r="C49" s="37" t="s">
        <v>474</v>
      </c>
      <c r="D49" s="37" t="s">
        <v>475</v>
      </c>
      <c r="E49" s="133" t="s">
        <v>338</v>
      </c>
      <c r="F49" s="134">
        <v>46.0</v>
      </c>
      <c r="G49" s="134" t="s">
        <v>476</v>
      </c>
      <c r="H49" s="134" t="s">
        <v>349</v>
      </c>
      <c r="I49" s="134">
        <v>9.085659205E9</v>
      </c>
      <c r="J49" s="87">
        <v>21.0</v>
      </c>
      <c r="K49" s="55">
        <v>14.0</v>
      </c>
      <c r="L49" s="55">
        <v>0.0</v>
      </c>
      <c r="M49" s="55">
        <v>2.0</v>
      </c>
      <c r="N49" s="43">
        <f t="shared" si="3"/>
        <v>2</v>
      </c>
      <c r="O49" s="55">
        <v>11.0</v>
      </c>
      <c r="P49" s="55">
        <v>5.0</v>
      </c>
      <c r="Q49" s="43">
        <f t="shared" si="4"/>
        <v>18</v>
      </c>
      <c r="R49" s="43"/>
      <c r="S49" s="55" t="s">
        <v>237</v>
      </c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139" t="s">
        <v>477</v>
      </c>
      <c r="C50" s="37" t="s">
        <v>478</v>
      </c>
      <c r="D50" s="37" t="s">
        <v>479</v>
      </c>
      <c r="E50" s="133" t="s">
        <v>338</v>
      </c>
      <c r="F50" s="134">
        <v>26.0</v>
      </c>
      <c r="G50" s="134" t="s">
        <v>339</v>
      </c>
      <c r="H50" s="134" t="s">
        <v>480</v>
      </c>
      <c r="I50" s="134">
        <v>9.276770074E9</v>
      </c>
      <c r="J50" s="87">
        <v>27.0</v>
      </c>
      <c r="K50" s="55">
        <v>27.0</v>
      </c>
      <c r="L50" s="55">
        <v>0.0</v>
      </c>
      <c r="M50" s="55">
        <v>0.0</v>
      </c>
      <c r="N50" s="43">
        <f t="shared" si="3"/>
        <v>0</v>
      </c>
      <c r="O50" s="55">
        <v>5.0</v>
      </c>
      <c r="P50" s="55">
        <v>0.0</v>
      </c>
      <c r="Q50" s="43">
        <f t="shared" si="4"/>
        <v>5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143" t="s">
        <v>481</v>
      </c>
      <c r="C51" s="37" t="s">
        <v>482</v>
      </c>
      <c r="D51" s="37" t="s">
        <v>483</v>
      </c>
      <c r="E51" s="133" t="s">
        <v>338</v>
      </c>
      <c r="F51" s="134">
        <v>60.0</v>
      </c>
      <c r="G51" s="134" t="s">
        <v>339</v>
      </c>
      <c r="H51" s="134" t="s">
        <v>484</v>
      </c>
      <c r="I51" s="134">
        <v>9.569825669E9</v>
      </c>
      <c r="J51" s="87">
        <v>23.0</v>
      </c>
      <c r="K51" s="55">
        <v>16.0</v>
      </c>
      <c r="L51" s="55">
        <v>0.0</v>
      </c>
      <c r="M51" s="55">
        <v>1.0</v>
      </c>
      <c r="N51" s="43">
        <f t="shared" si="3"/>
        <v>1</v>
      </c>
      <c r="O51" s="55">
        <v>9.0</v>
      </c>
      <c r="P51" s="55">
        <v>6.0</v>
      </c>
      <c r="Q51" s="43">
        <f t="shared" si="4"/>
        <v>16</v>
      </c>
      <c r="R51" s="43"/>
      <c r="S51" s="43"/>
      <c r="T51" s="43"/>
      <c r="U51" s="43"/>
      <c r="V51" s="55" t="s">
        <v>485</v>
      </c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135" t="s">
        <v>486</v>
      </c>
      <c r="C52" s="37" t="s">
        <v>487</v>
      </c>
      <c r="D52" s="37" t="s">
        <v>488</v>
      </c>
      <c r="E52" s="133" t="s">
        <v>338</v>
      </c>
      <c r="F52" s="134">
        <v>58.0</v>
      </c>
      <c r="G52" s="134" t="s">
        <v>339</v>
      </c>
      <c r="H52" s="134" t="s">
        <v>349</v>
      </c>
      <c r="I52" s="134">
        <v>9.671763129E9</v>
      </c>
      <c r="J52" s="87">
        <v>8.0</v>
      </c>
      <c r="K52" s="55">
        <v>8.0</v>
      </c>
      <c r="L52" s="55">
        <v>0.0</v>
      </c>
      <c r="M52" s="55">
        <v>0.0</v>
      </c>
      <c r="N52" s="43">
        <f t="shared" si="3"/>
        <v>0</v>
      </c>
      <c r="O52" s="55">
        <v>24.0</v>
      </c>
      <c r="P52" s="55">
        <v>0.0</v>
      </c>
      <c r="Q52" s="43">
        <f t="shared" si="4"/>
        <v>24</v>
      </c>
      <c r="R52" s="43"/>
      <c r="S52" s="55" t="s">
        <v>79</v>
      </c>
      <c r="T52" s="43"/>
      <c r="U52" s="43"/>
      <c r="V52" s="43"/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47.0</v>
      </c>
      <c r="B53" s="135" t="s">
        <v>489</v>
      </c>
      <c r="C53" s="37" t="s">
        <v>490</v>
      </c>
      <c r="D53" s="37" t="s">
        <v>491</v>
      </c>
      <c r="E53" s="133" t="s">
        <v>338</v>
      </c>
      <c r="F53" s="134">
        <v>36.0</v>
      </c>
      <c r="G53" s="134" t="s">
        <v>339</v>
      </c>
      <c r="H53" s="134" t="s">
        <v>349</v>
      </c>
      <c r="I53" s="134">
        <v>9.283495458E9</v>
      </c>
      <c r="J53" s="87">
        <v>29.0</v>
      </c>
      <c r="K53" s="55">
        <v>27.0</v>
      </c>
      <c r="L53" s="55">
        <v>0.0</v>
      </c>
      <c r="M53" s="55">
        <v>2.0</v>
      </c>
      <c r="N53" s="43">
        <f t="shared" si="3"/>
        <v>2</v>
      </c>
      <c r="O53" s="55">
        <v>3.0</v>
      </c>
      <c r="P53" s="55">
        <v>0.0</v>
      </c>
      <c r="Q53" s="43">
        <f t="shared" si="4"/>
        <v>5</v>
      </c>
      <c r="R53" s="43"/>
      <c r="S53" s="43"/>
      <c r="T53" s="55" t="s">
        <v>140</v>
      </c>
      <c r="U53" s="43"/>
      <c r="V53" s="55" t="s">
        <v>457</v>
      </c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37" t="s">
        <v>492</v>
      </c>
      <c r="C54" s="37" t="s">
        <v>493</v>
      </c>
      <c r="D54" s="37" t="s">
        <v>494</v>
      </c>
      <c r="E54" s="133" t="s">
        <v>338</v>
      </c>
      <c r="F54" s="134">
        <v>58.0</v>
      </c>
      <c r="G54" s="134" t="s">
        <v>339</v>
      </c>
      <c r="H54" s="134" t="s">
        <v>349</v>
      </c>
      <c r="I54" s="134">
        <v>9.284581111E9</v>
      </c>
      <c r="J54" s="87">
        <v>9.0</v>
      </c>
      <c r="K54" s="55">
        <v>9.0</v>
      </c>
      <c r="L54" s="55">
        <v>0.0</v>
      </c>
      <c r="M54" s="55">
        <v>0.0</v>
      </c>
      <c r="N54" s="43">
        <f t="shared" si="3"/>
        <v>0</v>
      </c>
      <c r="O54" s="55">
        <v>23.0</v>
      </c>
      <c r="P54" s="55">
        <v>0.0</v>
      </c>
      <c r="Q54" s="43">
        <f t="shared" si="4"/>
        <v>23</v>
      </c>
      <c r="R54" s="43"/>
      <c r="S54" s="55" t="s">
        <v>79</v>
      </c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37" t="s">
        <v>495</v>
      </c>
      <c r="C55" s="37" t="s">
        <v>496</v>
      </c>
      <c r="D55" s="37" t="s">
        <v>250</v>
      </c>
      <c r="E55" s="133" t="s">
        <v>338</v>
      </c>
      <c r="F55" s="134">
        <v>40.0</v>
      </c>
      <c r="G55" s="134" t="s">
        <v>339</v>
      </c>
      <c r="H55" s="134" t="s">
        <v>480</v>
      </c>
      <c r="I55" s="134">
        <v>9.484463587E9</v>
      </c>
      <c r="J55" s="87">
        <v>27.0</v>
      </c>
      <c r="K55" s="55">
        <v>26.0</v>
      </c>
      <c r="L55" s="55">
        <v>0.0</v>
      </c>
      <c r="M55" s="55">
        <v>1.0</v>
      </c>
      <c r="N55" s="43">
        <f t="shared" si="3"/>
        <v>1</v>
      </c>
      <c r="O55" s="55">
        <v>5.0</v>
      </c>
      <c r="P55" s="55">
        <v>0.0</v>
      </c>
      <c r="Q55" s="43">
        <f t="shared" si="4"/>
        <v>6</v>
      </c>
      <c r="R55" s="43"/>
      <c r="S55" s="43"/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44" t="s">
        <v>497</v>
      </c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5">SUM(J7:J156)</f>
        <v>1027</v>
      </c>
      <c r="K157" s="123">
        <f t="shared" si="5"/>
        <v>780</v>
      </c>
      <c r="L157" s="123">
        <f t="shared" si="5"/>
        <v>24</v>
      </c>
      <c r="M157" s="123">
        <f t="shared" si="5"/>
        <v>90</v>
      </c>
      <c r="N157" s="123">
        <f t="shared" si="5"/>
        <v>114</v>
      </c>
      <c r="O157" s="123">
        <f t="shared" si="5"/>
        <v>372</v>
      </c>
      <c r="P157" s="123">
        <f t="shared" si="5"/>
        <v>109</v>
      </c>
      <c r="Q157" s="123">
        <f t="shared" si="5"/>
        <v>595</v>
      </c>
      <c r="R157" s="124"/>
      <c r="S157" s="124"/>
      <c r="T157" s="125"/>
      <c r="U157" s="145" t="s">
        <v>330</v>
      </c>
      <c r="V157" s="5"/>
      <c r="W157" s="126">
        <f>COUNTIF(W7:X156,"YES")</f>
        <v>44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Y159" s="138" t="s">
        <v>116</v>
      </c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21.5"/>
    <col customWidth="1" min="3" max="3" width="17.13"/>
    <col customWidth="1" min="4" max="4" width="17.25"/>
    <col customWidth="1" min="5" max="5" width="11.38"/>
    <col customWidth="1" min="6" max="6" width="8.63"/>
    <col customWidth="1" min="7" max="7" width="11.75"/>
    <col customWidth="1" min="8" max="8" width="16.0"/>
    <col customWidth="1" min="9" max="9" width="15.38"/>
    <col customWidth="1" min="10" max="10" width="11.88"/>
    <col customWidth="1" min="11" max="11" width="10.75"/>
    <col customWidth="1" min="12" max="12" width="14.75"/>
    <col customWidth="1" min="13" max="13" width="12.38"/>
    <col customWidth="1" min="14" max="21" width="8.63"/>
    <col customWidth="1" min="22" max="22" width="16.75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32" t="s">
        <v>498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7" t="s">
        <v>499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7" t="s">
        <v>500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148" t="s">
        <v>116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501</v>
      </c>
      <c r="C7" s="37" t="s">
        <v>502</v>
      </c>
      <c r="D7" s="37" t="s">
        <v>503</v>
      </c>
      <c r="E7" s="133" t="s">
        <v>338</v>
      </c>
      <c r="F7" s="134">
        <v>42.0</v>
      </c>
      <c r="G7" s="134" t="s">
        <v>476</v>
      </c>
      <c r="H7" s="134" t="s">
        <v>504</v>
      </c>
      <c r="I7" s="134">
        <v>9.994007166E9</v>
      </c>
      <c r="J7" s="54">
        <v>30.0</v>
      </c>
      <c r="K7" s="55">
        <v>20.0</v>
      </c>
      <c r="L7" s="55">
        <v>0.0</v>
      </c>
      <c r="M7" s="55">
        <v>2.0</v>
      </c>
      <c r="N7" s="43">
        <f t="shared" ref="N7:N16" si="1">L7+M7</f>
        <v>2</v>
      </c>
      <c r="O7" s="55">
        <v>2.0</v>
      </c>
      <c r="P7" s="55">
        <v>8.0</v>
      </c>
      <c r="Q7" s="43">
        <f t="shared" ref="Q7:Q46" si="2">(N7+O7+P7)</f>
        <v>12</v>
      </c>
      <c r="R7" s="43"/>
      <c r="S7" s="43"/>
      <c r="T7" s="43"/>
      <c r="U7" s="43"/>
      <c r="V7" s="149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505</v>
      </c>
      <c r="C8" s="37" t="s">
        <v>506</v>
      </c>
      <c r="D8" s="37" t="s">
        <v>507</v>
      </c>
      <c r="E8" s="133" t="s">
        <v>338</v>
      </c>
      <c r="F8" s="134">
        <v>43.0</v>
      </c>
      <c r="G8" s="134" t="s">
        <v>476</v>
      </c>
      <c r="H8" s="134" t="s">
        <v>508</v>
      </c>
      <c r="I8" s="150">
        <v>9.155166631E9</v>
      </c>
      <c r="J8" s="54">
        <v>24.0</v>
      </c>
      <c r="K8" s="55">
        <v>16.0</v>
      </c>
      <c r="L8" s="55">
        <v>0.0</v>
      </c>
      <c r="M8" s="55">
        <v>3.0</v>
      </c>
      <c r="N8" s="43">
        <f t="shared" si="1"/>
        <v>3</v>
      </c>
      <c r="O8" s="55">
        <v>8.0</v>
      </c>
      <c r="P8" s="55">
        <v>5.0</v>
      </c>
      <c r="Q8" s="43">
        <f t="shared" si="2"/>
        <v>16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151" t="s">
        <v>509</v>
      </c>
      <c r="C9" s="37" t="s">
        <v>510</v>
      </c>
      <c r="D9" s="37" t="s">
        <v>511</v>
      </c>
      <c r="E9" s="133" t="s">
        <v>338</v>
      </c>
      <c r="F9" s="134">
        <v>36.0</v>
      </c>
      <c r="G9" s="134" t="s">
        <v>476</v>
      </c>
      <c r="H9" s="134" t="s">
        <v>512</v>
      </c>
      <c r="I9" s="152">
        <v>9.270871097E9</v>
      </c>
      <c r="J9" s="54">
        <v>26.0</v>
      </c>
      <c r="K9" s="55">
        <v>18.0</v>
      </c>
      <c r="L9" s="55">
        <v>0.0</v>
      </c>
      <c r="M9" s="55">
        <v>2.0</v>
      </c>
      <c r="N9" s="43">
        <f t="shared" si="1"/>
        <v>2</v>
      </c>
      <c r="O9" s="55">
        <v>6.0</v>
      </c>
      <c r="P9" s="55">
        <v>6.0</v>
      </c>
      <c r="Q9" s="43">
        <f t="shared" si="2"/>
        <v>14</v>
      </c>
      <c r="R9" s="43"/>
      <c r="S9" s="43"/>
      <c r="T9" s="43"/>
      <c r="U9" s="43"/>
      <c r="V9" s="149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151" t="s">
        <v>513</v>
      </c>
      <c r="C10" s="37" t="s">
        <v>514</v>
      </c>
      <c r="D10" s="37" t="s">
        <v>515</v>
      </c>
      <c r="E10" s="133" t="s">
        <v>338</v>
      </c>
      <c r="F10" s="134">
        <v>47.0</v>
      </c>
      <c r="G10" s="134" t="s">
        <v>476</v>
      </c>
      <c r="H10" s="134" t="s">
        <v>512</v>
      </c>
      <c r="I10" s="152">
        <v>9.216164857E9</v>
      </c>
      <c r="J10" s="54">
        <v>19.0</v>
      </c>
      <c r="K10" s="55">
        <v>15.0</v>
      </c>
      <c r="L10" s="55">
        <v>0.0</v>
      </c>
      <c r="M10" s="55">
        <v>0.0</v>
      </c>
      <c r="N10" s="43">
        <f t="shared" si="1"/>
        <v>0</v>
      </c>
      <c r="O10" s="55">
        <v>13.0</v>
      </c>
      <c r="P10" s="55">
        <v>4.0</v>
      </c>
      <c r="Q10" s="43">
        <f t="shared" si="2"/>
        <v>17</v>
      </c>
      <c r="R10" s="43"/>
      <c r="S10" s="55" t="s">
        <v>88</v>
      </c>
      <c r="T10" s="43"/>
      <c r="U10" s="43"/>
      <c r="V10" s="15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154" t="s">
        <v>516</v>
      </c>
      <c r="C11" s="37" t="s">
        <v>517</v>
      </c>
      <c r="D11" s="37" t="s">
        <v>518</v>
      </c>
      <c r="E11" s="133" t="s">
        <v>338</v>
      </c>
      <c r="F11" s="134">
        <v>42.0</v>
      </c>
      <c r="G11" s="134" t="s">
        <v>476</v>
      </c>
      <c r="H11" s="134" t="s">
        <v>519</v>
      </c>
      <c r="I11" s="134">
        <v>9.253772148E9</v>
      </c>
      <c r="J11" s="42"/>
      <c r="K11" s="43"/>
      <c r="L11" s="43"/>
      <c r="M11" s="43"/>
      <c r="N11" s="43">
        <f t="shared" si="1"/>
        <v>0</v>
      </c>
      <c r="O11" s="43"/>
      <c r="P11" s="43"/>
      <c r="Q11" s="43">
        <f t="shared" si="2"/>
        <v>0</v>
      </c>
      <c r="R11" s="43"/>
      <c r="S11" s="43"/>
      <c r="T11" s="43"/>
      <c r="U11" s="43"/>
      <c r="V11" s="149"/>
      <c r="W11" s="44"/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155" t="s">
        <v>520</v>
      </c>
      <c r="C12" s="37" t="s">
        <v>521</v>
      </c>
      <c r="D12" s="37" t="s">
        <v>522</v>
      </c>
      <c r="E12" s="133" t="s">
        <v>338</v>
      </c>
      <c r="F12" s="134">
        <v>39.0</v>
      </c>
      <c r="G12" s="134" t="s">
        <v>476</v>
      </c>
      <c r="H12" s="134" t="s">
        <v>512</v>
      </c>
      <c r="I12" s="152">
        <v>9.61600213E9</v>
      </c>
      <c r="J12" s="54">
        <v>27.0</v>
      </c>
      <c r="K12" s="55">
        <v>18.0</v>
      </c>
      <c r="L12" s="55">
        <v>1.0</v>
      </c>
      <c r="M12" s="55">
        <v>2.0</v>
      </c>
      <c r="N12" s="43">
        <f t="shared" si="1"/>
        <v>3</v>
      </c>
      <c r="O12" s="55">
        <v>5.0</v>
      </c>
      <c r="P12" s="55">
        <v>6.0</v>
      </c>
      <c r="Q12" s="43">
        <f t="shared" si="2"/>
        <v>14</v>
      </c>
      <c r="R12" s="43"/>
      <c r="S12" s="55" t="s">
        <v>88</v>
      </c>
      <c r="T12" s="43"/>
      <c r="U12" s="43"/>
      <c r="V12" s="153"/>
      <c r="W12" s="56" t="s">
        <v>46</v>
      </c>
      <c r="Z12" s="34"/>
      <c r="AA12" s="60" t="s">
        <v>62</v>
      </c>
      <c r="AB12" s="58"/>
      <c r="AC12" s="58"/>
      <c r="AD12" s="46">
        <f>W157</f>
        <v>36</v>
      </c>
    </row>
    <row r="13" ht="13.5" customHeight="1">
      <c r="A13" s="28">
        <v>7.0</v>
      </c>
      <c r="B13" s="151" t="s">
        <v>523</v>
      </c>
      <c r="C13" s="37" t="s">
        <v>524</v>
      </c>
      <c r="D13" s="37" t="s">
        <v>525</v>
      </c>
      <c r="E13" s="133" t="s">
        <v>338</v>
      </c>
      <c r="F13" s="134">
        <v>31.0</v>
      </c>
      <c r="G13" s="134" t="s">
        <v>476</v>
      </c>
      <c r="H13" s="134" t="s">
        <v>512</v>
      </c>
      <c r="I13" s="134">
        <v>9.684997466E9</v>
      </c>
      <c r="J13" s="54">
        <v>27.0</v>
      </c>
      <c r="K13" s="55">
        <v>27.0</v>
      </c>
      <c r="L13" s="55">
        <v>0.0</v>
      </c>
      <c r="M13" s="55">
        <v>0.0</v>
      </c>
      <c r="N13" s="43">
        <f t="shared" si="1"/>
        <v>0</v>
      </c>
      <c r="O13" s="55">
        <v>5.0</v>
      </c>
      <c r="P13" s="55">
        <v>0.0</v>
      </c>
      <c r="Q13" s="43">
        <f t="shared" si="2"/>
        <v>5</v>
      </c>
      <c r="R13" s="43"/>
      <c r="S13" s="55" t="s">
        <v>277</v>
      </c>
      <c r="T13" s="43"/>
      <c r="U13" s="43"/>
      <c r="V13" s="15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151" t="s">
        <v>526</v>
      </c>
      <c r="C14" s="37" t="s">
        <v>527</v>
      </c>
      <c r="D14" s="37" t="s">
        <v>528</v>
      </c>
      <c r="E14" s="133" t="s">
        <v>338</v>
      </c>
      <c r="F14" s="134">
        <v>26.0</v>
      </c>
      <c r="G14" s="134" t="s">
        <v>476</v>
      </c>
      <c r="H14" s="134" t="s">
        <v>512</v>
      </c>
      <c r="I14" s="152">
        <v>9.755081078E9</v>
      </c>
      <c r="J14" s="54">
        <v>19.0</v>
      </c>
      <c r="K14" s="55">
        <v>13.0</v>
      </c>
      <c r="L14" s="55">
        <v>0.0</v>
      </c>
      <c r="M14" s="55">
        <v>1.0</v>
      </c>
      <c r="N14" s="43">
        <f t="shared" si="1"/>
        <v>1</v>
      </c>
      <c r="O14" s="55">
        <v>13.0</v>
      </c>
      <c r="P14" s="55">
        <v>5.0</v>
      </c>
      <c r="Q14" s="43">
        <f t="shared" si="2"/>
        <v>19</v>
      </c>
      <c r="R14" s="43"/>
      <c r="S14" s="55" t="s">
        <v>237</v>
      </c>
      <c r="T14" s="43"/>
      <c r="U14" s="43"/>
      <c r="V14" s="15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151" t="s">
        <v>529</v>
      </c>
      <c r="C15" s="37" t="s">
        <v>530</v>
      </c>
      <c r="D15" s="37" t="s">
        <v>531</v>
      </c>
      <c r="E15" s="133" t="s">
        <v>338</v>
      </c>
      <c r="F15" s="134">
        <v>35.0</v>
      </c>
      <c r="G15" s="134" t="s">
        <v>476</v>
      </c>
      <c r="H15" s="134" t="s">
        <v>512</v>
      </c>
      <c r="I15" s="134">
        <v>9.615548815E9</v>
      </c>
      <c r="J15" s="54">
        <v>26.0</v>
      </c>
      <c r="K15" s="55">
        <v>17.0</v>
      </c>
      <c r="L15" s="55">
        <v>0.0</v>
      </c>
      <c r="M15" s="55">
        <v>3.0</v>
      </c>
      <c r="N15" s="43">
        <f t="shared" si="1"/>
        <v>3</v>
      </c>
      <c r="O15" s="55">
        <v>4.0</v>
      </c>
      <c r="P15" s="55">
        <v>6.0</v>
      </c>
      <c r="Q15" s="43">
        <f t="shared" si="2"/>
        <v>13</v>
      </c>
      <c r="R15" s="43"/>
      <c r="S15" s="43"/>
      <c r="T15" s="43"/>
      <c r="U15" s="43"/>
      <c r="V15" s="149"/>
      <c r="W15" s="56" t="s">
        <v>46</v>
      </c>
      <c r="Z15" s="62"/>
      <c r="AA15" s="63" t="s">
        <v>74</v>
      </c>
      <c r="AB15" s="64">
        <f>COUNTIF(S7:S157, "CD")</f>
        <v>2</v>
      </c>
      <c r="AC15" s="62"/>
      <c r="AD15" s="62"/>
    </row>
    <row r="16" ht="13.5" customHeight="1">
      <c r="A16" s="28">
        <v>10.0</v>
      </c>
      <c r="B16" s="151" t="s">
        <v>532</v>
      </c>
      <c r="C16" s="37" t="s">
        <v>533</v>
      </c>
      <c r="D16" s="37" t="s">
        <v>534</v>
      </c>
      <c r="E16" s="133" t="s">
        <v>338</v>
      </c>
      <c r="F16" s="134">
        <v>38.0</v>
      </c>
      <c r="G16" s="134" t="s">
        <v>476</v>
      </c>
      <c r="H16" s="134" t="s">
        <v>535</v>
      </c>
      <c r="I16" s="152">
        <v>9.182710943E9</v>
      </c>
      <c r="J16" s="54">
        <v>14.0</v>
      </c>
      <c r="K16" s="55">
        <v>13.0</v>
      </c>
      <c r="L16" s="55">
        <v>0.0</v>
      </c>
      <c r="M16" s="55">
        <v>0.0</v>
      </c>
      <c r="N16" s="43">
        <f t="shared" si="1"/>
        <v>0</v>
      </c>
      <c r="O16" s="55">
        <v>18.0</v>
      </c>
      <c r="P16" s="55">
        <v>1.0</v>
      </c>
      <c r="Q16" s="43">
        <f t="shared" si="2"/>
        <v>19</v>
      </c>
      <c r="R16" s="43"/>
      <c r="S16" s="55" t="s">
        <v>88</v>
      </c>
      <c r="T16" s="43"/>
      <c r="U16" s="55"/>
      <c r="V16" s="15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156" t="s">
        <v>536</v>
      </c>
      <c r="C17" s="37" t="s">
        <v>537</v>
      </c>
      <c r="D17" s="37" t="s">
        <v>538</v>
      </c>
      <c r="E17" s="133" t="s">
        <v>338</v>
      </c>
      <c r="F17" s="134">
        <v>51.0</v>
      </c>
      <c r="G17" s="134" t="s">
        <v>476</v>
      </c>
      <c r="H17" s="134" t="s">
        <v>535</v>
      </c>
      <c r="I17" s="134">
        <v>9.684997469E9</v>
      </c>
      <c r="J17" s="54">
        <v>24.0</v>
      </c>
      <c r="K17" s="55">
        <v>21.0</v>
      </c>
      <c r="L17" s="55">
        <v>0.0</v>
      </c>
      <c r="M17" s="55">
        <v>1.0</v>
      </c>
      <c r="N17" s="43">
        <v>0.0</v>
      </c>
      <c r="O17" s="55">
        <v>8.0</v>
      </c>
      <c r="P17" s="55">
        <v>2.0</v>
      </c>
      <c r="Q17" s="43">
        <f t="shared" si="2"/>
        <v>10</v>
      </c>
      <c r="R17" s="43"/>
      <c r="S17" s="43"/>
      <c r="T17" s="43"/>
      <c r="U17" s="43"/>
      <c r="V17" s="149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157" t="s">
        <v>539</v>
      </c>
      <c r="C18" s="37" t="s">
        <v>540</v>
      </c>
      <c r="D18" s="158" t="s">
        <v>541</v>
      </c>
      <c r="E18" s="133" t="s">
        <v>338</v>
      </c>
      <c r="F18" s="134">
        <v>33.0</v>
      </c>
      <c r="G18" s="134" t="s">
        <v>476</v>
      </c>
      <c r="H18" s="134" t="s">
        <v>512</v>
      </c>
      <c r="I18" s="152">
        <v>9.505737535E9</v>
      </c>
      <c r="J18" s="54">
        <v>24.0</v>
      </c>
      <c r="K18" s="55">
        <v>23.0</v>
      </c>
      <c r="L18" s="55">
        <v>0.0</v>
      </c>
      <c r="M18" s="55">
        <v>1.0</v>
      </c>
      <c r="N18" s="43">
        <f t="shared" ref="N18:N46" si="3">L18+M18</f>
        <v>1</v>
      </c>
      <c r="O18" s="55">
        <v>8.0</v>
      </c>
      <c r="P18" s="55">
        <v>0.0</v>
      </c>
      <c r="Q18" s="43">
        <f t="shared" si="2"/>
        <v>9</v>
      </c>
      <c r="R18" s="43"/>
      <c r="S18" s="43"/>
      <c r="T18" s="43"/>
      <c r="U18" s="43"/>
      <c r="V18" s="149"/>
      <c r="W18" s="56" t="s">
        <v>46</v>
      </c>
      <c r="Z18" s="34"/>
      <c r="AA18" s="61" t="s">
        <v>88</v>
      </c>
      <c r="AB18" s="66">
        <f>COUNTIF(S7:S157, "RPDU")</f>
        <v>8</v>
      </c>
      <c r="AC18" s="34"/>
      <c r="AD18" s="34"/>
    </row>
    <row r="19" ht="13.5" customHeight="1">
      <c r="A19" s="28">
        <v>13.0</v>
      </c>
      <c r="B19" s="155" t="s">
        <v>542</v>
      </c>
      <c r="C19" s="37" t="s">
        <v>543</v>
      </c>
      <c r="D19" s="37" t="s">
        <v>544</v>
      </c>
      <c r="E19" s="133" t="s">
        <v>338</v>
      </c>
      <c r="F19" s="134">
        <v>31.0</v>
      </c>
      <c r="G19" s="134" t="s">
        <v>476</v>
      </c>
      <c r="H19" s="134" t="s">
        <v>512</v>
      </c>
      <c r="I19" s="152">
        <v>9.235385086E9</v>
      </c>
      <c r="J19" s="54">
        <v>32.0</v>
      </c>
      <c r="K19" s="55">
        <v>32.0</v>
      </c>
      <c r="L19" s="55">
        <v>0.0</v>
      </c>
      <c r="M19" s="55">
        <v>0.0</v>
      </c>
      <c r="N19" s="43">
        <f t="shared" si="3"/>
        <v>0</v>
      </c>
      <c r="O19" s="55">
        <v>0.0</v>
      </c>
      <c r="P19" s="55">
        <v>0.0</v>
      </c>
      <c r="Q19" s="43">
        <f t="shared" si="2"/>
        <v>0</v>
      </c>
      <c r="R19" s="43"/>
      <c r="S19" s="43"/>
      <c r="T19" s="43"/>
      <c r="U19" s="43"/>
      <c r="V19" s="149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159" t="s">
        <v>545</v>
      </c>
      <c r="C20" s="37" t="s">
        <v>546</v>
      </c>
      <c r="D20" s="37" t="s">
        <v>547</v>
      </c>
      <c r="E20" s="133" t="s">
        <v>338</v>
      </c>
      <c r="F20" s="134">
        <v>27.0</v>
      </c>
      <c r="G20" s="134" t="s">
        <v>476</v>
      </c>
      <c r="H20" s="134" t="s">
        <v>512</v>
      </c>
      <c r="I20" s="134">
        <v>9.618955791E9</v>
      </c>
      <c r="J20" s="54">
        <v>23.0</v>
      </c>
      <c r="K20" s="55">
        <v>14.0</v>
      </c>
      <c r="L20" s="55">
        <v>0.0</v>
      </c>
      <c r="M20" s="55">
        <v>0.0</v>
      </c>
      <c r="N20" s="43">
        <f t="shared" si="3"/>
        <v>0</v>
      </c>
      <c r="O20" s="55">
        <v>8.0</v>
      </c>
      <c r="P20" s="55">
        <v>9.0</v>
      </c>
      <c r="Q20" s="43">
        <f t="shared" si="2"/>
        <v>17</v>
      </c>
      <c r="R20" s="43"/>
      <c r="S20" s="55" t="s">
        <v>88</v>
      </c>
      <c r="T20" s="43"/>
      <c r="U20" s="43"/>
      <c r="V20" s="153"/>
      <c r="W20" s="56" t="s">
        <v>46</v>
      </c>
      <c r="Z20" s="34"/>
      <c r="AA20" s="61" t="s">
        <v>97</v>
      </c>
      <c r="AB20" s="66">
        <f>COUNTIF(S7:S157, "RPDUL")</f>
        <v>1</v>
      </c>
      <c r="AC20" s="34"/>
      <c r="AD20" s="34"/>
    </row>
    <row r="21" ht="13.5" customHeight="1">
      <c r="A21" s="28">
        <v>15.0</v>
      </c>
      <c r="B21" s="151" t="s">
        <v>548</v>
      </c>
      <c r="C21" s="37" t="s">
        <v>549</v>
      </c>
      <c r="D21" s="37" t="s">
        <v>544</v>
      </c>
      <c r="E21" s="133" t="s">
        <v>338</v>
      </c>
      <c r="F21" s="134">
        <v>32.0</v>
      </c>
      <c r="G21" s="134" t="s">
        <v>476</v>
      </c>
      <c r="H21" s="134" t="s">
        <v>512</v>
      </c>
      <c r="I21" s="152">
        <v>9.12474361E9</v>
      </c>
      <c r="J21" s="42"/>
      <c r="K21" s="43"/>
      <c r="L21" s="43"/>
      <c r="M21" s="43"/>
      <c r="N21" s="43">
        <f t="shared" si="3"/>
        <v>0</v>
      </c>
      <c r="O21" s="43"/>
      <c r="P21" s="43"/>
      <c r="Q21" s="43">
        <f t="shared" si="2"/>
        <v>0</v>
      </c>
      <c r="R21" s="43"/>
      <c r="S21" s="43"/>
      <c r="T21" s="43"/>
      <c r="U21" s="43"/>
      <c r="V21" s="149"/>
      <c r="W21" s="44"/>
      <c r="Z21" s="34"/>
      <c r="AA21" s="61" t="s">
        <v>101</v>
      </c>
      <c r="AB21" s="66">
        <f>COUNTIF(U7:U157, "JC")</f>
        <v>1</v>
      </c>
      <c r="AC21" s="34"/>
      <c r="AD21" s="34"/>
    </row>
    <row r="22" ht="13.5" customHeight="1">
      <c r="A22" s="28">
        <v>16.0</v>
      </c>
      <c r="B22" s="151" t="s">
        <v>550</v>
      </c>
      <c r="C22" s="37" t="s">
        <v>551</v>
      </c>
      <c r="D22" s="37" t="s">
        <v>552</v>
      </c>
      <c r="E22" s="133" t="s">
        <v>338</v>
      </c>
      <c r="F22" s="134">
        <v>57.0</v>
      </c>
      <c r="G22" s="134" t="s">
        <v>476</v>
      </c>
      <c r="H22" s="134" t="s">
        <v>553</v>
      </c>
      <c r="I22" s="134">
        <v>9.605314762E9</v>
      </c>
      <c r="J22" s="54">
        <v>0.0</v>
      </c>
      <c r="K22" s="55">
        <v>0.0</v>
      </c>
      <c r="L22" s="55">
        <v>0.0</v>
      </c>
      <c r="M22" s="55">
        <v>0.0</v>
      </c>
      <c r="N22" s="43">
        <f t="shared" si="3"/>
        <v>0</v>
      </c>
      <c r="O22" s="55">
        <v>32.0</v>
      </c>
      <c r="P22" s="55">
        <v>0.0</v>
      </c>
      <c r="Q22" s="43">
        <f t="shared" si="2"/>
        <v>32</v>
      </c>
      <c r="R22" s="43"/>
      <c r="S22" s="55" t="s">
        <v>74</v>
      </c>
      <c r="T22" s="43"/>
      <c r="U22" s="43"/>
      <c r="V22" s="15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151" t="s">
        <v>554</v>
      </c>
      <c r="C23" s="37" t="s">
        <v>555</v>
      </c>
      <c r="D23" s="37" t="s">
        <v>556</v>
      </c>
      <c r="E23" s="133" t="s">
        <v>338</v>
      </c>
      <c r="F23" s="134">
        <v>46.0</v>
      </c>
      <c r="G23" s="134" t="s">
        <v>476</v>
      </c>
      <c r="H23" s="134" t="s">
        <v>512</v>
      </c>
      <c r="I23" s="152">
        <v>9.366847051E9</v>
      </c>
      <c r="J23" s="54">
        <v>31.0</v>
      </c>
      <c r="K23" s="55">
        <v>29.0</v>
      </c>
      <c r="L23" s="55">
        <v>1.0</v>
      </c>
      <c r="M23" s="55">
        <v>1.0</v>
      </c>
      <c r="N23" s="43">
        <f t="shared" si="3"/>
        <v>2</v>
      </c>
      <c r="O23" s="55">
        <v>1.0</v>
      </c>
      <c r="P23" s="55">
        <v>0.0</v>
      </c>
      <c r="Q23" s="43">
        <f t="shared" si="2"/>
        <v>3</v>
      </c>
      <c r="R23" s="43"/>
      <c r="S23" s="43"/>
      <c r="T23" s="43"/>
      <c r="U23" s="43"/>
      <c r="V23" s="149"/>
      <c r="W23" s="56" t="s">
        <v>46</v>
      </c>
      <c r="Z23" s="34"/>
      <c r="AA23" s="61" t="s">
        <v>109</v>
      </c>
      <c r="AB23" s="66">
        <f>COUNTIF(S7:S157, "Ortho")</f>
        <v>2</v>
      </c>
      <c r="AC23" s="34"/>
      <c r="AD23" s="34"/>
    </row>
    <row r="24" ht="13.5" customHeight="1">
      <c r="A24" s="28">
        <v>18.0</v>
      </c>
      <c r="B24" s="151" t="s">
        <v>557</v>
      </c>
      <c r="C24" s="37" t="s">
        <v>558</v>
      </c>
      <c r="D24" s="37" t="s">
        <v>559</v>
      </c>
      <c r="E24" s="133" t="s">
        <v>338</v>
      </c>
      <c r="F24" s="134">
        <v>41.0</v>
      </c>
      <c r="G24" s="134" t="s">
        <v>476</v>
      </c>
      <c r="H24" s="134" t="s">
        <v>512</v>
      </c>
      <c r="I24" s="134">
        <v>9.223168017E9</v>
      </c>
      <c r="J24" s="54">
        <v>25.0</v>
      </c>
      <c r="K24" s="55">
        <v>20.0</v>
      </c>
      <c r="L24" s="55">
        <v>0.0</v>
      </c>
      <c r="M24" s="55">
        <v>2.0</v>
      </c>
      <c r="N24" s="43">
        <f t="shared" si="3"/>
        <v>2</v>
      </c>
      <c r="O24" s="55">
        <v>7.0</v>
      </c>
      <c r="P24" s="55">
        <v>3.0</v>
      </c>
      <c r="Q24" s="43">
        <f t="shared" si="2"/>
        <v>12</v>
      </c>
      <c r="R24" s="43"/>
      <c r="S24" s="43"/>
      <c r="T24" s="43"/>
      <c r="U24" s="43" t="s">
        <v>116</v>
      </c>
      <c r="V24" s="149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151" t="s">
        <v>560</v>
      </c>
      <c r="C25" s="37" t="s">
        <v>561</v>
      </c>
      <c r="D25" s="37" t="s">
        <v>562</v>
      </c>
      <c r="E25" s="133" t="s">
        <v>338</v>
      </c>
      <c r="F25" s="134">
        <v>32.0</v>
      </c>
      <c r="G25" s="134" t="s">
        <v>476</v>
      </c>
      <c r="H25" s="134" t="s">
        <v>512</v>
      </c>
      <c r="I25" s="152">
        <v>9.397848309E9</v>
      </c>
      <c r="J25" s="54">
        <v>30.0</v>
      </c>
      <c r="K25" s="55">
        <v>20.0</v>
      </c>
      <c r="L25" s="55">
        <v>0.0</v>
      </c>
      <c r="M25" s="55">
        <v>9.0</v>
      </c>
      <c r="N25" s="43">
        <f t="shared" si="3"/>
        <v>9</v>
      </c>
      <c r="O25" s="55">
        <v>2.0</v>
      </c>
      <c r="P25" s="55">
        <v>1.0</v>
      </c>
      <c r="Q25" s="43">
        <f t="shared" si="2"/>
        <v>12</v>
      </c>
      <c r="R25" s="43"/>
      <c r="S25" s="43"/>
      <c r="T25" s="43"/>
      <c r="U25" s="43"/>
      <c r="V25" s="149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156" t="s">
        <v>563</v>
      </c>
      <c r="C26" s="37" t="s">
        <v>564</v>
      </c>
      <c r="D26" s="37" t="s">
        <v>565</v>
      </c>
      <c r="E26" s="133" t="s">
        <v>338</v>
      </c>
      <c r="F26" s="134">
        <v>34.0</v>
      </c>
      <c r="G26" s="134" t="s">
        <v>476</v>
      </c>
      <c r="H26" s="134" t="s">
        <v>566</v>
      </c>
      <c r="I26" s="134">
        <v>9.230821992E9</v>
      </c>
      <c r="J26" s="54">
        <v>28.0</v>
      </c>
      <c r="K26" s="55">
        <v>24.0</v>
      </c>
      <c r="L26" s="55">
        <v>0.0</v>
      </c>
      <c r="M26" s="55">
        <v>4.0</v>
      </c>
      <c r="N26" s="43">
        <f t="shared" si="3"/>
        <v>4</v>
      </c>
      <c r="O26" s="55">
        <v>2.0</v>
      </c>
      <c r="P26" s="55">
        <v>0.0</v>
      </c>
      <c r="Q26" s="43">
        <f t="shared" si="2"/>
        <v>6</v>
      </c>
      <c r="R26" s="43"/>
      <c r="S26" s="43"/>
      <c r="T26" s="43"/>
      <c r="U26" s="43"/>
      <c r="V26" s="149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155" t="s">
        <v>567</v>
      </c>
      <c r="C27" s="37" t="s">
        <v>568</v>
      </c>
      <c r="D27" s="37" t="s">
        <v>569</v>
      </c>
      <c r="E27" s="133" t="s">
        <v>338</v>
      </c>
      <c r="F27" s="134">
        <v>56.0</v>
      </c>
      <c r="G27" s="134" t="s">
        <v>476</v>
      </c>
      <c r="H27" s="134" t="s">
        <v>535</v>
      </c>
      <c r="I27" s="152">
        <v>9.307769719E9</v>
      </c>
      <c r="J27" s="54">
        <v>23.0</v>
      </c>
      <c r="K27" s="55">
        <v>14.0</v>
      </c>
      <c r="L27" s="55">
        <v>0.0</v>
      </c>
      <c r="M27" s="55">
        <v>4.0</v>
      </c>
      <c r="N27" s="43">
        <f t="shared" si="3"/>
        <v>4</v>
      </c>
      <c r="O27" s="55">
        <v>9.0</v>
      </c>
      <c r="P27" s="55">
        <v>4.0</v>
      </c>
      <c r="Q27" s="43">
        <f t="shared" si="2"/>
        <v>17</v>
      </c>
      <c r="R27" s="43"/>
      <c r="S27" s="43"/>
      <c r="T27" s="43"/>
      <c r="U27" s="55" t="s">
        <v>101</v>
      </c>
      <c r="V27" s="153" t="s">
        <v>570</v>
      </c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151" t="s">
        <v>571</v>
      </c>
      <c r="C28" s="37" t="s">
        <v>572</v>
      </c>
      <c r="D28" s="37" t="s">
        <v>573</v>
      </c>
      <c r="E28" s="133" t="s">
        <v>338</v>
      </c>
      <c r="F28" s="134">
        <v>42.0</v>
      </c>
      <c r="G28" s="134" t="s">
        <v>476</v>
      </c>
      <c r="H28" s="134" t="s">
        <v>512</v>
      </c>
      <c r="I28" s="134">
        <v>9.126122526E9</v>
      </c>
      <c r="J28" s="54">
        <v>21.0</v>
      </c>
      <c r="K28" s="55">
        <v>17.0</v>
      </c>
      <c r="L28" s="55">
        <v>0.0</v>
      </c>
      <c r="M28" s="55">
        <v>3.0</v>
      </c>
      <c r="N28" s="43">
        <f t="shared" si="3"/>
        <v>3</v>
      </c>
      <c r="O28" s="55">
        <v>11.0</v>
      </c>
      <c r="P28" s="55">
        <v>1.0</v>
      </c>
      <c r="Q28" s="43">
        <f t="shared" si="2"/>
        <v>15</v>
      </c>
      <c r="R28" s="43"/>
      <c r="S28" s="55" t="s">
        <v>88</v>
      </c>
      <c r="T28" s="43"/>
      <c r="U28" s="43"/>
      <c r="V28" s="15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151" t="s">
        <v>574</v>
      </c>
      <c r="C29" s="37" t="s">
        <v>575</v>
      </c>
      <c r="D29" s="37" t="s">
        <v>576</v>
      </c>
      <c r="E29" s="133" t="s">
        <v>338</v>
      </c>
      <c r="F29" s="134">
        <v>34.0</v>
      </c>
      <c r="G29" s="134" t="s">
        <v>476</v>
      </c>
      <c r="H29" s="134" t="s">
        <v>519</v>
      </c>
      <c r="I29" s="134">
        <v>9.610660971E9</v>
      </c>
      <c r="J29" s="42"/>
      <c r="K29" s="43"/>
      <c r="L29" s="43"/>
      <c r="M29" s="43"/>
      <c r="N29" s="43">
        <f t="shared" si="3"/>
        <v>0</v>
      </c>
      <c r="O29" s="43"/>
      <c r="P29" s="43"/>
      <c r="Q29" s="43">
        <f t="shared" si="2"/>
        <v>0</v>
      </c>
      <c r="R29" s="43"/>
      <c r="S29" s="43"/>
      <c r="T29" s="43"/>
      <c r="U29" s="43"/>
      <c r="V29" s="149"/>
      <c r="W29" s="44"/>
      <c r="Z29" s="34"/>
      <c r="AA29" s="34"/>
      <c r="AB29" s="34"/>
      <c r="AC29" s="34"/>
      <c r="AD29" s="34"/>
    </row>
    <row r="30" ht="13.5" customHeight="1">
      <c r="A30" s="28">
        <v>24.0</v>
      </c>
      <c r="B30" s="151" t="s">
        <v>577</v>
      </c>
      <c r="C30" s="37" t="s">
        <v>578</v>
      </c>
      <c r="D30" s="37" t="s">
        <v>579</v>
      </c>
      <c r="E30" s="133" t="s">
        <v>338</v>
      </c>
      <c r="F30" s="134">
        <v>32.0</v>
      </c>
      <c r="G30" s="134" t="s">
        <v>476</v>
      </c>
      <c r="H30" s="134" t="s">
        <v>512</v>
      </c>
      <c r="I30" s="134">
        <v>9.60531476E9</v>
      </c>
      <c r="J30" s="54">
        <v>25.0</v>
      </c>
      <c r="K30" s="55">
        <v>17.0</v>
      </c>
      <c r="L30" s="55">
        <v>0.0</v>
      </c>
      <c r="M30" s="55">
        <v>0.0</v>
      </c>
      <c r="N30" s="43">
        <f t="shared" si="3"/>
        <v>0</v>
      </c>
      <c r="O30" s="55">
        <v>7.0</v>
      </c>
      <c r="P30" s="55">
        <v>8.0</v>
      </c>
      <c r="Q30" s="43">
        <f t="shared" si="2"/>
        <v>15</v>
      </c>
      <c r="R30" s="43"/>
      <c r="S30" s="43"/>
      <c r="T30" s="43"/>
      <c r="U30" s="43"/>
      <c r="V30" s="153" t="s">
        <v>580</v>
      </c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151" t="s">
        <v>581</v>
      </c>
      <c r="C31" s="37" t="s">
        <v>582</v>
      </c>
      <c r="D31" s="37" t="s">
        <v>583</v>
      </c>
      <c r="E31" s="133" t="s">
        <v>338</v>
      </c>
      <c r="F31" s="134">
        <v>44.0</v>
      </c>
      <c r="G31" s="134" t="s">
        <v>584</v>
      </c>
      <c r="H31" s="134" t="s">
        <v>512</v>
      </c>
      <c r="I31" s="134">
        <v>9.451925309E9</v>
      </c>
      <c r="J31" s="42"/>
      <c r="K31" s="43"/>
      <c r="L31" s="43"/>
      <c r="M31" s="43"/>
      <c r="N31" s="43">
        <f t="shared" si="3"/>
        <v>0</v>
      </c>
      <c r="O31" s="43"/>
      <c r="P31" s="43"/>
      <c r="Q31" s="43">
        <f t="shared" si="2"/>
        <v>0</v>
      </c>
      <c r="R31" s="43"/>
      <c r="S31" s="43"/>
      <c r="T31" s="43"/>
      <c r="U31" s="43"/>
      <c r="V31" s="149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151" t="s">
        <v>585</v>
      </c>
      <c r="C32" s="37" t="s">
        <v>586</v>
      </c>
      <c r="D32" s="37" t="s">
        <v>587</v>
      </c>
      <c r="E32" s="133" t="s">
        <v>338</v>
      </c>
      <c r="F32" s="134">
        <v>31.0</v>
      </c>
      <c r="G32" s="134" t="s">
        <v>476</v>
      </c>
      <c r="H32" s="134" t="s">
        <v>535</v>
      </c>
      <c r="I32" s="134">
        <v>9.974651758E9</v>
      </c>
      <c r="J32" s="54">
        <v>25.0</v>
      </c>
      <c r="K32" s="55">
        <v>22.0</v>
      </c>
      <c r="L32" s="55">
        <v>3.0</v>
      </c>
      <c r="M32" s="55">
        <v>1.0</v>
      </c>
      <c r="N32" s="43">
        <f t="shared" si="3"/>
        <v>4</v>
      </c>
      <c r="O32" s="55">
        <v>5.0</v>
      </c>
      <c r="P32" s="55">
        <v>1.0</v>
      </c>
      <c r="Q32" s="43">
        <f t="shared" si="2"/>
        <v>10</v>
      </c>
      <c r="R32" s="43"/>
      <c r="S32" s="55" t="s">
        <v>88</v>
      </c>
      <c r="T32" s="43"/>
      <c r="U32" s="43"/>
      <c r="V32" s="153"/>
      <c r="W32" s="56" t="s">
        <v>46</v>
      </c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156" t="s">
        <v>588</v>
      </c>
      <c r="C33" s="37" t="s">
        <v>589</v>
      </c>
      <c r="D33" s="37" t="s">
        <v>590</v>
      </c>
      <c r="E33" s="133" t="s">
        <v>338</v>
      </c>
      <c r="F33" s="134">
        <v>38.0</v>
      </c>
      <c r="G33" s="134" t="s">
        <v>476</v>
      </c>
      <c r="H33" s="134" t="s">
        <v>512</v>
      </c>
      <c r="I33" s="152">
        <v>9.230821996E9</v>
      </c>
      <c r="J33" s="54">
        <v>31.0</v>
      </c>
      <c r="K33" s="55">
        <v>27.0</v>
      </c>
      <c r="L33" s="55">
        <v>0.0</v>
      </c>
      <c r="M33" s="55">
        <v>1.0</v>
      </c>
      <c r="N33" s="43">
        <f t="shared" si="3"/>
        <v>1</v>
      </c>
      <c r="O33" s="55">
        <v>1.0</v>
      </c>
      <c r="P33" s="55">
        <v>3.0</v>
      </c>
      <c r="Q33" s="43">
        <f t="shared" si="2"/>
        <v>5</v>
      </c>
      <c r="R33" s="43"/>
      <c r="S33" s="43"/>
      <c r="T33" s="43"/>
      <c r="U33" s="43"/>
      <c r="V33" s="149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160" t="s">
        <v>591</v>
      </c>
      <c r="C34" s="37" t="s">
        <v>592</v>
      </c>
      <c r="D34" s="37" t="s">
        <v>593</v>
      </c>
      <c r="E34" s="133" t="s">
        <v>338</v>
      </c>
      <c r="F34" s="134">
        <v>41.0</v>
      </c>
      <c r="G34" s="134" t="s">
        <v>476</v>
      </c>
      <c r="H34" s="134" t="s">
        <v>594</v>
      </c>
      <c r="I34" s="134">
        <v>9.564566375E9</v>
      </c>
      <c r="J34" s="54">
        <v>19.0</v>
      </c>
      <c r="K34" s="55">
        <v>14.0</v>
      </c>
      <c r="L34" s="55">
        <v>4.0</v>
      </c>
      <c r="M34" s="55">
        <v>1.0</v>
      </c>
      <c r="N34" s="43">
        <f t="shared" si="3"/>
        <v>5</v>
      </c>
      <c r="O34" s="55">
        <v>13.0</v>
      </c>
      <c r="P34" s="55">
        <v>0.0</v>
      </c>
      <c r="Q34" s="43">
        <f t="shared" si="2"/>
        <v>18</v>
      </c>
      <c r="R34" s="43"/>
      <c r="S34" s="55" t="s">
        <v>88</v>
      </c>
      <c r="T34" s="43"/>
      <c r="U34" s="43"/>
      <c r="V34" s="15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151" t="s">
        <v>595</v>
      </c>
      <c r="C35" s="37" t="s">
        <v>596</v>
      </c>
      <c r="D35" s="37" t="s">
        <v>597</v>
      </c>
      <c r="E35" s="133" t="s">
        <v>338</v>
      </c>
      <c r="F35" s="134">
        <v>61.0</v>
      </c>
      <c r="G35" s="134" t="s">
        <v>476</v>
      </c>
      <c r="H35" s="134" t="s">
        <v>553</v>
      </c>
      <c r="I35" s="152">
        <v>9.192484545E9</v>
      </c>
      <c r="J35" s="161">
        <v>0.0</v>
      </c>
      <c r="K35" s="55">
        <v>0.0</v>
      </c>
      <c r="L35" s="55">
        <v>0.0</v>
      </c>
      <c r="M35" s="55">
        <v>0.0</v>
      </c>
      <c r="N35" s="43">
        <f t="shared" si="3"/>
        <v>0</v>
      </c>
      <c r="O35" s="55">
        <v>32.0</v>
      </c>
      <c r="P35" s="55">
        <v>0.0</v>
      </c>
      <c r="Q35" s="43">
        <f t="shared" si="2"/>
        <v>32</v>
      </c>
      <c r="R35" s="43"/>
      <c r="S35" s="55" t="s">
        <v>74</v>
      </c>
      <c r="T35" s="43"/>
      <c r="U35" s="43"/>
      <c r="V35" s="15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151" t="s">
        <v>598</v>
      </c>
      <c r="C36" s="37" t="s">
        <v>599</v>
      </c>
      <c r="D36" s="37" t="s">
        <v>600</v>
      </c>
      <c r="E36" s="133" t="s">
        <v>338</v>
      </c>
      <c r="F36" s="134">
        <v>32.0</v>
      </c>
      <c r="G36" s="134" t="s">
        <v>476</v>
      </c>
      <c r="H36" s="134" t="s">
        <v>512</v>
      </c>
      <c r="I36" s="152">
        <v>9.091032726E9</v>
      </c>
      <c r="J36" s="87">
        <v>28.0</v>
      </c>
      <c r="K36" s="55">
        <v>24.0</v>
      </c>
      <c r="L36" s="55">
        <v>0.0</v>
      </c>
      <c r="M36" s="55">
        <v>4.0</v>
      </c>
      <c r="N36" s="43">
        <f t="shared" si="3"/>
        <v>4</v>
      </c>
      <c r="O36" s="55">
        <v>4.0</v>
      </c>
      <c r="P36" s="55">
        <v>0.0</v>
      </c>
      <c r="Q36" s="43">
        <f t="shared" si="2"/>
        <v>8</v>
      </c>
      <c r="R36" s="43"/>
      <c r="S36" s="43"/>
      <c r="T36" s="43"/>
      <c r="U36" s="43"/>
      <c r="V36" s="149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151" t="s">
        <v>601</v>
      </c>
      <c r="C37" s="37" t="s">
        <v>602</v>
      </c>
      <c r="D37" s="37" t="s">
        <v>603</v>
      </c>
      <c r="E37" s="133" t="s">
        <v>338</v>
      </c>
      <c r="F37" s="134">
        <v>41.0</v>
      </c>
      <c r="G37" s="134" t="s">
        <v>476</v>
      </c>
      <c r="H37" s="134" t="s">
        <v>553</v>
      </c>
      <c r="I37" s="152">
        <v>9.60531448E9</v>
      </c>
      <c r="J37" s="87">
        <v>28.0</v>
      </c>
      <c r="K37" s="55">
        <v>20.0</v>
      </c>
      <c r="L37" s="55">
        <v>0.0</v>
      </c>
      <c r="M37" s="55">
        <v>0.0</v>
      </c>
      <c r="N37" s="43">
        <f t="shared" si="3"/>
        <v>0</v>
      </c>
      <c r="O37" s="55">
        <v>4.0</v>
      </c>
      <c r="P37" s="55">
        <v>8.0</v>
      </c>
      <c r="Q37" s="43">
        <f t="shared" si="2"/>
        <v>12</v>
      </c>
      <c r="R37" s="43"/>
      <c r="S37" s="43"/>
      <c r="T37" s="43"/>
      <c r="U37" s="43"/>
      <c r="V37" s="149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151" t="s">
        <v>604</v>
      </c>
      <c r="C38" s="37" t="s">
        <v>605</v>
      </c>
      <c r="D38" s="37" t="s">
        <v>606</v>
      </c>
      <c r="E38" s="133" t="s">
        <v>338</v>
      </c>
      <c r="F38" s="134">
        <v>46.0</v>
      </c>
      <c r="G38" s="134" t="s">
        <v>476</v>
      </c>
      <c r="H38" s="134" t="s">
        <v>512</v>
      </c>
      <c r="I38" s="152">
        <v>9.00928124E8</v>
      </c>
      <c r="J38" s="87">
        <v>26.0</v>
      </c>
      <c r="K38" s="55">
        <v>22.0</v>
      </c>
      <c r="L38" s="55">
        <v>0.0</v>
      </c>
      <c r="M38" s="55">
        <v>0.0</v>
      </c>
      <c r="N38" s="43">
        <f t="shared" si="3"/>
        <v>0</v>
      </c>
      <c r="O38" s="55">
        <v>6.0</v>
      </c>
      <c r="P38" s="55">
        <v>4.0</v>
      </c>
      <c r="Q38" s="43">
        <f t="shared" si="2"/>
        <v>10</v>
      </c>
      <c r="R38" s="43"/>
      <c r="S38" s="43"/>
      <c r="T38" s="43"/>
      <c r="U38" s="43"/>
      <c r="V38" s="149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151" t="s">
        <v>544</v>
      </c>
      <c r="C39" s="37" t="s">
        <v>607</v>
      </c>
      <c r="D39" s="37" t="s">
        <v>608</v>
      </c>
      <c r="E39" s="133" t="s">
        <v>338</v>
      </c>
      <c r="F39" s="134">
        <v>30.0</v>
      </c>
      <c r="G39" s="134" t="s">
        <v>476</v>
      </c>
      <c r="H39" s="134" t="s">
        <v>535</v>
      </c>
      <c r="I39" s="152">
        <v>9.696183337E9</v>
      </c>
      <c r="J39" s="87">
        <v>28.0</v>
      </c>
      <c r="K39" s="55">
        <v>25.0</v>
      </c>
      <c r="L39" s="55">
        <v>0.0</v>
      </c>
      <c r="M39" s="55">
        <v>0.0</v>
      </c>
      <c r="N39" s="43">
        <f t="shared" si="3"/>
        <v>0</v>
      </c>
      <c r="O39" s="55">
        <v>4.0</v>
      </c>
      <c r="P39" s="55">
        <v>3.0</v>
      </c>
      <c r="Q39" s="43">
        <f t="shared" si="2"/>
        <v>7</v>
      </c>
      <c r="R39" s="43"/>
      <c r="S39" s="43"/>
      <c r="T39" s="43"/>
      <c r="U39" s="43"/>
      <c r="V39" s="149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156" t="s">
        <v>609</v>
      </c>
      <c r="C40" s="37" t="s">
        <v>610</v>
      </c>
      <c r="D40" s="37" t="s">
        <v>611</v>
      </c>
      <c r="E40" s="133" t="s">
        <v>338</v>
      </c>
      <c r="F40" s="134">
        <v>26.0</v>
      </c>
      <c r="G40" s="134" t="s">
        <v>476</v>
      </c>
      <c r="H40" s="134" t="s">
        <v>512</v>
      </c>
      <c r="I40" s="152">
        <v>9.92235183E9</v>
      </c>
      <c r="J40" s="87">
        <v>27.0</v>
      </c>
      <c r="K40" s="55">
        <v>23.0</v>
      </c>
      <c r="L40" s="55">
        <v>0.0</v>
      </c>
      <c r="M40" s="55">
        <v>2.0</v>
      </c>
      <c r="N40" s="43">
        <f t="shared" si="3"/>
        <v>2</v>
      </c>
      <c r="O40" s="55">
        <v>2.0</v>
      </c>
      <c r="P40" s="55">
        <v>2.0</v>
      </c>
      <c r="Q40" s="43">
        <f t="shared" si="2"/>
        <v>6</v>
      </c>
      <c r="R40" s="43"/>
      <c r="S40" s="43"/>
      <c r="T40" s="43"/>
      <c r="U40" s="43"/>
      <c r="V40" s="15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155" t="s">
        <v>612</v>
      </c>
      <c r="C41" s="37" t="s">
        <v>613</v>
      </c>
      <c r="D41" s="37" t="s">
        <v>614</v>
      </c>
      <c r="E41" s="133" t="s">
        <v>338</v>
      </c>
      <c r="F41" s="134">
        <v>28.0</v>
      </c>
      <c r="G41" s="134" t="s">
        <v>476</v>
      </c>
      <c r="H41" s="134" t="s">
        <v>512</v>
      </c>
      <c r="I41" s="152">
        <v>9.055186513E9</v>
      </c>
      <c r="J41" s="87">
        <v>28.0</v>
      </c>
      <c r="K41" s="55">
        <v>27.0</v>
      </c>
      <c r="L41" s="55">
        <v>0.0</v>
      </c>
      <c r="M41" s="55">
        <v>1.0</v>
      </c>
      <c r="N41" s="43">
        <f t="shared" si="3"/>
        <v>1</v>
      </c>
      <c r="O41" s="55">
        <v>4.0</v>
      </c>
      <c r="P41" s="55">
        <v>0.0</v>
      </c>
      <c r="Q41" s="43">
        <f t="shared" si="2"/>
        <v>5</v>
      </c>
      <c r="R41" s="43"/>
      <c r="S41" s="55" t="s">
        <v>277</v>
      </c>
      <c r="T41" s="43"/>
      <c r="U41" s="43"/>
      <c r="V41" s="15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151" t="s">
        <v>615</v>
      </c>
      <c r="C42" s="37" t="s">
        <v>616</v>
      </c>
      <c r="D42" s="37" t="s">
        <v>617</v>
      </c>
      <c r="E42" s="133" t="s">
        <v>338</v>
      </c>
      <c r="F42" s="134">
        <v>32.0</v>
      </c>
      <c r="G42" s="134" t="s">
        <v>476</v>
      </c>
      <c r="H42" s="134" t="s">
        <v>512</v>
      </c>
      <c r="I42" s="134">
        <v>9.650757339E9</v>
      </c>
      <c r="J42" s="87">
        <v>28.0</v>
      </c>
      <c r="K42" s="55">
        <v>26.0</v>
      </c>
      <c r="L42" s="55">
        <v>0.0</v>
      </c>
      <c r="M42" s="55">
        <v>1.0</v>
      </c>
      <c r="N42" s="43">
        <f t="shared" si="3"/>
        <v>1</v>
      </c>
      <c r="O42" s="55">
        <v>4.0</v>
      </c>
      <c r="P42" s="55">
        <v>1.0</v>
      </c>
      <c r="Q42" s="43">
        <f t="shared" si="2"/>
        <v>6</v>
      </c>
      <c r="R42" s="43"/>
      <c r="S42" s="43"/>
      <c r="T42" s="43"/>
      <c r="U42" s="43"/>
      <c r="V42" s="15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151" t="s">
        <v>618</v>
      </c>
      <c r="C43" s="37" t="s">
        <v>619</v>
      </c>
      <c r="D43" s="37" t="s">
        <v>620</v>
      </c>
      <c r="E43" s="133" t="s">
        <v>338</v>
      </c>
      <c r="F43" s="134">
        <v>40.0</v>
      </c>
      <c r="G43" s="134" t="s">
        <v>476</v>
      </c>
      <c r="H43" s="134" t="s">
        <v>535</v>
      </c>
      <c r="I43" s="152">
        <v>9.150924348E9</v>
      </c>
      <c r="J43" s="87">
        <v>25.0</v>
      </c>
      <c r="K43" s="55">
        <v>19.0</v>
      </c>
      <c r="L43" s="55">
        <v>0.0</v>
      </c>
      <c r="M43" s="55">
        <v>4.0</v>
      </c>
      <c r="N43" s="43">
        <f t="shared" si="3"/>
        <v>4</v>
      </c>
      <c r="O43" s="55">
        <v>7.0</v>
      </c>
      <c r="P43" s="55">
        <v>2.0</v>
      </c>
      <c r="Q43" s="43">
        <f t="shared" si="2"/>
        <v>13</v>
      </c>
      <c r="R43" s="43"/>
      <c r="S43" s="43"/>
      <c r="T43" s="43"/>
      <c r="U43" s="43"/>
      <c r="V43" s="149"/>
      <c r="W43" s="56" t="s">
        <v>46</v>
      </c>
      <c r="X43" s="138" t="s">
        <v>116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151" t="s">
        <v>621</v>
      </c>
      <c r="C44" s="37" t="s">
        <v>622</v>
      </c>
      <c r="D44" s="37" t="s">
        <v>623</v>
      </c>
      <c r="E44" s="133" t="s">
        <v>338</v>
      </c>
      <c r="F44" s="134">
        <v>34.0</v>
      </c>
      <c r="G44" s="134" t="s">
        <v>476</v>
      </c>
      <c r="H44" s="134" t="s">
        <v>535</v>
      </c>
      <c r="I44" s="152">
        <v>9.20850073E9</v>
      </c>
      <c r="J44" s="87">
        <v>24.0</v>
      </c>
      <c r="K44" s="55">
        <v>17.0</v>
      </c>
      <c r="L44" s="55">
        <v>0.0</v>
      </c>
      <c r="M44" s="55">
        <v>7.0</v>
      </c>
      <c r="N44" s="43">
        <f t="shared" si="3"/>
        <v>7</v>
      </c>
      <c r="O44" s="55">
        <v>8.0</v>
      </c>
      <c r="P44" s="55">
        <v>0.0</v>
      </c>
      <c r="Q44" s="43">
        <f t="shared" si="2"/>
        <v>15</v>
      </c>
      <c r="R44" s="43"/>
      <c r="S44" s="43"/>
      <c r="T44" s="43"/>
      <c r="U44" s="43"/>
      <c r="V44" s="149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151" t="s">
        <v>624</v>
      </c>
      <c r="C45" s="37" t="s">
        <v>625</v>
      </c>
      <c r="D45" s="37" t="s">
        <v>626</v>
      </c>
      <c r="E45" s="133" t="s">
        <v>338</v>
      </c>
      <c r="F45" s="134">
        <v>60.0</v>
      </c>
      <c r="G45" s="134" t="s">
        <v>476</v>
      </c>
      <c r="H45" s="134" t="s">
        <v>535</v>
      </c>
      <c r="I45" s="152">
        <v>9.084002462E9</v>
      </c>
      <c r="J45" s="87">
        <v>8.0</v>
      </c>
      <c r="K45" s="55">
        <v>8.0</v>
      </c>
      <c r="L45" s="55">
        <v>0.0</v>
      </c>
      <c r="M45" s="55">
        <v>0.0</v>
      </c>
      <c r="N45" s="43">
        <f t="shared" si="3"/>
        <v>0</v>
      </c>
      <c r="O45" s="55">
        <v>24.0</v>
      </c>
      <c r="P45" s="55">
        <v>0.0</v>
      </c>
      <c r="Q45" s="43">
        <f t="shared" si="2"/>
        <v>24</v>
      </c>
      <c r="R45" s="43"/>
      <c r="S45" s="43"/>
      <c r="T45" s="43"/>
      <c r="U45" s="43"/>
      <c r="V45" s="149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151" t="s">
        <v>627</v>
      </c>
      <c r="C46" s="37" t="s">
        <v>628</v>
      </c>
      <c r="D46" s="37" t="s">
        <v>629</v>
      </c>
      <c r="E46" s="133" t="s">
        <v>338</v>
      </c>
      <c r="F46" s="134">
        <v>42.0</v>
      </c>
      <c r="G46" s="134" t="s">
        <v>476</v>
      </c>
      <c r="H46" s="134" t="s">
        <v>566</v>
      </c>
      <c r="I46" s="152">
        <v>9.185226155E9</v>
      </c>
      <c r="J46" s="87">
        <v>21.0</v>
      </c>
      <c r="K46" s="55">
        <v>15.0</v>
      </c>
      <c r="L46" s="55">
        <v>0.0</v>
      </c>
      <c r="M46" s="55">
        <v>0.0</v>
      </c>
      <c r="N46" s="43">
        <f t="shared" si="3"/>
        <v>0</v>
      </c>
      <c r="O46" s="55">
        <v>11.0</v>
      </c>
      <c r="P46" s="55">
        <v>6.0</v>
      </c>
      <c r="Q46" s="43">
        <f t="shared" si="2"/>
        <v>17</v>
      </c>
      <c r="R46" s="43"/>
      <c r="S46" s="55" t="s">
        <v>88</v>
      </c>
      <c r="T46" s="43"/>
      <c r="U46" s="43"/>
      <c r="V46" s="15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4">SUM(J7:J156)</f>
        <v>844</v>
      </c>
      <c r="K157" s="123">
        <f t="shared" si="4"/>
        <v>677</v>
      </c>
      <c r="L157" s="123">
        <f t="shared" si="4"/>
        <v>9</v>
      </c>
      <c r="M157" s="123">
        <f t="shared" si="4"/>
        <v>60</v>
      </c>
      <c r="N157" s="123">
        <f t="shared" si="4"/>
        <v>68</v>
      </c>
      <c r="O157" s="123">
        <f t="shared" si="4"/>
        <v>298</v>
      </c>
      <c r="P157" s="123">
        <f t="shared" si="4"/>
        <v>99</v>
      </c>
      <c r="Q157" s="123">
        <f t="shared" si="4"/>
        <v>465</v>
      </c>
      <c r="R157" s="124"/>
      <c r="S157" s="124"/>
      <c r="T157" s="125"/>
      <c r="U157" s="145" t="s">
        <v>330</v>
      </c>
      <c r="V157" s="5"/>
      <c r="W157" s="126">
        <f>COUNTIF(W7:W156,"YES")</f>
        <v>36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7.0"/>
    <col customWidth="1" min="3" max="3" width="15.38"/>
    <col customWidth="1" min="4" max="4" width="18.88"/>
    <col customWidth="1" min="5" max="5" width="14.38"/>
    <col customWidth="1" min="6" max="6" width="8.63"/>
    <col customWidth="1" min="7" max="7" width="12.13"/>
    <col customWidth="1" min="8" max="8" width="12.88"/>
    <col customWidth="1" min="9" max="9" width="14.38"/>
    <col customWidth="1" min="10" max="10" width="13.38"/>
    <col customWidth="1" min="11" max="11" width="11.25"/>
    <col customWidth="1" min="12" max="12" width="11.75"/>
    <col customWidth="1" min="13" max="13" width="11.63"/>
    <col customWidth="1" min="14" max="21" width="8.63"/>
    <col customWidth="1" min="22" max="22" width="15.25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5.75" customHeight="1">
      <c r="A2" s="6" t="s">
        <v>1</v>
      </c>
      <c r="B2" s="5"/>
      <c r="C2" s="162" t="s">
        <v>631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162" t="s">
        <v>632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162">
        <v>9.193732011E9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633</v>
      </c>
      <c r="C7" s="37" t="s">
        <v>634</v>
      </c>
      <c r="D7" s="37" t="s">
        <v>635</v>
      </c>
      <c r="E7" s="133" t="s">
        <v>338</v>
      </c>
      <c r="F7" s="134">
        <v>40.0</v>
      </c>
      <c r="G7" s="134" t="s">
        <v>584</v>
      </c>
      <c r="H7" s="134" t="s">
        <v>636</v>
      </c>
      <c r="I7" s="163" t="s">
        <v>637</v>
      </c>
      <c r="J7" s="54">
        <v>32.0</v>
      </c>
      <c r="K7" s="55">
        <v>28.0</v>
      </c>
      <c r="L7" s="55">
        <v>0.0</v>
      </c>
      <c r="M7" s="55">
        <v>0.0</v>
      </c>
      <c r="N7" s="43">
        <f t="shared" ref="N7:N27" si="1">SUM(L7,M7)</f>
        <v>0</v>
      </c>
      <c r="O7" s="55">
        <v>0.0</v>
      </c>
      <c r="P7" s="55">
        <v>4.0</v>
      </c>
      <c r="Q7" s="43">
        <f t="shared" ref="Q7:Q41" si="2">SUM(N7,O7,P7)</f>
        <v>4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638</v>
      </c>
      <c r="C8" s="37" t="s">
        <v>639</v>
      </c>
      <c r="D8" s="37" t="s">
        <v>640</v>
      </c>
      <c r="E8" s="133" t="s">
        <v>338</v>
      </c>
      <c r="F8" s="134">
        <v>26.0</v>
      </c>
      <c r="G8" s="134" t="s">
        <v>584</v>
      </c>
      <c r="H8" s="134" t="s">
        <v>641</v>
      </c>
      <c r="I8" s="163" t="s">
        <v>642</v>
      </c>
      <c r="J8" s="54">
        <v>32.0</v>
      </c>
      <c r="K8" s="55">
        <v>32.0</v>
      </c>
      <c r="L8" s="55">
        <v>0.0</v>
      </c>
      <c r="M8" s="55">
        <v>0.0</v>
      </c>
      <c r="N8" s="43">
        <f t="shared" si="1"/>
        <v>0</v>
      </c>
      <c r="O8" s="55">
        <v>0.0</v>
      </c>
      <c r="P8" s="55">
        <v>0.0</v>
      </c>
      <c r="Q8" s="43">
        <f t="shared" si="2"/>
        <v>0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" t="s">
        <v>643</v>
      </c>
      <c r="C9" s="37" t="s">
        <v>644</v>
      </c>
      <c r="D9" s="37" t="s">
        <v>645</v>
      </c>
      <c r="E9" s="133" t="s">
        <v>338</v>
      </c>
      <c r="F9" s="134">
        <v>47.0</v>
      </c>
      <c r="G9" s="134" t="s">
        <v>476</v>
      </c>
      <c r="H9" s="134" t="s">
        <v>646</v>
      </c>
      <c r="I9" s="163" t="s">
        <v>647</v>
      </c>
      <c r="J9" s="54">
        <v>17.0</v>
      </c>
      <c r="K9" s="55">
        <v>15.0</v>
      </c>
      <c r="L9" s="55">
        <v>0.0</v>
      </c>
      <c r="M9" s="55">
        <v>0.0</v>
      </c>
      <c r="N9" s="43">
        <f t="shared" si="1"/>
        <v>0</v>
      </c>
      <c r="O9" s="55">
        <v>14.0</v>
      </c>
      <c r="P9" s="55">
        <v>2.0</v>
      </c>
      <c r="Q9" s="43">
        <f t="shared" si="2"/>
        <v>16</v>
      </c>
      <c r="R9" s="43"/>
      <c r="S9" s="43"/>
      <c r="T9" s="43"/>
      <c r="U9" s="43"/>
      <c r="V9" s="55" t="s">
        <v>648</v>
      </c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" t="s">
        <v>649</v>
      </c>
      <c r="C10" s="37" t="s">
        <v>650</v>
      </c>
      <c r="D10" s="37" t="s">
        <v>651</v>
      </c>
      <c r="E10" s="133" t="s">
        <v>338</v>
      </c>
      <c r="F10" s="134">
        <v>36.0</v>
      </c>
      <c r="G10" s="134" t="s">
        <v>476</v>
      </c>
      <c r="H10" s="134" t="s">
        <v>435</v>
      </c>
      <c r="I10" s="163" t="s">
        <v>652</v>
      </c>
      <c r="J10" s="54">
        <v>30.0</v>
      </c>
      <c r="K10" s="55">
        <v>25.0</v>
      </c>
      <c r="L10" s="55">
        <v>0.0</v>
      </c>
      <c r="M10" s="55">
        <v>2.0</v>
      </c>
      <c r="N10" s="43">
        <f t="shared" si="1"/>
        <v>2</v>
      </c>
      <c r="O10" s="55">
        <v>2.0</v>
      </c>
      <c r="P10" s="55">
        <v>3.0</v>
      </c>
      <c r="Q10" s="43">
        <f t="shared" si="2"/>
        <v>7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" t="s">
        <v>653</v>
      </c>
      <c r="C11" s="37" t="s">
        <v>654</v>
      </c>
      <c r="D11" s="37" t="s">
        <v>655</v>
      </c>
      <c r="E11" s="133" t="s">
        <v>338</v>
      </c>
      <c r="F11" s="134">
        <v>39.0</v>
      </c>
      <c r="G11" s="134" t="s">
        <v>476</v>
      </c>
      <c r="H11" s="134" t="s">
        <v>435</v>
      </c>
      <c r="I11" s="163" t="s">
        <v>656</v>
      </c>
      <c r="J11" s="54">
        <v>24.0</v>
      </c>
      <c r="K11" s="55">
        <v>14.0</v>
      </c>
      <c r="L11" s="55">
        <v>5.0</v>
      </c>
      <c r="M11" s="55">
        <v>5.0</v>
      </c>
      <c r="N11" s="43">
        <f t="shared" si="1"/>
        <v>10</v>
      </c>
      <c r="O11" s="55">
        <v>8.0</v>
      </c>
      <c r="P11" s="55">
        <v>0.0</v>
      </c>
      <c r="Q11" s="43">
        <f t="shared" si="2"/>
        <v>18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" t="s">
        <v>657</v>
      </c>
      <c r="C12" s="37" t="s">
        <v>658</v>
      </c>
      <c r="D12" s="37" t="s">
        <v>659</v>
      </c>
      <c r="E12" s="133" t="s">
        <v>338</v>
      </c>
      <c r="F12" s="134">
        <v>39.0</v>
      </c>
      <c r="G12" s="134" t="s">
        <v>476</v>
      </c>
      <c r="H12" s="134" t="s">
        <v>646</v>
      </c>
      <c r="I12" s="163" t="s">
        <v>660</v>
      </c>
      <c r="J12" s="54">
        <v>28.0</v>
      </c>
      <c r="K12" s="55">
        <v>27.0</v>
      </c>
      <c r="L12" s="55">
        <v>0.0</v>
      </c>
      <c r="M12" s="55">
        <v>0.0</v>
      </c>
      <c r="N12" s="43">
        <f t="shared" si="1"/>
        <v>0</v>
      </c>
      <c r="O12" s="55">
        <v>4.0</v>
      </c>
      <c r="P12" s="55">
        <v>1.0</v>
      </c>
      <c r="Q12" s="43">
        <f t="shared" si="2"/>
        <v>5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38</v>
      </c>
    </row>
    <row r="13" ht="13.5" customHeight="1">
      <c r="A13" s="28">
        <v>7.0</v>
      </c>
      <c r="B13" s="37" t="s">
        <v>661</v>
      </c>
      <c r="C13" s="37" t="s">
        <v>662</v>
      </c>
      <c r="D13" s="37" t="s">
        <v>518</v>
      </c>
      <c r="E13" s="133" t="s">
        <v>338</v>
      </c>
      <c r="F13" s="134">
        <v>37.0</v>
      </c>
      <c r="G13" s="134" t="s">
        <v>584</v>
      </c>
      <c r="H13" s="134" t="s">
        <v>663</v>
      </c>
      <c r="I13" s="163" t="s">
        <v>664</v>
      </c>
      <c r="J13" s="54">
        <v>27.0</v>
      </c>
      <c r="K13" s="55">
        <v>26.0</v>
      </c>
      <c r="L13" s="55">
        <v>1.0</v>
      </c>
      <c r="M13" s="55">
        <v>1.0</v>
      </c>
      <c r="N13" s="43">
        <f t="shared" si="1"/>
        <v>2</v>
      </c>
      <c r="O13" s="55">
        <v>5.0</v>
      </c>
      <c r="P13" s="55">
        <v>0.0</v>
      </c>
      <c r="Q13" s="43">
        <f t="shared" si="2"/>
        <v>7</v>
      </c>
      <c r="R13" s="43"/>
      <c r="S13" s="43"/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37" t="s">
        <v>665</v>
      </c>
      <c r="C14" s="37" t="s">
        <v>666</v>
      </c>
      <c r="D14" s="37" t="s">
        <v>667</v>
      </c>
      <c r="E14" s="133" t="s">
        <v>338</v>
      </c>
      <c r="F14" s="134">
        <v>49.0</v>
      </c>
      <c r="G14" s="134" t="s">
        <v>476</v>
      </c>
      <c r="H14" s="134" t="s">
        <v>435</v>
      </c>
      <c r="I14" s="163" t="s">
        <v>668</v>
      </c>
      <c r="J14" s="42"/>
      <c r="K14" s="43"/>
      <c r="L14" s="43"/>
      <c r="M14" s="43"/>
      <c r="N14" s="43">
        <f t="shared" si="1"/>
        <v>0</v>
      </c>
      <c r="O14" s="43"/>
      <c r="P14" s="43"/>
      <c r="Q14" s="43">
        <f t="shared" si="2"/>
        <v>0</v>
      </c>
      <c r="R14" s="43"/>
      <c r="S14" s="43"/>
      <c r="T14" s="43"/>
      <c r="U14" s="43"/>
      <c r="V14" s="43"/>
      <c r="W14" s="44"/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" t="s">
        <v>669</v>
      </c>
      <c r="C15" s="37" t="s">
        <v>670</v>
      </c>
      <c r="D15" s="37" t="s">
        <v>671</v>
      </c>
      <c r="E15" s="133" t="s">
        <v>338</v>
      </c>
      <c r="F15" s="134">
        <v>39.0</v>
      </c>
      <c r="G15" s="134" t="s">
        <v>476</v>
      </c>
      <c r="H15" s="134" t="s">
        <v>435</v>
      </c>
      <c r="I15" s="163" t="s">
        <v>672</v>
      </c>
      <c r="J15" s="54">
        <v>16.0</v>
      </c>
      <c r="K15" s="55">
        <v>9.0</v>
      </c>
      <c r="L15" s="55">
        <v>2.0</v>
      </c>
      <c r="M15" s="55">
        <v>5.0</v>
      </c>
      <c r="N15" s="43">
        <f t="shared" si="1"/>
        <v>7</v>
      </c>
      <c r="O15" s="55">
        <v>16.0</v>
      </c>
      <c r="P15" s="55">
        <v>0.0</v>
      </c>
      <c r="Q15" s="43">
        <f t="shared" si="2"/>
        <v>23</v>
      </c>
      <c r="R15" s="43"/>
      <c r="S15" s="43"/>
      <c r="T15" s="43"/>
      <c r="U15" s="43"/>
      <c r="V15" s="55" t="s">
        <v>648</v>
      </c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37" t="s">
        <v>673</v>
      </c>
      <c r="C16" s="37" t="s">
        <v>650</v>
      </c>
      <c r="D16" s="37" t="s">
        <v>674</v>
      </c>
      <c r="E16" s="133" t="s">
        <v>338</v>
      </c>
      <c r="F16" s="134">
        <v>45.0</v>
      </c>
      <c r="G16" s="134" t="s">
        <v>476</v>
      </c>
      <c r="H16" s="134" t="s">
        <v>663</v>
      </c>
      <c r="I16" s="163" t="s">
        <v>675</v>
      </c>
      <c r="J16" s="54">
        <v>22.0</v>
      </c>
      <c r="K16" s="55">
        <v>20.0</v>
      </c>
      <c r="L16" s="55">
        <v>0.0</v>
      </c>
      <c r="M16" s="55">
        <v>2.0</v>
      </c>
      <c r="N16" s="43">
        <f t="shared" si="1"/>
        <v>2</v>
      </c>
      <c r="O16" s="55">
        <v>10.0</v>
      </c>
      <c r="P16" s="55">
        <v>0.0</v>
      </c>
      <c r="Q16" s="43">
        <f t="shared" si="2"/>
        <v>12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37" t="s">
        <v>676</v>
      </c>
      <c r="C17" s="37" t="s">
        <v>677</v>
      </c>
      <c r="D17" s="37" t="s">
        <v>678</v>
      </c>
      <c r="E17" s="133" t="s">
        <v>338</v>
      </c>
      <c r="F17" s="134">
        <v>46.0</v>
      </c>
      <c r="G17" s="134" t="s">
        <v>476</v>
      </c>
      <c r="H17" s="134" t="s">
        <v>435</v>
      </c>
      <c r="I17" s="163" t="s">
        <v>679</v>
      </c>
      <c r="J17" s="42"/>
      <c r="K17" s="43"/>
      <c r="L17" s="43"/>
      <c r="M17" s="43"/>
      <c r="N17" s="43">
        <f t="shared" si="1"/>
        <v>0</v>
      </c>
      <c r="O17" s="43"/>
      <c r="P17" s="43"/>
      <c r="Q17" s="43">
        <f t="shared" si="2"/>
        <v>0</v>
      </c>
      <c r="R17" s="43"/>
      <c r="S17" s="43"/>
      <c r="T17" s="43"/>
      <c r="U17" s="43"/>
      <c r="V17" s="43"/>
      <c r="W17" s="44"/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" t="s">
        <v>680</v>
      </c>
      <c r="C18" s="37" t="s">
        <v>681</v>
      </c>
      <c r="D18" s="37" t="s">
        <v>682</v>
      </c>
      <c r="E18" s="133" t="s">
        <v>338</v>
      </c>
      <c r="F18" s="134">
        <v>52.0</v>
      </c>
      <c r="G18" s="134" t="s">
        <v>476</v>
      </c>
      <c r="H18" s="134" t="s">
        <v>435</v>
      </c>
      <c r="I18" s="163" t="s">
        <v>683</v>
      </c>
      <c r="J18" s="54">
        <v>16.0</v>
      </c>
      <c r="K18" s="55">
        <v>14.0</v>
      </c>
      <c r="L18" s="55">
        <v>0.0</v>
      </c>
      <c r="M18" s="55">
        <v>4.0</v>
      </c>
      <c r="N18" s="43">
        <f t="shared" si="1"/>
        <v>4</v>
      </c>
      <c r="O18" s="55">
        <v>14.0</v>
      </c>
      <c r="P18" s="55">
        <v>0.0</v>
      </c>
      <c r="Q18" s="43">
        <f t="shared" si="2"/>
        <v>18</v>
      </c>
      <c r="R18" s="43"/>
      <c r="S18" s="43"/>
      <c r="T18" s="43"/>
      <c r="U18" s="43"/>
      <c r="V18" s="55" t="s">
        <v>648</v>
      </c>
      <c r="W18" s="56" t="s">
        <v>46</v>
      </c>
      <c r="Z18" s="34"/>
      <c r="AA18" s="61" t="s">
        <v>88</v>
      </c>
      <c r="AB18" s="66">
        <f>COUNTIF(S7:S157, "RPDU")</f>
        <v>0</v>
      </c>
      <c r="AC18" s="34"/>
      <c r="AD18" s="34"/>
    </row>
    <row r="19" ht="13.5" customHeight="1">
      <c r="A19" s="28">
        <v>13.0</v>
      </c>
      <c r="B19" s="37" t="s">
        <v>684</v>
      </c>
      <c r="C19" s="37" t="s">
        <v>685</v>
      </c>
      <c r="D19" s="37" t="s">
        <v>686</v>
      </c>
      <c r="E19" s="133" t="s">
        <v>338</v>
      </c>
      <c r="F19" s="134">
        <v>32.0</v>
      </c>
      <c r="G19" s="134" t="s">
        <v>476</v>
      </c>
      <c r="H19" s="134" t="s">
        <v>435</v>
      </c>
      <c r="I19" s="163" t="s">
        <v>687</v>
      </c>
      <c r="J19" s="54">
        <v>25.0</v>
      </c>
      <c r="K19" s="55">
        <v>22.0</v>
      </c>
      <c r="L19" s="55">
        <v>0.0</v>
      </c>
      <c r="M19" s="55">
        <v>1.0</v>
      </c>
      <c r="N19" s="43">
        <f t="shared" si="1"/>
        <v>1</v>
      </c>
      <c r="O19" s="55">
        <v>7.0</v>
      </c>
      <c r="P19" s="55">
        <v>3.0</v>
      </c>
      <c r="Q19" s="43">
        <f t="shared" si="2"/>
        <v>11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" t="s">
        <v>688</v>
      </c>
      <c r="C20" s="37" t="s">
        <v>689</v>
      </c>
      <c r="D20" s="37" t="s">
        <v>690</v>
      </c>
      <c r="E20" s="133" t="s">
        <v>338</v>
      </c>
      <c r="F20" s="134">
        <v>35.0</v>
      </c>
      <c r="G20" s="134" t="s">
        <v>476</v>
      </c>
      <c r="H20" s="134" t="s">
        <v>435</v>
      </c>
      <c r="I20" s="163" t="s">
        <v>691</v>
      </c>
      <c r="J20" s="54">
        <v>30.0</v>
      </c>
      <c r="K20" s="55">
        <v>27.0</v>
      </c>
      <c r="L20" s="55">
        <v>0.0</v>
      </c>
      <c r="M20" s="55">
        <v>0.0</v>
      </c>
      <c r="N20" s="43">
        <f t="shared" si="1"/>
        <v>0</v>
      </c>
      <c r="O20" s="55">
        <v>3.0</v>
      </c>
      <c r="P20" s="55">
        <v>2.0</v>
      </c>
      <c r="Q20" s="43">
        <f t="shared" si="2"/>
        <v>5</v>
      </c>
      <c r="R20" s="43"/>
      <c r="S20" s="43"/>
      <c r="T20" s="43"/>
      <c r="U20" s="43"/>
      <c r="V20" s="55" t="s">
        <v>692</v>
      </c>
      <c r="W20" s="56" t="s">
        <v>46</v>
      </c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37" t="s">
        <v>693</v>
      </c>
      <c r="C21" s="37" t="s">
        <v>694</v>
      </c>
      <c r="D21" s="37" t="s">
        <v>695</v>
      </c>
      <c r="E21" s="133" t="s">
        <v>338</v>
      </c>
      <c r="F21" s="134">
        <v>29.0</v>
      </c>
      <c r="G21" s="134" t="s">
        <v>476</v>
      </c>
      <c r="H21" s="134" t="s">
        <v>435</v>
      </c>
      <c r="I21" s="163" t="s">
        <v>696</v>
      </c>
      <c r="J21" s="54">
        <v>31.0</v>
      </c>
      <c r="K21" s="55">
        <v>19.0</v>
      </c>
      <c r="L21" s="55">
        <v>0.0</v>
      </c>
      <c r="M21" s="55">
        <v>0.0</v>
      </c>
      <c r="N21" s="43">
        <f t="shared" si="1"/>
        <v>0</v>
      </c>
      <c r="O21" s="55">
        <v>1.0</v>
      </c>
      <c r="P21" s="55">
        <v>12.0</v>
      </c>
      <c r="Q21" s="43">
        <f t="shared" si="2"/>
        <v>13</v>
      </c>
      <c r="R21" s="43"/>
      <c r="S21" s="43"/>
      <c r="T21" s="43"/>
      <c r="U21" s="43"/>
      <c r="V21" s="55" t="s">
        <v>692</v>
      </c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37" t="s">
        <v>697</v>
      </c>
      <c r="C22" s="37" t="s">
        <v>698</v>
      </c>
      <c r="D22" s="37" t="s">
        <v>699</v>
      </c>
      <c r="E22" s="133" t="s">
        <v>338</v>
      </c>
      <c r="F22" s="134">
        <v>36.0</v>
      </c>
      <c r="G22" s="134" t="s">
        <v>476</v>
      </c>
      <c r="H22" s="134" t="s">
        <v>435</v>
      </c>
      <c r="I22" s="163" t="s">
        <v>700</v>
      </c>
      <c r="J22" s="42"/>
      <c r="K22" s="43"/>
      <c r="L22" s="43"/>
      <c r="M22" s="43"/>
      <c r="N22" s="43">
        <f t="shared" si="1"/>
        <v>0</v>
      </c>
      <c r="O22" s="43"/>
      <c r="P22" s="43"/>
      <c r="Q22" s="43">
        <f t="shared" si="2"/>
        <v>0</v>
      </c>
      <c r="R22" s="43"/>
      <c r="S22" s="43"/>
      <c r="T22" s="43"/>
      <c r="U22" s="43"/>
      <c r="V22" s="43"/>
      <c r="W22" s="44"/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37" t="s">
        <v>701</v>
      </c>
      <c r="C23" s="37" t="s">
        <v>702</v>
      </c>
      <c r="D23" s="37" t="s">
        <v>703</v>
      </c>
      <c r="E23" s="133" t="s">
        <v>338</v>
      </c>
      <c r="F23" s="134">
        <v>27.0</v>
      </c>
      <c r="G23" s="134" t="s">
        <v>476</v>
      </c>
      <c r="H23" s="134" t="s">
        <v>435</v>
      </c>
      <c r="I23" s="163" t="s">
        <v>704</v>
      </c>
      <c r="J23" s="42"/>
      <c r="K23" s="43"/>
      <c r="L23" s="43"/>
      <c r="M23" s="43"/>
      <c r="N23" s="43">
        <f t="shared" si="1"/>
        <v>0</v>
      </c>
      <c r="O23" s="43"/>
      <c r="P23" s="43"/>
      <c r="Q23" s="43">
        <f t="shared" si="2"/>
        <v>0</v>
      </c>
      <c r="R23" s="43"/>
      <c r="S23" s="43"/>
      <c r="T23" s="43"/>
      <c r="U23" s="43"/>
      <c r="V23" s="43"/>
      <c r="W23" s="44"/>
      <c r="Z23" s="34"/>
      <c r="AA23" s="61" t="s">
        <v>109</v>
      </c>
      <c r="AB23" s="66">
        <f>COUNTIF(S7:S157, "Ortho")</f>
        <v>0</v>
      </c>
      <c r="AC23" s="34"/>
      <c r="AD23" s="34"/>
    </row>
    <row r="24" ht="13.5" customHeight="1">
      <c r="A24" s="28">
        <v>18.0</v>
      </c>
      <c r="B24" s="37" t="s">
        <v>705</v>
      </c>
      <c r="C24" s="37" t="s">
        <v>706</v>
      </c>
      <c r="D24" s="37" t="s">
        <v>707</v>
      </c>
      <c r="E24" s="133" t="s">
        <v>338</v>
      </c>
      <c r="F24" s="134">
        <v>64.0</v>
      </c>
      <c r="G24" s="134" t="s">
        <v>476</v>
      </c>
      <c r="H24" s="134" t="s">
        <v>708</v>
      </c>
      <c r="I24" s="163" t="s">
        <v>709</v>
      </c>
      <c r="J24" s="54">
        <v>25.0</v>
      </c>
      <c r="K24" s="55">
        <v>16.0</v>
      </c>
      <c r="L24" s="55">
        <v>0.0</v>
      </c>
      <c r="M24" s="55">
        <v>0.0</v>
      </c>
      <c r="N24" s="43">
        <f t="shared" si="1"/>
        <v>0</v>
      </c>
      <c r="O24" s="55">
        <v>7.0</v>
      </c>
      <c r="P24" s="55">
        <v>9.0</v>
      </c>
      <c r="Q24" s="43">
        <f t="shared" si="2"/>
        <v>16</v>
      </c>
      <c r="R24" s="43"/>
      <c r="S24" s="43"/>
      <c r="T24" s="43"/>
      <c r="U24" s="43"/>
      <c r="V24" s="55" t="s">
        <v>710</v>
      </c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37" t="s">
        <v>711</v>
      </c>
      <c r="C25" s="37" t="s">
        <v>712</v>
      </c>
      <c r="D25" s="37" t="s">
        <v>713</v>
      </c>
      <c r="E25" s="133" t="s">
        <v>338</v>
      </c>
      <c r="F25" s="134">
        <v>42.0</v>
      </c>
      <c r="G25" s="134" t="s">
        <v>476</v>
      </c>
      <c r="H25" s="134" t="s">
        <v>663</v>
      </c>
      <c r="I25" s="163" t="s">
        <v>714</v>
      </c>
      <c r="J25" s="54">
        <v>26.0</v>
      </c>
      <c r="K25" s="55">
        <v>24.0</v>
      </c>
      <c r="L25" s="55">
        <v>0.0</v>
      </c>
      <c r="M25" s="55">
        <v>3.0</v>
      </c>
      <c r="N25" s="43">
        <f t="shared" si="1"/>
        <v>3</v>
      </c>
      <c r="O25" s="55">
        <v>6.0</v>
      </c>
      <c r="P25" s="55">
        <v>0.0</v>
      </c>
      <c r="Q25" s="43">
        <f t="shared" si="2"/>
        <v>9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37" t="s">
        <v>715</v>
      </c>
      <c r="C26" s="37" t="s">
        <v>716</v>
      </c>
      <c r="D26" s="37" t="s">
        <v>717</v>
      </c>
      <c r="E26" s="133" t="s">
        <v>338</v>
      </c>
      <c r="F26" s="134">
        <v>52.0</v>
      </c>
      <c r="G26" s="134" t="s">
        <v>476</v>
      </c>
      <c r="H26" s="134" t="s">
        <v>646</v>
      </c>
      <c r="I26" s="163" t="s">
        <v>718</v>
      </c>
      <c r="J26" s="54">
        <v>21.0</v>
      </c>
      <c r="K26" s="55">
        <v>16.0</v>
      </c>
      <c r="L26" s="55">
        <v>2.0</v>
      </c>
      <c r="M26" s="55">
        <v>3.0</v>
      </c>
      <c r="N26" s="43">
        <f t="shared" si="1"/>
        <v>5</v>
      </c>
      <c r="O26" s="55">
        <v>11.0</v>
      </c>
      <c r="P26" s="55">
        <v>0.0</v>
      </c>
      <c r="Q26" s="43">
        <f t="shared" si="2"/>
        <v>16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37" t="s">
        <v>719</v>
      </c>
      <c r="C27" s="37" t="s">
        <v>720</v>
      </c>
      <c r="D27" s="37" t="s">
        <v>721</v>
      </c>
      <c r="E27" s="133" t="s">
        <v>338</v>
      </c>
      <c r="F27" s="134">
        <v>27.0</v>
      </c>
      <c r="G27" s="134" t="s">
        <v>476</v>
      </c>
      <c r="H27" s="134" t="s">
        <v>435</v>
      </c>
      <c r="I27" s="163" t="s">
        <v>722</v>
      </c>
      <c r="J27" s="42"/>
      <c r="K27" s="43"/>
      <c r="L27" s="43"/>
      <c r="M27" s="43"/>
      <c r="N27" s="43">
        <f t="shared" si="1"/>
        <v>0</v>
      </c>
      <c r="O27" s="43"/>
      <c r="P27" s="43"/>
      <c r="Q27" s="43">
        <f t="shared" si="2"/>
        <v>0</v>
      </c>
      <c r="R27" s="43"/>
      <c r="S27" s="43"/>
      <c r="T27" s="43"/>
      <c r="U27" s="43"/>
      <c r="V27" s="43"/>
      <c r="W27" s="44"/>
      <c r="Z27" s="34"/>
      <c r="AA27" s="34"/>
      <c r="AB27" s="34"/>
      <c r="AC27" s="34"/>
      <c r="AD27" s="34"/>
    </row>
    <row r="28" ht="13.5" customHeight="1">
      <c r="A28" s="28">
        <v>22.0</v>
      </c>
      <c r="B28" s="37" t="s">
        <v>723</v>
      </c>
      <c r="C28" s="37" t="s">
        <v>724</v>
      </c>
      <c r="D28" s="37" t="s">
        <v>725</v>
      </c>
      <c r="E28" s="133" t="s">
        <v>338</v>
      </c>
      <c r="F28" s="134">
        <v>29.0</v>
      </c>
      <c r="G28" s="134" t="s">
        <v>584</v>
      </c>
      <c r="H28" s="134" t="s">
        <v>435</v>
      </c>
      <c r="I28" s="163" t="s">
        <v>726</v>
      </c>
      <c r="J28" s="42"/>
      <c r="K28" s="43"/>
      <c r="L28" s="43"/>
      <c r="M28" s="43"/>
      <c r="N28" s="43">
        <v>0.0</v>
      </c>
      <c r="O28" s="43"/>
      <c r="P28" s="43"/>
      <c r="Q28" s="43">
        <f t="shared" si="2"/>
        <v>0</v>
      </c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37" t="s">
        <v>727</v>
      </c>
      <c r="C29" s="37" t="s">
        <v>728</v>
      </c>
      <c r="D29" s="37" t="s">
        <v>729</v>
      </c>
      <c r="E29" s="133" t="s">
        <v>338</v>
      </c>
      <c r="F29" s="134">
        <v>57.0</v>
      </c>
      <c r="G29" s="134" t="s">
        <v>476</v>
      </c>
      <c r="H29" s="134" t="s">
        <v>646</v>
      </c>
      <c r="I29" s="163" t="s">
        <v>730</v>
      </c>
      <c r="J29" s="54">
        <v>21.0</v>
      </c>
      <c r="K29" s="55">
        <v>16.0</v>
      </c>
      <c r="L29" s="55">
        <v>1.0</v>
      </c>
      <c r="M29" s="55">
        <v>2.0</v>
      </c>
      <c r="N29" s="43">
        <f t="shared" ref="N29:N53" si="3">SUM(L29,M29)</f>
        <v>3</v>
      </c>
      <c r="O29" s="55">
        <v>11.0</v>
      </c>
      <c r="P29" s="55">
        <v>2.0</v>
      </c>
      <c r="Q29" s="43">
        <f t="shared" si="2"/>
        <v>16</v>
      </c>
      <c r="R29" s="43"/>
      <c r="S29" s="43"/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37" t="s">
        <v>731</v>
      </c>
      <c r="C30" s="37" t="s">
        <v>732</v>
      </c>
      <c r="D30" s="37" t="s">
        <v>733</v>
      </c>
      <c r="E30" s="133" t="s">
        <v>338</v>
      </c>
      <c r="F30" s="134">
        <v>46.0</v>
      </c>
      <c r="G30" s="134" t="s">
        <v>476</v>
      </c>
      <c r="H30" s="134" t="s">
        <v>663</v>
      </c>
      <c r="I30" s="163" t="s">
        <v>734</v>
      </c>
      <c r="J30" s="54">
        <v>25.0</v>
      </c>
      <c r="K30" s="55">
        <v>21.0</v>
      </c>
      <c r="L30" s="55">
        <v>0.0</v>
      </c>
      <c r="M30" s="55">
        <v>2.0</v>
      </c>
      <c r="N30" s="43">
        <f t="shared" si="3"/>
        <v>2</v>
      </c>
      <c r="O30" s="55">
        <v>7.0</v>
      </c>
      <c r="P30" s="55">
        <v>1.0</v>
      </c>
      <c r="Q30" s="43">
        <f t="shared" si="2"/>
        <v>10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37" t="s">
        <v>735</v>
      </c>
      <c r="C31" s="37" t="s">
        <v>736</v>
      </c>
      <c r="D31" s="37" t="s">
        <v>737</v>
      </c>
      <c r="E31" s="133" t="s">
        <v>338</v>
      </c>
      <c r="F31" s="134">
        <v>46.0</v>
      </c>
      <c r="G31" s="134" t="s">
        <v>476</v>
      </c>
      <c r="H31" s="134" t="s">
        <v>738</v>
      </c>
      <c r="I31" s="163" t="s">
        <v>739</v>
      </c>
      <c r="J31" s="54">
        <v>30.0</v>
      </c>
      <c r="K31" s="55">
        <v>27.0</v>
      </c>
      <c r="L31" s="55">
        <v>0.0</v>
      </c>
      <c r="M31" s="55">
        <v>0.0</v>
      </c>
      <c r="N31" s="43">
        <f t="shared" si="3"/>
        <v>0</v>
      </c>
      <c r="O31" s="55">
        <v>2.0</v>
      </c>
      <c r="P31" s="55">
        <v>3.0</v>
      </c>
      <c r="Q31" s="43">
        <f t="shared" si="2"/>
        <v>5</v>
      </c>
      <c r="R31" s="43"/>
      <c r="S31" s="43"/>
      <c r="T31" s="43"/>
      <c r="U31" s="43"/>
      <c r="V31" s="55" t="s">
        <v>692</v>
      </c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37" t="s">
        <v>740</v>
      </c>
      <c r="C32" s="37" t="s">
        <v>741</v>
      </c>
      <c r="D32" s="37" t="s">
        <v>742</v>
      </c>
      <c r="E32" s="133" t="s">
        <v>338</v>
      </c>
      <c r="F32" s="134">
        <v>26.0</v>
      </c>
      <c r="G32" s="134" t="s">
        <v>476</v>
      </c>
      <c r="H32" s="134" t="s">
        <v>435</v>
      </c>
      <c r="I32" s="163" t="s">
        <v>743</v>
      </c>
      <c r="J32" s="42"/>
      <c r="K32" s="43"/>
      <c r="L32" s="43"/>
      <c r="M32" s="43"/>
      <c r="N32" s="43">
        <f t="shared" si="3"/>
        <v>0</v>
      </c>
      <c r="O32" s="43"/>
      <c r="P32" s="43"/>
      <c r="Q32" s="43">
        <f t="shared" si="2"/>
        <v>0</v>
      </c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37" t="s">
        <v>744</v>
      </c>
      <c r="C33" s="37" t="s">
        <v>745</v>
      </c>
      <c r="D33" s="37" t="s">
        <v>746</v>
      </c>
      <c r="E33" s="133" t="s">
        <v>338</v>
      </c>
      <c r="F33" s="134">
        <v>32.0</v>
      </c>
      <c r="G33" s="134" t="s">
        <v>476</v>
      </c>
      <c r="H33" s="134" t="s">
        <v>663</v>
      </c>
      <c r="I33" s="163" t="s">
        <v>747</v>
      </c>
      <c r="J33" s="54">
        <v>26.0</v>
      </c>
      <c r="K33" s="55">
        <v>15.0</v>
      </c>
      <c r="L33" s="55">
        <v>0.0</v>
      </c>
      <c r="M33" s="55">
        <v>0.0</v>
      </c>
      <c r="N33" s="43">
        <f t="shared" si="3"/>
        <v>0</v>
      </c>
      <c r="O33" s="55">
        <v>6.0</v>
      </c>
      <c r="P33" s="55">
        <v>11.0</v>
      </c>
      <c r="Q33" s="43">
        <f t="shared" si="2"/>
        <v>17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37" t="s">
        <v>725</v>
      </c>
      <c r="C34" s="37" t="s">
        <v>748</v>
      </c>
      <c r="D34" s="37" t="s">
        <v>749</v>
      </c>
      <c r="E34" s="133" t="s">
        <v>338</v>
      </c>
      <c r="F34" s="134">
        <v>35.0</v>
      </c>
      <c r="G34" s="134" t="s">
        <v>476</v>
      </c>
      <c r="H34" s="134" t="s">
        <v>435</v>
      </c>
      <c r="I34" s="163" t="s">
        <v>750</v>
      </c>
      <c r="J34" s="54">
        <v>29.0</v>
      </c>
      <c r="K34" s="55">
        <v>23.0</v>
      </c>
      <c r="L34" s="55">
        <v>0.0</v>
      </c>
      <c r="M34" s="55">
        <v>6.0</v>
      </c>
      <c r="N34" s="43">
        <f t="shared" si="3"/>
        <v>6</v>
      </c>
      <c r="O34" s="55">
        <v>3.0</v>
      </c>
      <c r="P34" s="55">
        <v>0.0</v>
      </c>
      <c r="Q34" s="43">
        <f t="shared" si="2"/>
        <v>9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37" t="s">
        <v>751</v>
      </c>
      <c r="C35" s="37" t="s">
        <v>752</v>
      </c>
      <c r="D35" s="37" t="s">
        <v>753</v>
      </c>
      <c r="E35" s="133" t="s">
        <v>338</v>
      </c>
      <c r="F35" s="134">
        <v>52.0</v>
      </c>
      <c r="G35" s="134" t="s">
        <v>476</v>
      </c>
      <c r="H35" s="134" t="s">
        <v>663</v>
      </c>
      <c r="I35" s="163" t="s">
        <v>754</v>
      </c>
      <c r="J35" s="161">
        <v>18.0</v>
      </c>
      <c r="K35" s="55">
        <v>16.0</v>
      </c>
      <c r="L35" s="55">
        <v>2.0</v>
      </c>
      <c r="M35" s="55">
        <v>0.0</v>
      </c>
      <c r="N35" s="43">
        <f t="shared" si="3"/>
        <v>2</v>
      </c>
      <c r="O35" s="55">
        <v>14.0</v>
      </c>
      <c r="P35" s="55">
        <v>0.0</v>
      </c>
      <c r="Q35" s="43">
        <f t="shared" si="2"/>
        <v>16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37" t="s">
        <v>755</v>
      </c>
      <c r="C36" s="37" t="s">
        <v>756</v>
      </c>
      <c r="D36" s="37" t="s">
        <v>523</v>
      </c>
      <c r="E36" s="133" t="s">
        <v>338</v>
      </c>
      <c r="F36" s="134">
        <v>27.0</v>
      </c>
      <c r="G36" s="134" t="s">
        <v>476</v>
      </c>
      <c r="H36" s="134" t="s">
        <v>435</v>
      </c>
      <c r="I36" s="163" t="s">
        <v>757</v>
      </c>
      <c r="J36" s="87">
        <v>31.0</v>
      </c>
      <c r="K36" s="55">
        <v>30.0</v>
      </c>
      <c r="L36" s="55">
        <v>0.0</v>
      </c>
      <c r="M36" s="55">
        <v>0.0</v>
      </c>
      <c r="N36" s="43">
        <f t="shared" si="3"/>
        <v>0</v>
      </c>
      <c r="O36" s="55">
        <v>1.0</v>
      </c>
      <c r="P36" s="55">
        <v>1.0</v>
      </c>
      <c r="Q36" s="43">
        <f t="shared" si="2"/>
        <v>2</v>
      </c>
      <c r="R36" s="43"/>
      <c r="S36" s="43"/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37" t="s">
        <v>758</v>
      </c>
      <c r="C37" s="37" t="s">
        <v>759</v>
      </c>
      <c r="D37" s="37" t="s">
        <v>760</v>
      </c>
      <c r="E37" s="133" t="s">
        <v>338</v>
      </c>
      <c r="F37" s="134">
        <v>39.0</v>
      </c>
      <c r="G37" s="134" t="s">
        <v>476</v>
      </c>
      <c r="H37" s="134" t="s">
        <v>646</v>
      </c>
      <c r="I37" s="163" t="s">
        <v>761</v>
      </c>
      <c r="J37" s="87">
        <v>26.0</v>
      </c>
      <c r="K37" s="55">
        <v>25.0</v>
      </c>
      <c r="L37" s="55">
        <v>1.0</v>
      </c>
      <c r="M37" s="55">
        <v>0.0</v>
      </c>
      <c r="N37" s="43">
        <f t="shared" si="3"/>
        <v>1</v>
      </c>
      <c r="O37" s="55">
        <v>6.0</v>
      </c>
      <c r="P37" s="55">
        <v>0.0</v>
      </c>
      <c r="Q37" s="43">
        <f t="shared" si="2"/>
        <v>7</v>
      </c>
      <c r="R37" s="43"/>
      <c r="S37" s="43"/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37" t="s">
        <v>762</v>
      </c>
      <c r="C38" s="37" t="s">
        <v>763</v>
      </c>
      <c r="D38" s="37" t="s">
        <v>764</v>
      </c>
      <c r="E38" s="133" t="s">
        <v>338</v>
      </c>
      <c r="F38" s="134">
        <v>48.0</v>
      </c>
      <c r="G38" s="134" t="s">
        <v>476</v>
      </c>
      <c r="H38" s="134" t="s">
        <v>708</v>
      </c>
      <c r="I38" s="163" t="s">
        <v>765</v>
      </c>
      <c r="J38" s="87">
        <v>28.0</v>
      </c>
      <c r="K38" s="55">
        <v>25.0</v>
      </c>
      <c r="L38" s="55">
        <v>0.0</v>
      </c>
      <c r="M38" s="55">
        <v>1.0</v>
      </c>
      <c r="N38" s="43">
        <f t="shared" si="3"/>
        <v>1</v>
      </c>
      <c r="O38" s="55">
        <v>4.0</v>
      </c>
      <c r="P38" s="55">
        <v>2.0</v>
      </c>
      <c r="Q38" s="43">
        <f t="shared" si="2"/>
        <v>7</v>
      </c>
      <c r="R38" s="43"/>
      <c r="S38" s="43"/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37" t="s">
        <v>766</v>
      </c>
      <c r="C39" s="37" t="s">
        <v>767</v>
      </c>
      <c r="D39" s="37" t="s">
        <v>768</v>
      </c>
      <c r="E39" s="133" t="s">
        <v>338</v>
      </c>
      <c r="F39" s="134">
        <v>48.0</v>
      </c>
      <c r="G39" s="134" t="s">
        <v>476</v>
      </c>
      <c r="H39" s="134" t="s">
        <v>663</v>
      </c>
      <c r="I39" s="163" t="s">
        <v>769</v>
      </c>
      <c r="J39" s="87">
        <v>24.0</v>
      </c>
      <c r="K39" s="55">
        <v>19.0</v>
      </c>
      <c r="L39" s="55">
        <v>1.0</v>
      </c>
      <c r="M39" s="55">
        <v>4.0</v>
      </c>
      <c r="N39" s="43">
        <f t="shared" si="3"/>
        <v>5</v>
      </c>
      <c r="O39" s="55">
        <v>8.0</v>
      </c>
      <c r="P39" s="55">
        <v>0.0</v>
      </c>
      <c r="Q39" s="43">
        <f t="shared" si="2"/>
        <v>13</v>
      </c>
      <c r="R39" s="43"/>
      <c r="S39" s="43"/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37" t="s">
        <v>770</v>
      </c>
      <c r="C40" s="37" t="s">
        <v>771</v>
      </c>
      <c r="D40" s="37" t="s">
        <v>772</v>
      </c>
      <c r="E40" s="133" t="s">
        <v>338</v>
      </c>
      <c r="F40" s="134">
        <v>27.0</v>
      </c>
      <c r="G40" s="134" t="s">
        <v>584</v>
      </c>
      <c r="H40" s="134" t="s">
        <v>435</v>
      </c>
      <c r="I40" s="163" t="s">
        <v>773</v>
      </c>
      <c r="J40" s="87">
        <v>32.0</v>
      </c>
      <c r="K40" s="55">
        <v>32.0</v>
      </c>
      <c r="L40" s="55">
        <v>0.0</v>
      </c>
      <c r="M40" s="55">
        <v>0.0</v>
      </c>
      <c r="N40" s="43">
        <f t="shared" si="3"/>
        <v>0</v>
      </c>
      <c r="O40" s="55">
        <v>0.0</v>
      </c>
      <c r="P40" s="55">
        <v>0.0</v>
      </c>
      <c r="Q40" s="43">
        <f t="shared" si="2"/>
        <v>0</v>
      </c>
      <c r="R40" s="43"/>
      <c r="S40" s="43"/>
      <c r="T40" s="43"/>
      <c r="U40" s="43"/>
      <c r="V40" s="55" t="s">
        <v>692</v>
      </c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37" t="s">
        <v>774</v>
      </c>
      <c r="C41" s="37" t="s">
        <v>775</v>
      </c>
      <c r="D41" s="37" t="s">
        <v>776</v>
      </c>
      <c r="E41" s="133" t="s">
        <v>338</v>
      </c>
      <c r="F41" s="134">
        <v>43.0</v>
      </c>
      <c r="G41" s="134" t="s">
        <v>476</v>
      </c>
      <c r="H41" s="134" t="s">
        <v>435</v>
      </c>
      <c r="I41" s="163" t="s">
        <v>777</v>
      </c>
      <c r="J41" s="87">
        <v>29.0</v>
      </c>
      <c r="K41" s="55">
        <v>22.0</v>
      </c>
      <c r="L41" s="55">
        <v>0.0</v>
      </c>
      <c r="M41" s="55">
        <v>6.0</v>
      </c>
      <c r="N41" s="43">
        <f t="shared" si="3"/>
        <v>6</v>
      </c>
      <c r="O41" s="55">
        <v>3.0</v>
      </c>
      <c r="P41" s="55">
        <v>0.0</v>
      </c>
      <c r="Q41" s="43">
        <f t="shared" si="2"/>
        <v>9</v>
      </c>
      <c r="R41" s="43"/>
      <c r="S41" s="43"/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37" t="s">
        <v>778</v>
      </c>
      <c r="C42" s="37" t="s">
        <v>779</v>
      </c>
      <c r="D42" s="37" t="s">
        <v>780</v>
      </c>
      <c r="E42" s="133" t="s">
        <v>338</v>
      </c>
      <c r="F42" s="134">
        <v>39.0</v>
      </c>
      <c r="G42" s="134" t="s">
        <v>476</v>
      </c>
      <c r="H42" s="134" t="s">
        <v>663</v>
      </c>
      <c r="I42" s="163" t="s">
        <v>781</v>
      </c>
      <c r="J42" s="87">
        <v>28.0</v>
      </c>
      <c r="K42" s="55">
        <v>21.0</v>
      </c>
      <c r="L42" s="55">
        <v>0.0</v>
      </c>
      <c r="M42" s="55">
        <v>1.0</v>
      </c>
      <c r="N42" s="43">
        <f t="shared" si="3"/>
        <v>1</v>
      </c>
      <c r="O42" s="43"/>
      <c r="P42" s="55">
        <v>4.0</v>
      </c>
      <c r="Q42" s="55">
        <v>6.0</v>
      </c>
      <c r="R42" s="43"/>
      <c r="S42" s="43"/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37" t="s">
        <v>782</v>
      </c>
      <c r="C43" s="37" t="s">
        <v>783</v>
      </c>
      <c r="D43" s="37" t="s">
        <v>784</v>
      </c>
      <c r="E43" s="133" t="s">
        <v>338</v>
      </c>
      <c r="F43" s="134">
        <v>30.0</v>
      </c>
      <c r="G43" s="134" t="s">
        <v>476</v>
      </c>
      <c r="H43" s="134" t="s">
        <v>435</v>
      </c>
      <c r="I43" s="163" t="s">
        <v>785</v>
      </c>
      <c r="J43" s="87">
        <v>19.0</v>
      </c>
      <c r="K43" s="55">
        <v>19.0</v>
      </c>
      <c r="L43" s="55">
        <v>0.0</v>
      </c>
      <c r="M43" s="55">
        <v>0.0</v>
      </c>
      <c r="N43" s="43">
        <f t="shared" si="3"/>
        <v>0</v>
      </c>
      <c r="O43" s="55">
        <v>13.0</v>
      </c>
      <c r="P43" s="55">
        <v>0.0</v>
      </c>
      <c r="Q43" s="43">
        <f t="shared" ref="Q43:Q53" si="4">SUM(N43,O43,P43)</f>
        <v>13</v>
      </c>
      <c r="R43" s="43"/>
      <c r="S43" s="43"/>
      <c r="T43" s="43"/>
      <c r="U43" s="43"/>
      <c r="V43" s="55" t="s">
        <v>786</v>
      </c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37" t="s">
        <v>787</v>
      </c>
      <c r="C44" s="37" t="s">
        <v>788</v>
      </c>
      <c r="D44" s="37" t="s">
        <v>789</v>
      </c>
      <c r="E44" s="133" t="s">
        <v>338</v>
      </c>
      <c r="F44" s="134">
        <v>45.0</v>
      </c>
      <c r="G44" s="134" t="s">
        <v>476</v>
      </c>
      <c r="H44" s="134" t="s">
        <v>646</v>
      </c>
      <c r="I44" s="163" t="s">
        <v>790</v>
      </c>
      <c r="J44" s="87">
        <v>25.0</v>
      </c>
      <c r="K44" s="55">
        <v>21.0</v>
      </c>
      <c r="L44" s="55">
        <v>5.0</v>
      </c>
      <c r="M44" s="55">
        <v>0.0</v>
      </c>
      <c r="N44" s="43">
        <f t="shared" si="3"/>
        <v>5</v>
      </c>
      <c r="O44" s="55">
        <v>7.0</v>
      </c>
      <c r="P44" s="55">
        <v>0.0</v>
      </c>
      <c r="Q44" s="43">
        <f t="shared" si="4"/>
        <v>12</v>
      </c>
      <c r="R44" s="43"/>
      <c r="S44" s="43"/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37" t="s">
        <v>791</v>
      </c>
      <c r="C45" s="37" t="s">
        <v>792</v>
      </c>
      <c r="D45" s="37" t="s">
        <v>793</v>
      </c>
      <c r="E45" s="133" t="s">
        <v>338</v>
      </c>
      <c r="F45" s="134">
        <v>37.0</v>
      </c>
      <c r="G45" s="134" t="s">
        <v>476</v>
      </c>
      <c r="H45" s="134" t="s">
        <v>435</v>
      </c>
      <c r="I45" s="163" t="s">
        <v>794</v>
      </c>
      <c r="J45" s="87">
        <v>20.0</v>
      </c>
      <c r="K45" s="55">
        <v>18.0</v>
      </c>
      <c r="L45" s="55">
        <v>0.0</v>
      </c>
      <c r="M45" s="55">
        <v>1.0</v>
      </c>
      <c r="N45" s="43">
        <f t="shared" si="3"/>
        <v>1</v>
      </c>
      <c r="O45" s="55">
        <v>12.0</v>
      </c>
      <c r="P45" s="55">
        <v>1.0</v>
      </c>
      <c r="Q45" s="43">
        <f t="shared" si="4"/>
        <v>14</v>
      </c>
      <c r="R45" s="43"/>
      <c r="S45" s="43"/>
      <c r="T45" s="43"/>
      <c r="U45" s="43"/>
      <c r="V45" s="55" t="s">
        <v>648</v>
      </c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37" t="s">
        <v>795</v>
      </c>
      <c r="C46" s="37" t="s">
        <v>796</v>
      </c>
      <c r="D46" s="37" t="s">
        <v>797</v>
      </c>
      <c r="E46" s="133" t="s">
        <v>338</v>
      </c>
      <c r="F46" s="134">
        <v>43.0</v>
      </c>
      <c r="G46" s="134" t="s">
        <v>476</v>
      </c>
      <c r="H46" s="134" t="s">
        <v>663</v>
      </c>
      <c r="I46" s="163" t="s">
        <v>798</v>
      </c>
      <c r="J46" s="87">
        <v>26.0</v>
      </c>
      <c r="K46" s="55">
        <v>18.0</v>
      </c>
      <c r="L46" s="55">
        <v>0.0</v>
      </c>
      <c r="M46" s="55">
        <v>0.0</v>
      </c>
      <c r="N46" s="43">
        <f t="shared" si="3"/>
        <v>0</v>
      </c>
      <c r="O46" s="55">
        <v>6.0</v>
      </c>
      <c r="P46" s="55">
        <v>8.0</v>
      </c>
      <c r="Q46" s="43">
        <f t="shared" si="4"/>
        <v>14</v>
      </c>
      <c r="R46" s="43"/>
      <c r="S46" s="43"/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37" t="s">
        <v>799</v>
      </c>
      <c r="C47" s="37" t="s">
        <v>800</v>
      </c>
      <c r="D47" s="37" t="s">
        <v>801</v>
      </c>
      <c r="E47" s="133" t="s">
        <v>338</v>
      </c>
      <c r="F47" s="134">
        <v>41.0</v>
      </c>
      <c r="G47" s="134" t="s">
        <v>476</v>
      </c>
      <c r="H47" s="134" t="s">
        <v>646</v>
      </c>
      <c r="I47" s="163" t="s">
        <v>802</v>
      </c>
      <c r="J47" s="87">
        <v>31.0</v>
      </c>
      <c r="K47" s="55">
        <v>31.0</v>
      </c>
      <c r="L47" s="55">
        <v>0.0</v>
      </c>
      <c r="M47" s="55">
        <v>0.0</v>
      </c>
      <c r="N47" s="43">
        <f t="shared" si="3"/>
        <v>0</v>
      </c>
      <c r="O47" s="55">
        <v>1.0</v>
      </c>
      <c r="P47" s="55">
        <v>0.0</v>
      </c>
      <c r="Q47" s="43">
        <f t="shared" si="4"/>
        <v>1</v>
      </c>
      <c r="R47" s="43"/>
      <c r="S47" s="43"/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37" t="s">
        <v>803</v>
      </c>
      <c r="C48" s="37" t="s">
        <v>804</v>
      </c>
      <c r="D48" s="37" t="s">
        <v>805</v>
      </c>
      <c r="E48" s="133" t="s">
        <v>338</v>
      </c>
      <c r="F48" s="134">
        <v>36.0</v>
      </c>
      <c r="G48" s="134" t="s">
        <v>476</v>
      </c>
      <c r="H48" s="134" t="s">
        <v>663</v>
      </c>
      <c r="I48" s="163" t="s">
        <v>806</v>
      </c>
      <c r="J48" s="87">
        <v>23.0</v>
      </c>
      <c r="K48" s="55">
        <v>21.0</v>
      </c>
      <c r="L48" s="55">
        <v>0.0</v>
      </c>
      <c r="M48" s="55">
        <v>0.0</v>
      </c>
      <c r="N48" s="43">
        <f t="shared" si="3"/>
        <v>0</v>
      </c>
      <c r="O48" s="55">
        <v>9.0</v>
      </c>
      <c r="P48" s="55">
        <v>1.0</v>
      </c>
      <c r="Q48" s="43">
        <f t="shared" si="4"/>
        <v>10</v>
      </c>
      <c r="R48" s="43"/>
      <c r="S48" s="43"/>
      <c r="T48" s="43"/>
      <c r="U48" s="43"/>
      <c r="V48" s="55" t="s">
        <v>692</v>
      </c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37" t="s">
        <v>807</v>
      </c>
      <c r="C49" s="37" t="s">
        <v>808</v>
      </c>
      <c r="D49" s="37" t="s">
        <v>809</v>
      </c>
      <c r="E49" s="133" t="s">
        <v>338</v>
      </c>
      <c r="F49" s="134">
        <v>50.0</v>
      </c>
      <c r="G49" s="134" t="s">
        <v>476</v>
      </c>
      <c r="H49" s="134" t="s">
        <v>663</v>
      </c>
      <c r="I49" s="163" t="s">
        <v>810</v>
      </c>
      <c r="J49" s="87">
        <v>15.0</v>
      </c>
      <c r="K49" s="55">
        <v>14.0</v>
      </c>
      <c r="L49" s="55">
        <v>0.0</v>
      </c>
      <c r="M49" s="55">
        <v>0.0</v>
      </c>
      <c r="N49" s="43">
        <f t="shared" si="3"/>
        <v>0</v>
      </c>
      <c r="O49" s="55">
        <v>17.0</v>
      </c>
      <c r="P49" s="55">
        <v>1.0</v>
      </c>
      <c r="Q49" s="43">
        <f t="shared" si="4"/>
        <v>18</v>
      </c>
      <c r="R49" s="43"/>
      <c r="S49" s="43"/>
      <c r="T49" s="43"/>
      <c r="U49" s="43"/>
      <c r="V49" s="55" t="s">
        <v>648</v>
      </c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37" t="s">
        <v>811</v>
      </c>
      <c r="C50" s="37" t="s">
        <v>812</v>
      </c>
      <c r="D50" s="37" t="s">
        <v>813</v>
      </c>
      <c r="E50" s="133" t="s">
        <v>338</v>
      </c>
      <c r="F50" s="134">
        <v>33.0</v>
      </c>
      <c r="G50" s="134" t="s">
        <v>584</v>
      </c>
      <c r="H50" s="134" t="s">
        <v>435</v>
      </c>
      <c r="I50" s="163" t="s">
        <v>814</v>
      </c>
      <c r="J50" s="87">
        <v>32.0</v>
      </c>
      <c r="K50" s="55">
        <v>32.0</v>
      </c>
      <c r="L50" s="55">
        <v>0.0</v>
      </c>
      <c r="M50" s="55">
        <v>0.0</v>
      </c>
      <c r="N50" s="43">
        <f t="shared" si="3"/>
        <v>0</v>
      </c>
      <c r="O50" s="55">
        <v>0.0</v>
      </c>
      <c r="P50" s="55">
        <v>0.0</v>
      </c>
      <c r="Q50" s="43">
        <f t="shared" si="4"/>
        <v>0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7" t="s">
        <v>815</v>
      </c>
      <c r="C51" s="37" t="s">
        <v>816</v>
      </c>
      <c r="D51" s="37" t="s">
        <v>713</v>
      </c>
      <c r="E51" s="133" t="s">
        <v>338</v>
      </c>
      <c r="F51" s="134">
        <v>33.0</v>
      </c>
      <c r="G51" s="134" t="s">
        <v>476</v>
      </c>
      <c r="H51" s="134" t="s">
        <v>435</v>
      </c>
      <c r="I51" s="163" t="s">
        <v>817</v>
      </c>
      <c r="J51" s="87">
        <v>26.0</v>
      </c>
      <c r="K51" s="55">
        <v>20.0</v>
      </c>
      <c r="L51" s="55">
        <v>0.0</v>
      </c>
      <c r="M51" s="55">
        <v>0.0</v>
      </c>
      <c r="N51" s="43">
        <f t="shared" si="3"/>
        <v>0</v>
      </c>
      <c r="O51" s="55">
        <v>6.0</v>
      </c>
      <c r="P51" s="55">
        <v>6.0</v>
      </c>
      <c r="Q51" s="43">
        <f t="shared" si="4"/>
        <v>12</v>
      </c>
      <c r="R51" s="43"/>
      <c r="S51" s="43"/>
      <c r="T51" s="43"/>
      <c r="U51" s="43"/>
      <c r="V51" s="55" t="s">
        <v>692</v>
      </c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164"/>
      <c r="C52" s="165"/>
      <c r="D52" s="165"/>
      <c r="E52" s="166"/>
      <c r="F52" s="166"/>
      <c r="G52" s="166"/>
      <c r="H52" s="166"/>
      <c r="I52" s="166"/>
      <c r="J52" s="167"/>
      <c r="K52" s="43"/>
      <c r="L52" s="43"/>
      <c r="M52" s="43"/>
      <c r="N52" s="43">
        <f t="shared" si="3"/>
        <v>0</v>
      </c>
      <c r="O52" s="43"/>
      <c r="P52" s="43"/>
      <c r="Q52" s="43">
        <f t="shared" si="4"/>
        <v>0</v>
      </c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21.0" customHeight="1">
      <c r="A53" s="28">
        <v>47.0</v>
      </c>
      <c r="B53" s="168"/>
      <c r="C53" s="168"/>
      <c r="D53" s="168"/>
      <c r="E53" s="53"/>
      <c r="F53" s="169"/>
      <c r="G53" s="169"/>
      <c r="H53" s="53"/>
      <c r="I53" s="82"/>
      <c r="J53" s="83"/>
      <c r="K53" s="43"/>
      <c r="L53" s="43"/>
      <c r="M53" s="43"/>
      <c r="N53" s="43">
        <f t="shared" si="3"/>
        <v>0</v>
      </c>
      <c r="O53" s="43"/>
      <c r="P53" s="43"/>
      <c r="Q53" s="43">
        <f t="shared" si="4"/>
        <v>0</v>
      </c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37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37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37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37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37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37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37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37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37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37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5">SUM(J7:J156)</f>
        <v>966</v>
      </c>
      <c r="K157" s="123">
        <f t="shared" si="5"/>
        <v>820</v>
      </c>
      <c r="L157" s="123">
        <f t="shared" si="5"/>
        <v>20</v>
      </c>
      <c r="M157" s="123">
        <f t="shared" si="5"/>
        <v>49</v>
      </c>
      <c r="N157" s="123">
        <f t="shared" si="5"/>
        <v>69</v>
      </c>
      <c r="O157" s="123">
        <f t="shared" si="5"/>
        <v>244</v>
      </c>
      <c r="P157" s="123">
        <f t="shared" si="5"/>
        <v>77</v>
      </c>
      <c r="Q157" s="123">
        <f t="shared" si="5"/>
        <v>391</v>
      </c>
      <c r="R157" s="124"/>
      <c r="S157" s="124"/>
      <c r="T157" s="125"/>
      <c r="U157" s="145" t="s">
        <v>330</v>
      </c>
      <c r="V157" s="5"/>
      <c r="W157" s="126">
        <f>COUNTIF(W7:W156,"YES")</f>
        <v>38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7.75"/>
    <col customWidth="1" min="3" max="3" width="17.0"/>
    <col customWidth="1" min="4" max="4" width="15.75"/>
    <col customWidth="1" min="5" max="5" width="17.75"/>
    <col customWidth="1" min="6" max="6" width="6.38"/>
    <col customWidth="1" min="7" max="7" width="9.88"/>
    <col customWidth="1" min="8" max="8" width="13.75"/>
    <col customWidth="1" min="9" max="9" width="15.0"/>
    <col customWidth="1" min="10" max="10" width="12.13"/>
    <col customWidth="1" min="11" max="11" width="10.13"/>
    <col customWidth="1" min="12" max="12" width="13.25"/>
    <col customWidth="1" min="13" max="13" width="12.25"/>
    <col customWidth="1" min="14" max="21" width="8.63"/>
    <col customWidth="1" min="22" max="22" width="24.75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7" t="s">
        <v>818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7" t="s">
        <v>819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7" t="s">
        <v>820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24.0" customHeight="1">
      <c r="A7" s="28">
        <v>1.0</v>
      </c>
      <c r="B7" s="170" t="s">
        <v>821</v>
      </c>
      <c r="C7" s="170" t="s">
        <v>822</v>
      </c>
      <c r="D7" s="170" t="s">
        <v>823</v>
      </c>
      <c r="E7" s="171" t="s">
        <v>338</v>
      </c>
      <c r="F7" s="172">
        <v>52.0</v>
      </c>
      <c r="G7" s="172" t="s">
        <v>385</v>
      </c>
      <c r="H7" s="172" t="s">
        <v>824</v>
      </c>
      <c r="I7" s="172">
        <v>9.194970756E9</v>
      </c>
      <c r="J7" s="54">
        <v>26.0</v>
      </c>
      <c r="K7" s="55">
        <v>25.0</v>
      </c>
      <c r="L7" s="55">
        <v>0.0</v>
      </c>
      <c r="M7" s="55">
        <v>1.0</v>
      </c>
      <c r="N7" s="43">
        <f t="shared" ref="N7:N53" si="1">SUM(L7,M7)</f>
        <v>1</v>
      </c>
      <c r="O7" s="55">
        <v>6.0</v>
      </c>
      <c r="P7" s="55">
        <v>0.0</v>
      </c>
      <c r="Q7" s="43">
        <f t="shared" ref="Q7:Q53" si="2">SUM(N7,O7,P7)</f>
        <v>7</v>
      </c>
      <c r="R7" s="43"/>
      <c r="S7" s="43"/>
      <c r="T7" s="43"/>
      <c r="U7" s="43"/>
      <c r="V7" s="55" t="s">
        <v>825</v>
      </c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170" t="s">
        <v>826</v>
      </c>
      <c r="C8" s="170" t="s">
        <v>241</v>
      </c>
      <c r="D8" s="170" t="s">
        <v>827</v>
      </c>
      <c r="E8" s="171" t="s">
        <v>338</v>
      </c>
      <c r="F8" s="172">
        <v>46.0</v>
      </c>
      <c r="G8" s="172" t="s">
        <v>339</v>
      </c>
      <c r="H8" s="172" t="s">
        <v>340</v>
      </c>
      <c r="I8" s="172">
        <v>9.093012996E9</v>
      </c>
      <c r="J8" s="54">
        <v>18.0</v>
      </c>
      <c r="K8" s="55">
        <v>13.0</v>
      </c>
      <c r="L8" s="55">
        <v>2.0</v>
      </c>
      <c r="M8" s="55">
        <v>3.0</v>
      </c>
      <c r="N8" s="43">
        <f t="shared" si="1"/>
        <v>5</v>
      </c>
      <c r="O8" s="55">
        <v>13.0</v>
      </c>
      <c r="P8" s="55">
        <v>0.0</v>
      </c>
      <c r="Q8" s="43">
        <f t="shared" si="2"/>
        <v>18</v>
      </c>
      <c r="R8" s="43"/>
      <c r="S8" s="55" t="s">
        <v>190</v>
      </c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170" t="s">
        <v>828</v>
      </c>
      <c r="C9" s="170" t="s">
        <v>829</v>
      </c>
      <c r="D9" s="170" t="s">
        <v>44</v>
      </c>
      <c r="E9" s="171" t="s">
        <v>338</v>
      </c>
      <c r="F9" s="172">
        <v>45.0</v>
      </c>
      <c r="G9" s="172" t="s">
        <v>339</v>
      </c>
      <c r="H9" s="172" t="s">
        <v>340</v>
      </c>
      <c r="I9" s="172">
        <v>9.5659324217E10</v>
      </c>
      <c r="J9" s="54">
        <v>32.0</v>
      </c>
      <c r="K9" s="55">
        <v>28.0</v>
      </c>
      <c r="L9" s="55">
        <v>0.0</v>
      </c>
      <c r="M9" s="55">
        <v>2.0</v>
      </c>
      <c r="N9" s="43">
        <f t="shared" si="1"/>
        <v>2</v>
      </c>
      <c r="O9" s="55">
        <v>0.0</v>
      </c>
      <c r="P9" s="55">
        <v>2.0</v>
      </c>
      <c r="Q9" s="43">
        <f t="shared" si="2"/>
        <v>4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170" t="s">
        <v>830</v>
      </c>
      <c r="C10" s="170" t="s">
        <v>831</v>
      </c>
      <c r="D10" s="170" t="s">
        <v>832</v>
      </c>
      <c r="E10" s="171" t="s">
        <v>338</v>
      </c>
      <c r="F10" s="172">
        <v>38.0</v>
      </c>
      <c r="G10" s="172" t="s">
        <v>339</v>
      </c>
      <c r="H10" s="172" t="s">
        <v>833</v>
      </c>
      <c r="I10" s="172">
        <v>9.4949421218E10</v>
      </c>
      <c r="J10" s="54">
        <v>31.0</v>
      </c>
      <c r="K10" s="55">
        <v>30.0</v>
      </c>
      <c r="L10" s="55">
        <v>0.0</v>
      </c>
      <c r="M10" s="55">
        <v>1.0</v>
      </c>
      <c r="N10" s="43">
        <f t="shared" si="1"/>
        <v>1</v>
      </c>
      <c r="O10" s="55">
        <v>1.0</v>
      </c>
      <c r="P10" s="55">
        <v>0.0</v>
      </c>
      <c r="Q10" s="43">
        <f t="shared" si="2"/>
        <v>2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170" t="s">
        <v>834</v>
      </c>
      <c r="C11" s="170" t="s">
        <v>835</v>
      </c>
      <c r="D11" s="170" t="s">
        <v>436</v>
      </c>
      <c r="E11" s="171" t="s">
        <v>338</v>
      </c>
      <c r="F11" s="172">
        <v>38.0</v>
      </c>
      <c r="G11" s="172" t="s">
        <v>339</v>
      </c>
      <c r="H11" s="172" t="s">
        <v>833</v>
      </c>
      <c r="I11" s="172">
        <v>9.605314604E9</v>
      </c>
      <c r="J11" s="54">
        <v>17.0</v>
      </c>
      <c r="K11" s="55">
        <v>15.0</v>
      </c>
      <c r="L11" s="55">
        <v>0.0</v>
      </c>
      <c r="M11" s="55">
        <v>0.0</v>
      </c>
      <c r="N11" s="43">
        <f t="shared" si="1"/>
        <v>0</v>
      </c>
      <c r="O11" s="55">
        <v>8.0</v>
      </c>
      <c r="P11" s="55">
        <v>7.0</v>
      </c>
      <c r="Q11" s="43">
        <f t="shared" si="2"/>
        <v>15</v>
      </c>
      <c r="R11" s="43"/>
      <c r="S11" s="55" t="s">
        <v>78</v>
      </c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170" t="s">
        <v>836</v>
      </c>
      <c r="C12" s="170" t="s">
        <v>837</v>
      </c>
      <c r="D12" s="170" t="s">
        <v>838</v>
      </c>
      <c r="E12" s="171" t="s">
        <v>338</v>
      </c>
      <c r="F12" s="172">
        <v>42.0</v>
      </c>
      <c r="G12" s="172" t="s">
        <v>339</v>
      </c>
      <c r="H12" s="172" t="s">
        <v>839</v>
      </c>
      <c r="I12" s="172">
        <v>9.456622229E9</v>
      </c>
      <c r="J12" s="54">
        <v>26.0</v>
      </c>
      <c r="K12" s="55">
        <v>14.0</v>
      </c>
      <c r="L12" s="55">
        <v>0.0</v>
      </c>
      <c r="M12" s="55">
        <v>2.0</v>
      </c>
      <c r="N12" s="43">
        <f t="shared" si="1"/>
        <v>2</v>
      </c>
      <c r="O12" s="55">
        <v>5.0</v>
      </c>
      <c r="P12" s="55">
        <v>10.0</v>
      </c>
      <c r="Q12" s="43">
        <f t="shared" si="2"/>
        <v>17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44</v>
      </c>
    </row>
    <row r="13" ht="13.5" customHeight="1">
      <c r="A13" s="28">
        <v>7.0</v>
      </c>
      <c r="B13" s="170" t="s">
        <v>840</v>
      </c>
      <c r="C13" s="170" t="s">
        <v>841</v>
      </c>
      <c r="D13" s="170" t="s">
        <v>842</v>
      </c>
      <c r="E13" s="171" t="s">
        <v>338</v>
      </c>
      <c r="F13" s="172">
        <v>52.0</v>
      </c>
      <c r="G13" s="172" t="s">
        <v>339</v>
      </c>
      <c r="H13" s="172" t="s">
        <v>553</v>
      </c>
      <c r="I13" s="172">
        <v>9.19658268E9</v>
      </c>
      <c r="J13" s="54">
        <v>23.0</v>
      </c>
      <c r="K13" s="55">
        <v>23.0</v>
      </c>
      <c r="L13" s="55">
        <v>0.0</v>
      </c>
      <c r="M13" s="55">
        <v>0.0</v>
      </c>
      <c r="N13" s="43">
        <f t="shared" si="1"/>
        <v>0</v>
      </c>
      <c r="O13" s="55">
        <v>9.0</v>
      </c>
      <c r="P13" s="55">
        <v>0.0</v>
      </c>
      <c r="Q13" s="43">
        <f t="shared" si="2"/>
        <v>9</v>
      </c>
      <c r="R13" s="43"/>
      <c r="S13" s="55" t="s">
        <v>88</v>
      </c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170" t="s">
        <v>843</v>
      </c>
      <c r="C14" s="170" t="s">
        <v>844</v>
      </c>
      <c r="D14" s="170" t="s">
        <v>845</v>
      </c>
      <c r="E14" s="171" t="s">
        <v>338</v>
      </c>
      <c r="F14" s="172">
        <v>38.0</v>
      </c>
      <c r="G14" s="172" t="s">
        <v>339</v>
      </c>
      <c r="H14" s="172" t="s">
        <v>839</v>
      </c>
      <c r="I14" s="172">
        <v>9.996712446E9</v>
      </c>
      <c r="J14" s="54">
        <v>29.0</v>
      </c>
      <c r="K14" s="55">
        <v>19.0</v>
      </c>
      <c r="L14" s="55">
        <v>0.0</v>
      </c>
      <c r="M14" s="55">
        <v>5.0</v>
      </c>
      <c r="N14" s="43">
        <f t="shared" si="1"/>
        <v>5</v>
      </c>
      <c r="O14" s="55">
        <v>3.0</v>
      </c>
      <c r="P14" s="55">
        <v>5.0</v>
      </c>
      <c r="Q14" s="43">
        <f t="shared" si="2"/>
        <v>13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170" t="s">
        <v>846</v>
      </c>
      <c r="C15" s="170" t="s">
        <v>847</v>
      </c>
      <c r="D15" s="170" t="s">
        <v>848</v>
      </c>
      <c r="E15" s="171" t="s">
        <v>338</v>
      </c>
      <c r="F15" s="172">
        <v>45.0</v>
      </c>
      <c r="G15" s="172" t="s">
        <v>339</v>
      </c>
      <c r="H15" s="172" t="s">
        <v>340</v>
      </c>
      <c r="I15" s="172">
        <v>9.12738029E9</v>
      </c>
      <c r="J15" s="54">
        <v>24.0</v>
      </c>
      <c r="K15" s="55">
        <v>21.0</v>
      </c>
      <c r="L15" s="55">
        <v>0.0</v>
      </c>
      <c r="M15" s="55">
        <v>2.0</v>
      </c>
      <c r="N15" s="43">
        <f t="shared" si="1"/>
        <v>2</v>
      </c>
      <c r="O15" s="55">
        <v>8.0</v>
      </c>
      <c r="P15" s="55">
        <v>1.0</v>
      </c>
      <c r="Q15" s="43">
        <f t="shared" si="2"/>
        <v>11</v>
      </c>
      <c r="R15" s="43"/>
      <c r="S15" s="55" t="s">
        <v>849</v>
      </c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170" t="s">
        <v>850</v>
      </c>
      <c r="C16" s="170" t="s">
        <v>851</v>
      </c>
      <c r="D16" s="170" t="s">
        <v>852</v>
      </c>
      <c r="E16" s="171" t="s">
        <v>338</v>
      </c>
      <c r="F16" s="172">
        <v>44.0</v>
      </c>
      <c r="G16" s="172" t="s">
        <v>339</v>
      </c>
      <c r="H16" s="172" t="s">
        <v>839</v>
      </c>
      <c r="I16" s="172">
        <v>9.684993097E9</v>
      </c>
      <c r="J16" s="54">
        <v>27.0</v>
      </c>
      <c r="K16" s="55">
        <v>18.0</v>
      </c>
      <c r="L16" s="55">
        <v>0.0</v>
      </c>
      <c r="M16" s="55">
        <v>0.0</v>
      </c>
      <c r="N16" s="43">
        <f t="shared" si="1"/>
        <v>0</v>
      </c>
      <c r="O16" s="55">
        <v>5.0</v>
      </c>
      <c r="P16" s="55">
        <v>9.0</v>
      </c>
      <c r="Q16" s="43">
        <f t="shared" si="2"/>
        <v>14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170" t="s">
        <v>853</v>
      </c>
      <c r="C17" s="170" t="s">
        <v>854</v>
      </c>
      <c r="D17" s="170" t="s">
        <v>855</v>
      </c>
      <c r="E17" s="171" t="s">
        <v>338</v>
      </c>
      <c r="F17" s="172">
        <v>40.0</v>
      </c>
      <c r="G17" s="172" t="s">
        <v>339</v>
      </c>
      <c r="H17" s="172" t="s">
        <v>833</v>
      </c>
      <c r="I17" s="172">
        <v>9.301773982E9</v>
      </c>
      <c r="J17" s="54">
        <v>28.0</v>
      </c>
      <c r="K17" s="55">
        <v>18.0</v>
      </c>
      <c r="L17" s="55">
        <v>0.0</v>
      </c>
      <c r="M17" s="55">
        <v>4.0</v>
      </c>
      <c r="N17" s="43">
        <f t="shared" si="1"/>
        <v>4</v>
      </c>
      <c r="O17" s="55">
        <v>2.0</v>
      </c>
      <c r="P17" s="55">
        <v>6.0</v>
      </c>
      <c r="Q17" s="43">
        <f t="shared" si="2"/>
        <v>12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170" t="s">
        <v>821</v>
      </c>
      <c r="C18" s="170" t="s">
        <v>856</v>
      </c>
      <c r="D18" s="170" t="s">
        <v>857</v>
      </c>
      <c r="E18" s="171" t="s">
        <v>338</v>
      </c>
      <c r="F18" s="172">
        <v>55.0</v>
      </c>
      <c r="G18" s="172" t="s">
        <v>339</v>
      </c>
      <c r="H18" s="172" t="s">
        <v>839</v>
      </c>
      <c r="I18" s="172">
        <v>9.088679625E9</v>
      </c>
      <c r="J18" s="54">
        <v>21.0</v>
      </c>
      <c r="K18" s="55">
        <v>15.0</v>
      </c>
      <c r="L18" s="55">
        <v>0.0</v>
      </c>
      <c r="M18" s="55">
        <v>4.0</v>
      </c>
      <c r="N18" s="43">
        <f t="shared" si="1"/>
        <v>4</v>
      </c>
      <c r="O18" s="55">
        <v>8.0</v>
      </c>
      <c r="P18" s="55">
        <v>2.0</v>
      </c>
      <c r="Q18" s="43">
        <f t="shared" si="2"/>
        <v>14</v>
      </c>
      <c r="R18" s="43"/>
      <c r="S18" s="43"/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5</v>
      </c>
      <c r="AC18" s="34"/>
      <c r="AD18" s="34"/>
    </row>
    <row r="19" ht="13.5" customHeight="1">
      <c r="A19" s="28">
        <v>13.0</v>
      </c>
      <c r="B19" s="170" t="s">
        <v>858</v>
      </c>
      <c r="C19" s="170" t="s">
        <v>859</v>
      </c>
      <c r="D19" s="170" t="s">
        <v>860</v>
      </c>
      <c r="E19" s="171" t="s">
        <v>338</v>
      </c>
      <c r="F19" s="172">
        <v>32.0</v>
      </c>
      <c r="G19" s="172" t="s">
        <v>339</v>
      </c>
      <c r="H19" s="172" t="s">
        <v>340</v>
      </c>
      <c r="I19" s="172">
        <v>9.6849931E9</v>
      </c>
      <c r="J19" s="54">
        <v>30.0</v>
      </c>
      <c r="K19" s="55">
        <v>22.0</v>
      </c>
      <c r="L19" s="55">
        <v>0.0</v>
      </c>
      <c r="M19" s="55">
        <v>4.0</v>
      </c>
      <c r="N19" s="43">
        <f t="shared" si="1"/>
        <v>4</v>
      </c>
      <c r="O19" s="55">
        <v>2.0</v>
      </c>
      <c r="P19" s="55">
        <v>4.0</v>
      </c>
      <c r="Q19" s="43">
        <f t="shared" si="2"/>
        <v>10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" t="s">
        <v>861</v>
      </c>
      <c r="C20" s="37" t="s">
        <v>862</v>
      </c>
      <c r="D20" s="37" t="s">
        <v>863</v>
      </c>
      <c r="E20" s="171" t="s">
        <v>338</v>
      </c>
      <c r="F20" s="134">
        <v>32.0</v>
      </c>
      <c r="G20" s="172" t="s">
        <v>339</v>
      </c>
      <c r="H20" s="134" t="s">
        <v>340</v>
      </c>
      <c r="I20" s="134">
        <v>9.763857895E9</v>
      </c>
      <c r="J20" s="42"/>
      <c r="K20" s="43"/>
      <c r="L20" s="43"/>
      <c r="M20" s="43"/>
      <c r="N20" s="43">
        <f t="shared" si="1"/>
        <v>0</v>
      </c>
      <c r="O20" s="43"/>
      <c r="P20" s="43"/>
      <c r="Q20" s="43">
        <f t="shared" si="2"/>
        <v>0</v>
      </c>
      <c r="R20" s="43"/>
      <c r="S20" s="43"/>
      <c r="T20" s="43"/>
      <c r="U20" s="43"/>
      <c r="V20" s="43"/>
      <c r="W20" s="44"/>
      <c r="Z20" s="34"/>
      <c r="AA20" s="61" t="s">
        <v>97</v>
      </c>
      <c r="AB20" s="66">
        <f>COUNTIF(S7:S157, "RPDUL")</f>
        <v>4</v>
      </c>
      <c r="AC20" s="34"/>
      <c r="AD20" s="34"/>
    </row>
    <row r="21" ht="13.5" customHeight="1">
      <c r="A21" s="28">
        <v>15.0</v>
      </c>
      <c r="B21" s="170" t="s">
        <v>864</v>
      </c>
      <c r="C21" s="170" t="s">
        <v>865</v>
      </c>
      <c r="D21" s="170" t="s">
        <v>866</v>
      </c>
      <c r="E21" s="171" t="s">
        <v>338</v>
      </c>
      <c r="F21" s="172">
        <v>55.0</v>
      </c>
      <c r="G21" s="172" t="s">
        <v>339</v>
      </c>
      <c r="H21" s="172" t="s">
        <v>340</v>
      </c>
      <c r="I21" s="172">
        <v>9.982068966E9</v>
      </c>
      <c r="J21" s="54">
        <v>20.0</v>
      </c>
      <c r="K21" s="55">
        <v>12.0</v>
      </c>
      <c r="L21" s="55">
        <v>1.0</v>
      </c>
      <c r="M21" s="55">
        <v>7.0</v>
      </c>
      <c r="N21" s="43">
        <f t="shared" si="1"/>
        <v>8</v>
      </c>
      <c r="O21" s="55">
        <v>12.0</v>
      </c>
      <c r="P21" s="55">
        <v>0.0</v>
      </c>
      <c r="Q21" s="43">
        <f t="shared" si="2"/>
        <v>20</v>
      </c>
      <c r="R21" s="43"/>
      <c r="S21" s="43"/>
      <c r="T21" s="55" t="s">
        <v>145</v>
      </c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170" t="s">
        <v>864</v>
      </c>
      <c r="C22" s="170" t="s">
        <v>867</v>
      </c>
      <c r="D22" s="170" t="s">
        <v>868</v>
      </c>
      <c r="E22" s="171" t="s">
        <v>338</v>
      </c>
      <c r="F22" s="172">
        <v>52.0</v>
      </c>
      <c r="G22" s="172" t="s">
        <v>339</v>
      </c>
      <c r="H22" s="172" t="s">
        <v>833</v>
      </c>
      <c r="I22" s="172">
        <v>9.461277478E9</v>
      </c>
      <c r="J22" s="54">
        <v>5.0</v>
      </c>
      <c r="K22" s="55">
        <v>4.0</v>
      </c>
      <c r="L22" s="55">
        <v>0.0</v>
      </c>
      <c r="M22" s="55">
        <v>1.0</v>
      </c>
      <c r="N22" s="43">
        <f t="shared" si="1"/>
        <v>1</v>
      </c>
      <c r="O22" s="55">
        <v>27.0</v>
      </c>
      <c r="P22" s="55">
        <v>0.0</v>
      </c>
      <c r="Q22" s="43">
        <f t="shared" si="2"/>
        <v>28</v>
      </c>
      <c r="R22" s="43"/>
      <c r="S22" s="55" t="s">
        <v>849</v>
      </c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170" t="s">
        <v>205</v>
      </c>
      <c r="C23" s="170" t="s">
        <v>869</v>
      </c>
      <c r="D23" s="170" t="s">
        <v>866</v>
      </c>
      <c r="E23" s="171" t="s">
        <v>338</v>
      </c>
      <c r="F23" s="172">
        <v>43.0</v>
      </c>
      <c r="G23" s="172" t="s">
        <v>339</v>
      </c>
      <c r="H23" s="172" t="s">
        <v>553</v>
      </c>
      <c r="I23" s="172">
        <v>9.354876157E9</v>
      </c>
      <c r="J23" s="54">
        <v>24.0</v>
      </c>
      <c r="K23" s="55">
        <v>11.0</v>
      </c>
      <c r="L23" s="55">
        <v>0.0</v>
      </c>
      <c r="M23" s="55">
        <v>2.0</v>
      </c>
      <c r="N23" s="43">
        <f t="shared" si="1"/>
        <v>2</v>
      </c>
      <c r="O23" s="55">
        <v>4.0</v>
      </c>
      <c r="P23" s="55">
        <v>11.0</v>
      </c>
      <c r="Q23" s="43">
        <f t="shared" si="2"/>
        <v>17</v>
      </c>
      <c r="R23" s="43"/>
      <c r="S23" s="55" t="s">
        <v>870</v>
      </c>
      <c r="T23" s="43"/>
      <c r="U23" s="55"/>
      <c r="V23" s="55" t="s">
        <v>871</v>
      </c>
      <c r="W23" s="56" t="s">
        <v>46</v>
      </c>
      <c r="Z23" s="34"/>
      <c r="AA23" s="61" t="s">
        <v>109</v>
      </c>
      <c r="AB23" s="66">
        <f>COUNTIF(S7:S157, "Ortho")</f>
        <v>1</v>
      </c>
      <c r="AC23" s="34"/>
      <c r="AD23" s="34"/>
    </row>
    <row r="24" ht="13.5" customHeight="1">
      <c r="A24" s="28">
        <v>18.0</v>
      </c>
      <c r="B24" s="170" t="s">
        <v>872</v>
      </c>
      <c r="C24" s="170" t="s">
        <v>873</v>
      </c>
      <c r="D24" s="170" t="s">
        <v>874</v>
      </c>
      <c r="E24" s="171" t="s">
        <v>338</v>
      </c>
      <c r="F24" s="172">
        <v>43.0</v>
      </c>
      <c r="G24" s="172" t="s">
        <v>385</v>
      </c>
      <c r="H24" s="172" t="s">
        <v>839</v>
      </c>
      <c r="I24" s="172">
        <v>9.257623141E9</v>
      </c>
      <c r="J24" s="54">
        <v>20.0</v>
      </c>
      <c r="K24" s="55">
        <v>15.0</v>
      </c>
      <c r="L24" s="55">
        <v>0.0</v>
      </c>
      <c r="M24" s="55">
        <v>1.0</v>
      </c>
      <c r="N24" s="43">
        <f t="shared" si="1"/>
        <v>1</v>
      </c>
      <c r="O24" s="55">
        <v>12.0</v>
      </c>
      <c r="P24" s="55">
        <v>4.0</v>
      </c>
      <c r="Q24" s="43">
        <f t="shared" si="2"/>
        <v>17</v>
      </c>
      <c r="R24" s="43"/>
      <c r="S24" s="43"/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37" t="s">
        <v>875</v>
      </c>
      <c r="C25" s="37" t="s">
        <v>876</v>
      </c>
      <c r="D25" s="37" t="s">
        <v>877</v>
      </c>
      <c r="E25" s="171" t="s">
        <v>338</v>
      </c>
      <c r="F25" s="134">
        <v>54.0</v>
      </c>
      <c r="G25" s="172" t="s">
        <v>339</v>
      </c>
      <c r="H25" s="134" t="s">
        <v>340</v>
      </c>
      <c r="I25" s="134">
        <v>9.183062249E9</v>
      </c>
      <c r="J25" s="42"/>
      <c r="K25" s="43"/>
      <c r="L25" s="43"/>
      <c r="M25" s="43"/>
      <c r="N25" s="43">
        <f t="shared" si="1"/>
        <v>0</v>
      </c>
      <c r="O25" s="43"/>
      <c r="P25" s="43"/>
      <c r="Q25" s="43">
        <f t="shared" si="2"/>
        <v>0</v>
      </c>
      <c r="R25" s="43"/>
      <c r="S25" s="43"/>
      <c r="T25" s="43"/>
      <c r="U25" s="43"/>
      <c r="V25" s="43"/>
      <c r="W25" s="44"/>
      <c r="Z25" s="34"/>
      <c r="AA25" s="34"/>
      <c r="AB25" s="34"/>
      <c r="AC25" s="34"/>
      <c r="AD25" s="34"/>
    </row>
    <row r="26" ht="13.5" customHeight="1">
      <c r="A26" s="28">
        <v>20.0</v>
      </c>
      <c r="B26" s="170" t="s">
        <v>878</v>
      </c>
      <c r="C26" s="170" t="s">
        <v>879</v>
      </c>
      <c r="D26" s="170" t="s">
        <v>880</v>
      </c>
      <c r="E26" s="171" t="s">
        <v>338</v>
      </c>
      <c r="F26" s="172">
        <v>50.0</v>
      </c>
      <c r="G26" s="172" t="s">
        <v>339</v>
      </c>
      <c r="H26" s="172" t="s">
        <v>340</v>
      </c>
      <c r="I26" s="172">
        <v>9.566579757E9</v>
      </c>
      <c r="J26" s="54">
        <v>31.0</v>
      </c>
      <c r="K26" s="55">
        <v>30.0</v>
      </c>
      <c r="L26" s="55">
        <v>0.0</v>
      </c>
      <c r="M26" s="55">
        <v>1.0</v>
      </c>
      <c r="N26" s="43">
        <f t="shared" si="1"/>
        <v>1</v>
      </c>
      <c r="O26" s="55">
        <v>1.0</v>
      </c>
      <c r="P26" s="55">
        <v>0.0</v>
      </c>
      <c r="Q26" s="43">
        <f t="shared" si="2"/>
        <v>2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170" t="s">
        <v>881</v>
      </c>
      <c r="C27" s="170" t="s">
        <v>882</v>
      </c>
      <c r="D27" s="170" t="s">
        <v>883</v>
      </c>
      <c r="E27" s="171" t="s">
        <v>338</v>
      </c>
      <c r="F27" s="172">
        <v>58.0</v>
      </c>
      <c r="G27" s="172" t="s">
        <v>339</v>
      </c>
      <c r="H27" s="172" t="s">
        <v>833</v>
      </c>
      <c r="I27" s="172">
        <v>9.338544205E9</v>
      </c>
      <c r="J27" s="54">
        <v>20.0</v>
      </c>
      <c r="K27" s="55">
        <v>16.0</v>
      </c>
      <c r="L27" s="55">
        <v>1.0</v>
      </c>
      <c r="M27" s="55">
        <v>3.0</v>
      </c>
      <c r="N27" s="43">
        <f t="shared" si="1"/>
        <v>4</v>
      </c>
      <c r="O27" s="55">
        <v>10.0</v>
      </c>
      <c r="P27" s="55">
        <v>0.0</v>
      </c>
      <c r="Q27" s="43">
        <f t="shared" si="2"/>
        <v>14</v>
      </c>
      <c r="R27" s="43"/>
      <c r="S27" s="55" t="s">
        <v>190</v>
      </c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170" t="s">
        <v>884</v>
      </c>
      <c r="C28" s="170" t="s">
        <v>885</v>
      </c>
      <c r="D28" s="170" t="s">
        <v>886</v>
      </c>
      <c r="E28" s="171" t="s">
        <v>338</v>
      </c>
      <c r="F28" s="172">
        <v>46.0</v>
      </c>
      <c r="G28" s="172" t="s">
        <v>339</v>
      </c>
      <c r="H28" s="172" t="s">
        <v>833</v>
      </c>
      <c r="I28" s="172">
        <v>9.36773302E8</v>
      </c>
      <c r="J28" s="54">
        <v>29.0</v>
      </c>
      <c r="K28" s="55">
        <v>23.0</v>
      </c>
      <c r="L28" s="55">
        <v>0.0</v>
      </c>
      <c r="M28" s="55">
        <v>0.0</v>
      </c>
      <c r="N28" s="43">
        <f t="shared" si="1"/>
        <v>0</v>
      </c>
      <c r="O28" s="55">
        <v>3.0</v>
      </c>
      <c r="P28" s="55">
        <v>6.0</v>
      </c>
      <c r="Q28" s="43">
        <f t="shared" si="2"/>
        <v>9</v>
      </c>
      <c r="R28" s="43"/>
      <c r="S28" s="43"/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170" t="s">
        <v>887</v>
      </c>
      <c r="C29" s="170" t="s">
        <v>888</v>
      </c>
      <c r="D29" s="170" t="s">
        <v>889</v>
      </c>
      <c r="E29" s="171" t="s">
        <v>338</v>
      </c>
      <c r="F29" s="172">
        <v>43.0</v>
      </c>
      <c r="G29" s="172" t="s">
        <v>339</v>
      </c>
      <c r="H29" s="172" t="s">
        <v>340</v>
      </c>
      <c r="I29" s="172">
        <v>9.186223225E9</v>
      </c>
      <c r="J29" s="54">
        <v>27.0</v>
      </c>
      <c r="K29" s="55">
        <v>16.0</v>
      </c>
      <c r="L29" s="55">
        <v>1.0</v>
      </c>
      <c r="M29" s="55">
        <v>2.0</v>
      </c>
      <c r="N29" s="43">
        <f t="shared" si="1"/>
        <v>3</v>
      </c>
      <c r="O29" s="55">
        <v>5.0</v>
      </c>
      <c r="P29" s="55">
        <v>8.0</v>
      </c>
      <c r="Q29" s="43">
        <f t="shared" si="2"/>
        <v>16</v>
      </c>
      <c r="R29" s="43"/>
      <c r="S29" s="43"/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37" t="s">
        <v>890</v>
      </c>
      <c r="C30" s="37" t="s">
        <v>891</v>
      </c>
      <c r="D30" s="37" t="s">
        <v>892</v>
      </c>
      <c r="E30" s="171" t="s">
        <v>338</v>
      </c>
      <c r="F30" s="134">
        <v>26.0</v>
      </c>
      <c r="G30" s="172" t="s">
        <v>385</v>
      </c>
      <c r="H30" s="134" t="s">
        <v>340</v>
      </c>
      <c r="I30" s="134">
        <v>9.122344542E9</v>
      </c>
      <c r="J30" s="42"/>
      <c r="K30" s="43"/>
      <c r="L30" s="43"/>
      <c r="M30" s="43"/>
      <c r="N30" s="43">
        <f t="shared" si="1"/>
        <v>0</v>
      </c>
      <c r="O30" s="43"/>
      <c r="P30" s="43"/>
      <c r="Q30" s="43">
        <f t="shared" si="2"/>
        <v>0</v>
      </c>
      <c r="R30" s="43"/>
      <c r="S30" s="43"/>
      <c r="T30" s="43"/>
      <c r="U30" s="43"/>
      <c r="V30" s="43"/>
      <c r="W30" s="44"/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170" t="s">
        <v>893</v>
      </c>
      <c r="C31" s="170" t="s">
        <v>894</v>
      </c>
      <c r="D31" s="170" t="s">
        <v>895</v>
      </c>
      <c r="E31" s="171" t="s">
        <v>338</v>
      </c>
      <c r="F31" s="172">
        <v>54.0</v>
      </c>
      <c r="G31" s="172" t="s">
        <v>339</v>
      </c>
      <c r="H31" s="172" t="s">
        <v>340</v>
      </c>
      <c r="I31" s="172">
        <v>9.513916797E9</v>
      </c>
      <c r="J31" s="54">
        <v>17.0</v>
      </c>
      <c r="K31" s="55">
        <v>15.0</v>
      </c>
      <c r="L31" s="55">
        <v>0.0</v>
      </c>
      <c r="M31" s="55">
        <v>2.0</v>
      </c>
      <c r="N31" s="43">
        <f t="shared" si="1"/>
        <v>2</v>
      </c>
      <c r="O31" s="55">
        <v>15.0</v>
      </c>
      <c r="P31" s="55">
        <v>0.0</v>
      </c>
      <c r="Q31" s="43">
        <f t="shared" si="2"/>
        <v>17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170" t="s">
        <v>896</v>
      </c>
      <c r="C32" s="170" t="s">
        <v>897</v>
      </c>
      <c r="D32" s="170" t="s">
        <v>898</v>
      </c>
      <c r="E32" s="171" t="s">
        <v>338</v>
      </c>
      <c r="F32" s="172">
        <v>31.0</v>
      </c>
      <c r="G32" s="172" t="s">
        <v>339</v>
      </c>
      <c r="H32" s="172" t="s">
        <v>340</v>
      </c>
      <c r="I32" s="172">
        <v>9.219490068E9</v>
      </c>
      <c r="J32" s="54">
        <v>29.0</v>
      </c>
      <c r="K32" s="55">
        <v>20.0</v>
      </c>
      <c r="L32" s="55">
        <v>2.0</v>
      </c>
      <c r="M32" s="55">
        <v>5.0</v>
      </c>
      <c r="N32" s="43">
        <f t="shared" si="1"/>
        <v>7</v>
      </c>
      <c r="O32" s="55">
        <v>3.0</v>
      </c>
      <c r="P32" s="55">
        <v>2.0</v>
      </c>
      <c r="Q32" s="43">
        <f t="shared" si="2"/>
        <v>12</v>
      </c>
      <c r="R32" s="43"/>
      <c r="S32" s="43"/>
      <c r="T32" s="43"/>
      <c r="U32" s="43"/>
      <c r="V32" s="43"/>
      <c r="W32" s="56" t="s">
        <v>46</v>
      </c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170" t="s">
        <v>899</v>
      </c>
      <c r="C33" s="170" t="s">
        <v>900</v>
      </c>
      <c r="D33" s="170" t="s">
        <v>866</v>
      </c>
      <c r="E33" s="171" t="s">
        <v>338</v>
      </c>
      <c r="F33" s="172">
        <v>35.0</v>
      </c>
      <c r="G33" s="172" t="s">
        <v>339</v>
      </c>
      <c r="H33" s="172" t="s">
        <v>833</v>
      </c>
      <c r="I33" s="172">
        <v>9.684993111E9</v>
      </c>
      <c r="J33" s="54">
        <v>24.0</v>
      </c>
      <c r="K33" s="55">
        <v>13.0</v>
      </c>
      <c r="L33" s="55">
        <v>0.0</v>
      </c>
      <c r="M33" s="55">
        <v>0.0</v>
      </c>
      <c r="N33" s="43">
        <f t="shared" si="1"/>
        <v>0</v>
      </c>
      <c r="O33" s="55">
        <v>8.0</v>
      </c>
      <c r="P33" s="55">
        <v>11.0</v>
      </c>
      <c r="Q33" s="43">
        <f t="shared" si="2"/>
        <v>19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170" t="s">
        <v>901</v>
      </c>
      <c r="C34" s="170" t="s">
        <v>902</v>
      </c>
      <c r="D34" s="170" t="s">
        <v>903</v>
      </c>
      <c r="E34" s="171" t="s">
        <v>338</v>
      </c>
      <c r="F34" s="172">
        <v>43.0</v>
      </c>
      <c r="G34" s="172" t="s">
        <v>339</v>
      </c>
      <c r="H34" s="172" t="s">
        <v>340</v>
      </c>
      <c r="I34" s="172">
        <v>9.982608642E9</v>
      </c>
      <c r="J34" s="54">
        <v>28.0</v>
      </c>
      <c r="K34" s="55">
        <v>18.0</v>
      </c>
      <c r="L34" s="55">
        <v>0.0</v>
      </c>
      <c r="M34" s="55">
        <v>10.0</v>
      </c>
      <c r="N34" s="43">
        <f t="shared" si="1"/>
        <v>10</v>
      </c>
      <c r="O34" s="55">
        <v>4.0</v>
      </c>
      <c r="P34" s="55">
        <v>0.0</v>
      </c>
      <c r="Q34" s="43">
        <f t="shared" si="2"/>
        <v>14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170" t="s">
        <v>904</v>
      </c>
      <c r="C35" s="170" t="s">
        <v>905</v>
      </c>
      <c r="D35" s="170" t="s">
        <v>906</v>
      </c>
      <c r="E35" s="171" t="s">
        <v>338</v>
      </c>
      <c r="F35" s="172">
        <v>44.0</v>
      </c>
      <c r="G35" s="172" t="s">
        <v>339</v>
      </c>
      <c r="H35" s="172" t="s">
        <v>839</v>
      </c>
      <c r="I35" s="172">
        <v>9.214253206E9</v>
      </c>
      <c r="J35" s="161">
        <v>23.0</v>
      </c>
      <c r="K35" s="55">
        <v>14.0</v>
      </c>
      <c r="L35" s="55">
        <v>2.0</v>
      </c>
      <c r="M35" s="55">
        <v>3.0</v>
      </c>
      <c r="N35" s="43">
        <f t="shared" si="1"/>
        <v>5</v>
      </c>
      <c r="O35" s="55">
        <v>9.0</v>
      </c>
      <c r="P35" s="55">
        <v>4.0</v>
      </c>
      <c r="Q35" s="43">
        <f t="shared" si="2"/>
        <v>18</v>
      </c>
      <c r="R35" s="43"/>
      <c r="S35" s="55" t="s">
        <v>190</v>
      </c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170" t="s">
        <v>907</v>
      </c>
      <c r="C36" s="170" t="s">
        <v>908</v>
      </c>
      <c r="D36" s="170" t="s">
        <v>909</v>
      </c>
      <c r="E36" s="171" t="s">
        <v>338</v>
      </c>
      <c r="F36" s="172">
        <v>38.0</v>
      </c>
      <c r="G36" s="172" t="s">
        <v>339</v>
      </c>
      <c r="H36" s="172" t="s">
        <v>839</v>
      </c>
      <c r="I36" s="172">
        <v>9.399020368E9</v>
      </c>
      <c r="J36" s="87">
        <v>25.0</v>
      </c>
      <c r="K36" s="55">
        <v>21.0</v>
      </c>
      <c r="L36" s="55">
        <v>0.0</v>
      </c>
      <c r="M36" s="55">
        <v>0.0</v>
      </c>
      <c r="N36" s="43">
        <f t="shared" si="1"/>
        <v>0</v>
      </c>
      <c r="O36" s="55">
        <v>7.0</v>
      </c>
      <c r="P36" s="55">
        <v>4.0</v>
      </c>
      <c r="Q36" s="43">
        <f t="shared" si="2"/>
        <v>11</v>
      </c>
      <c r="R36" s="43"/>
      <c r="S36" s="43"/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170" t="s">
        <v>910</v>
      </c>
      <c r="C37" s="170" t="s">
        <v>911</v>
      </c>
      <c r="D37" s="170" t="s">
        <v>912</v>
      </c>
      <c r="E37" s="171" t="s">
        <v>338</v>
      </c>
      <c r="F37" s="172">
        <v>45.0</v>
      </c>
      <c r="G37" s="172" t="s">
        <v>339</v>
      </c>
      <c r="H37" s="172" t="s">
        <v>340</v>
      </c>
      <c r="I37" s="172">
        <v>9.204361165E9</v>
      </c>
      <c r="J37" s="87">
        <v>22.0</v>
      </c>
      <c r="K37" s="55">
        <v>15.0</v>
      </c>
      <c r="L37" s="55">
        <v>0.0</v>
      </c>
      <c r="M37" s="55">
        <v>3.0</v>
      </c>
      <c r="N37" s="43">
        <f t="shared" si="1"/>
        <v>3</v>
      </c>
      <c r="O37" s="55">
        <v>10.0</v>
      </c>
      <c r="P37" s="55">
        <v>4.0</v>
      </c>
      <c r="Q37" s="43">
        <f t="shared" si="2"/>
        <v>17</v>
      </c>
      <c r="R37" s="43"/>
      <c r="S37" s="43"/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170" t="s">
        <v>913</v>
      </c>
      <c r="C38" s="170" t="s">
        <v>914</v>
      </c>
      <c r="D38" s="170" t="s">
        <v>915</v>
      </c>
      <c r="E38" s="171" t="s">
        <v>338</v>
      </c>
      <c r="F38" s="172">
        <v>57.0</v>
      </c>
      <c r="G38" s="172" t="s">
        <v>339</v>
      </c>
      <c r="H38" s="172" t="s">
        <v>553</v>
      </c>
      <c r="I38" s="172">
        <v>9.268875089E9</v>
      </c>
      <c r="J38" s="87">
        <v>4.0</v>
      </c>
      <c r="K38" s="55">
        <v>3.0</v>
      </c>
      <c r="L38" s="55">
        <v>0.0</v>
      </c>
      <c r="M38" s="55">
        <v>1.0</v>
      </c>
      <c r="N38" s="43">
        <f t="shared" si="1"/>
        <v>1</v>
      </c>
      <c r="O38" s="55">
        <v>28.0</v>
      </c>
      <c r="P38" s="55">
        <v>0.0</v>
      </c>
      <c r="Q38" s="43">
        <f t="shared" si="2"/>
        <v>29</v>
      </c>
      <c r="R38" s="43"/>
      <c r="S38" s="55" t="s">
        <v>916</v>
      </c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170" t="s">
        <v>917</v>
      </c>
      <c r="C39" s="170" t="s">
        <v>918</v>
      </c>
      <c r="D39" s="170" t="s">
        <v>919</v>
      </c>
      <c r="E39" s="171" t="s">
        <v>338</v>
      </c>
      <c r="F39" s="172">
        <v>50.0</v>
      </c>
      <c r="G39" s="172" t="s">
        <v>339</v>
      </c>
      <c r="H39" s="172" t="s">
        <v>340</v>
      </c>
      <c r="I39" s="172">
        <v>9.665368016E9</v>
      </c>
      <c r="J39" s="87">
        <v>21.0</v>
      </c>
      <c r="K39" s="55">
        <v>8.0</v>
      </c>
      <c r="L39" s="55">
        <v>1.0</v>
      </c>
      <c r="M39" s="55">
        <v>11.0</v>
      </c>
      <c r="N39" s="43">
        <f t="shared" si="1"/>
        <v>12</v>
      </c>
      <c r="O39" s="55">
        <v>11.0</v>
      </c>
      <c r="P39" s="55">
        <v>1.0</v>
      </c>
      <c r="Q39" s="43">
        <f t="shared" si="2"/>
        <v>24</v>
      </c>
      <c r="R39" s="43"/>
      <c r="S39" s="43"/>
      <c r="T39" s="43" t="s">
        <v>116</v>
      </c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170" t="s">
        <v>920</v>
      </c>
      <c r="C40" s="170" t="s">
        <v>921</v>
      </c>
      <c r="D40" s="170" t="s">
        <v>922</v>
      </c>
      <c r="E40" s="171" t="s">
        <v>338</v>
      </c>
      <c r="F40" s="172">
        <v>52.0</v>
      </c>
      <c r="G40" s="172" t="s">
        <v>339</v>
      </c>
      <c r="H40" s="172" t="s">
        <v>340</v>
      </c>
      <c r="I40" s="172">
        <v>9.499651159E9</v>
      </c>
      <c r="J40" s="87">
        <v>13.0</v>
      </c>
      <c r="K40" s="55">
        <v>13.0</v>
      </c>
      <c r="L40" s="55">
        <v>0.0</v>
      </c>
      <c r="M40" s="55">
        <v>0.0</v>
      </c>
      <c r="N40" s="43">
        <f t="shared" si="1"/>
        <v>0</v>
      </c>
      <c r="O40" s="55">
        <v>19.0</v>
      </c>
      <c r="P40" s="55">
        <v>0.0</v>
      </c>
      <c r="Q40" s="43">
        <f t="shared" si="2"/>
        <v>19</v>
      </c>
      <c r="R40" s="43"/>
      <c r="S40" s="43"/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170" t="s">
        <v>923</v>
      </c>
      <c r="C41" s="170" t="s">
        <v>924</v>
      </c>
      <c r="D41" s="170" t="s">
        <v>925</v>
      </c>
      <c r="E41" s="171" t="s">
        <v>338</v>
      </c>
      <c r="F41" s="172">
        <v>31.0</v>
      </c>
      <c r="G41" s="172" t="s">
        <v>339</v>
      </c>
      <c r="H41" s="172" t="s">
        <v>340</v>
      </c>
      <c r="I41" s="172">
        <v>9.204361165E9</v>
      </c>
      <c r="J41" s="87">
        <v>24.0</v>
      </c>
      <c r="K41" s="55">
        <v>14.0</v>
      </c>
      <c r="L41" s="55">
        <v>0.0</v>
      </c>
      <c r="M41" s="55">
        <v>1.0</v>
      </c>
      <c r="N41" s="43">
        <f t="shared" si="1"/>
        <v>1</v>
      </c>
      <c r="O41" s="55">
        <v>6.0</v>
      </c>
      <c r="P41" s="55">
        <v>9.0</v>
      </c>
      <c r="Q41" s="43">
        <f t="shared" si="2"/>
        <v>16</v>
      </c>
      <c r="R41" s="43"/>
      <c r="S41" s="55" t="s">
        <v>190</v>
      </c>
      <c r="T41" s="43"/>
      <c r="U41" s="43"/>
      <c r="V41" s="55" t="s">
        <v>926</v>
      </c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170" t="s">
        <v>927</v>
      </c>
      <c r="C42" s="170" t="s">
        <v>928</v>
      </c>
      <c r="D42" s="170" t="s">
        <v>929</v>
      </c>
      <c r="E42" s="171" t="s">
        <v>338</v>
      </c>
      <c r="F42" s="172">
        <v>29.0</v>
      </c>
      <c r="G42" s="172" t="s">
        <v>385</v>
      </c>
      <c r="H42" s="172" t="s">
        <v>833</v>
      </c>
      <c r="I42" s="172">
        <v>9.294095284E9</v>
      </c>
      <c r="J42" s="87">
        <v>30.0</v>
      </c>
      <c r="K42" s="55">
        <v>22.0</v>
      </c>
      <c r="L42" s="55">
        <v>2.0</v>
      </c>
      <c r="M42" s="55">
        <v>6.0</v>
      </c>
      <c r="N42" s="43">
        <f t="shared" si="1"/>
        <v>8</v>
      </c>
      <c r="O42" s="55">
        <v>2.0</v>
      </c>
      <c r="P42" s="55">
        <v>0.0</v>
      </c>
      <c r="Q42" s="43">
        <f t="shared" si="2"/>
        <v>10</v>
      </c>
      <c r="R42" s="43"/>
      <c r="S42" s="43"/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170" t="s">
        <v>232</v>
      </c>
      <c r="C43" s="170" t="s">
        <v>930</v>
      </c>
      <c r="D43" s="170" t="s">
        <v>931</v>
      </c>
      <c r="E43" s="171" t="s">
        <v>338</v>
      </c>
      <c r="F43" s="172">
        <v>48.0</v>
      </c>
      <c r="G43" s="172" t="s">
        <v>339</v>
      </c>
      <c r="H43" s="172" t="s">
        <v>839</v>
      </c>
      <c r="I43" s="172">
        <v>9.194932476E9</v>
      </c>
      <c r="J43" s="87">
        <v>26.0</v>
      </c>
      <c r="K43" s="55">
        <v>22.0</v>
      </c>
      <c r="L43" s="55">
        <v>1.0</v>
      </c>
      <c r="M43" s="55">
        <v>0.0</v>
      </c>
      <c r="N43" s="43">
        <f t="shared" si="1"/>
        <v>1</v>
      </c>
      <c r="O43" s="55">
        <v>5.0</v>
      </c>
      <c r="P43" s="55">
        <v>3.0</v>
      </c>
      <c r="Q43" s="43">
        <f t="shared" si="2"/>
        <v>9</v>
      </c>
      <c r="R43" s="43"/>
      <c r="S43" s="43"/>
      <c r="T43" s="43"/>
      <c r="U43" s="43"/>
      <c r="V43" s="43"/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170" t="s">
        <v>932</v>
      </c>
      <c r="C44" s="170" t="s">
        <v>933</v>
      </c>
      <c r="D44" s="170" t="s">
        <v>934</v>
      </c>
      <c r="E44" s="171" t="s">
        <v>338</v>
      </c>
      <c r="F44" s="172">
        <v>51.0</v>
      </c>
      <c r="G44" s="172" t="s">
        <v>339</v>
      </c>
      <c r="H44" s="172" t="s">
        <v>839</v>
      </c>
      <c r="I44" s="172">
        <v>9.382528226E9</v>
      </c>
      <c r="J44" s="87">
        <v>22.0</v>
      </c>
      <c r="K44" s="55">
        <v>13.0</v>
      </c>
      <c r="L44" s="55">
        <v>0.0</v>
      </c>
      <c r="M44" s="55">
        <v>6.0</v>
      </c>
      <c r="N44" s="43">
        <f t="shared" si="1"/>
        <v>6</v>
      </c>
      <c r="O44" s="55">
        <v>10.0</v>
      </c>
      <c r="P44" s="55">
        <v>5.0</v>
      </c>
      <c r="Q44" s="43">
        <f t="shared" si="2"/>
        <v>21</v>
      </c>
      <c r="R44" s="43"/>
      <c r="S44" s="43"/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170" t="s">
        <v>935</v>
      </c>
      <c r="C45" s="170" t="s">
        <v>936</v>
      </c>
      <c r="D45" s="170" t="s">
        <v>937</v>
      </c>
      <c r="E45" s="171" t="s">
        <v>338</v>
      </c>
      <c r="F45" s="172">
        <v>40.0</v>
      </c>
      <c r="G45" s="172" t="s">
        <v>339</v>
      </c>
      <c r="H45" s="172" t="s">
        <v>340</v>
      </c>
      <c r="I45" s="172">
        <v>9.204750935E9</v>
      </c>
      <c r="J45" s="87">
        <v>27.0</v>
      </c>
      <c r="K45" s="55">
        <v>18.0</v>
      </c>
      <c r="L45" s="55">
        <v>0.0</v>
      </c>
      <c r="M45" s="55">
        <v>5.0</v>
      </c>
      <c r="N45" s="43">
        <f t="shared" si="1"/>
        <v>5</v>
      </c>
      <c r="O45" s="55">
        <v>5.0</v>
      </c>
      <c r="P45" s="55">
        <v>4.0</v>
      </c>
      <c r="Q45" s="43">
        <f t="shared" si="2"/>
        <v>14</v>
      </c>
      <c r="R45" s="43"/>
      <c r="S45" s="43"/>
      <c r="T45" s="43"/>
      <c r="U45" s="43"/>
      <c r="V45" s="43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170" t="s">
        <v>938</v>
      </c>
      <c r="C46" s="170" t="s">
        <v>939</v>
      </c>
      <c r="D46" s="170" t="s">
        <v>940</v>
      </c>
      <c r="E46" s="171" t="s">
        <v>338</v>
      </c>
      <c r="F46" s="172">
        <v>33.0</v>
      </c>
      <c r="G46" s="172" t="s">
        <v>339</v>
      </c>
      <c r="H46" s="172" t="s">
        <v>340</v>
      </c>
      <c r="I46" s="172">
        <v>9.613972732E9</v>
      </c>
      <c r="J46" s="87">
        <v>13.0</v>
      </c>
      <c r="K46" s="55">
        <v>11.0</v>
      </c>
      <c r="L46" s="55">
        <v>0.0</v>
      </c>
      <c r="M46" s="55">
        <v>1.0</v>
      </c>
      <c r="N46" s="43">
        <f t="shared" si="1"/>
        <v>1</v>
      </c>
      <c r="O46" s="55">
        <v>19.0</v>
      </c>
      <c r="P46" s="55">
        <v>1.0</v>
      </c>
      <c r="Q46" s="43">
        <f t="shared" si="2"/>
        <v>21</v>
      </c>
      <c r="R46" s="43"/>
      <c r="S46" s="55" t="s">
        <v>849</v>
      </c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170" t="s">
        <v>941</v>
      </c>
      <c r="C47" s="170" t="s">
        <v>942</v>
      </c>
      <c r="D47" s="170" t="s">
        <v>439</v>
      </c>
      <c r="E47" s="171" t="s">
        <v>338</v>
      </c>
      <c r="F47" s="172">
        <v>37.0</v>
      </c>
      <c r="G47" s="172" t="s">
        <v>385</v>
      </c>
      <c r="H47" s="172" t="s">
        <v>340</v>
      </c>
      <c r="I47" s="172">
        <v>9.684993126E9</v>
      </c>
      <c r="J47" s="87">
        <v>30.0</v>
      </c>
      <c r="K47" s="55">
        <v>26.0</v>
      </c>
      <c r="L47" s="55">
        <v>0.0</v>
      </c>
      <c r="M47" s="55">
        <v>1.0</v>
      </c>
      <c r="N47" s="43">
        <f t="shared" si="1"/>
        <v>1</v>
      </c>
      <c r="O47" s="55">
        <v>2.0</v>
      </c>
      <c r="P47" s="55">
        <v>3.0</v>
      </c>
      <c r="Q47" s="43">
        <f t="shared" si="2"/>
        <v>6</v>
      </c>
      <c r="R47" s="43"/>
      <c r="S47" s="43"/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170" t="s">
        <v>943</v>
      </c>
      <c r="C48" s="170" t="s">
        <v>944</v>
      </c>
      <c r="D48" s="170" t="s">
        <v>945</v>
      </c>
      <c r="E48" s="171" t="s">
        <v>338</v>
      </c>
      <c r="F48" s="172">
        <v>61.0</v>
      </c>
      <c r="G48" s="172" t="s">
        <v>339</v>
      </c>
      <c r="H48" s="172" t="s">
        <v>340</v>
      </c>
      <c r="I48" s="172">
        <v>9.215336388E9</v>
      </c>
      <c r="J48" s="87">
        <v>26.0</v>
      </c>
      <c r="K48" s="55">
        <v>26.0</v>
      </c>
      <c r="L48" s="55">
        <v>0.0</v>
      </c>
      <c r="M48" s="55">
        <v>0.0</v>
      </c>
      <c r="N48" s="43">
        <f t="shared" si="1"/>
        <v>0</v>
      </c>
      <c r="O48" s="55">
        <v>6.0</v>
      </c>
      <c r="P48" s="55">
        <v>0.0</v>
      </c>
      <c r="Q48" s="43">
        <f t="shared" si="2"/>
        <v>6</v>
      </c>
      <c r="R48" s="43"/>
      <c r="S48" s="43"/>
      <c r="T48" s="55" t="s">
        <v>145</v>
      </c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170" t="s">
        <v>946</v>
      </c>
      <c r="C49" s="170" t="s">
        <v>947</v>
      </c>
      <c r="D49" s="170" t="s">
        <v>948</v>
      </c>
      <c r="E49" s="171" t="s">
        <v>338</v>
      </c>
      <c r="F49" s="134">
        <v>32.0</v>
      </c>
      <c r="G49" s="172" t="s">
        <v>385</v>
      </c>
      <c r="H49" s="172" t="s">
        <v>340</v>
      </c>
      <c r="I49" s="172">
        <v>9.759644996E9</v>
      </c>
      <c r="J49" s="87">
        <v>13.0</v>
      </c>
      <c r="K49" s="55">
        <v>8.0</v>
      </c>
      <c r="L49" s="55">
        <v>0.0</v>
      </c>
      <c r="M49" s="55">
        <v>2.0</v>
      </c>
      <c r="N49" s="43">
        <f t="shared" si="1"/>
        <v>2</v>
      </c>
      <c r="O49" s="55">
        <v>19.0</v>
      </c>
      <c r="P49" s="55">
        <v>3.0</v>
      </c>
      <c r="Q49" s="43">
        <f t="shared" si="2"/>
        <v>24</v>
      </c>
      <c r="R49" s="43"/>
      <c r="S49" s="55" t="s">
        <v>849</v>
      </c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170" t="s">
        <v>367</v>
      </c>
      <c r="C50" s="170" t="s">
        <v>949</v>
      </c>
      <c r="D50" s="170" t="s">
        <v>950</v>
      </c>
      <c r="E50" s="171" t="s">
        <v>338</v>
      </c>
      <c r="F50" s="172">
        <v>47.0</v>
      </c>
      <c r="G50" s="172" t="s">
        <v>339</v>
      </c>
      <c r="H50" s="172" t="s">
        <v>340</v>
      </c>
      <c r="I50" s="172">
        <v>9.476027372E9</v>
      </c>
      <c r="J50" s="87">
        <v>27.0</v>
      </c>
      <c r="K50" s="55">
        <v>21.0</v>
      </c>
      <c r="L50" s="55">
        <v>0.0</v>
      </c>
      <c r="M50" s="55">
        <v>1.0</v>
      </c>
      <c r="N50" s="43">
        <f t="shared" si="1"/>
        <v>1</v>
      </c>
      <c r="O50" s="55">
        <v>5.0</v>
      </c>
      <c r="P50" s="55">
        <v>5.0</v>
      </c>
      <c r="Q50" s="43">
        <f t="shared" si="2"/>
        <v>11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170" t="s">
        <v>951</v>
      </c>
      <c r="C51" s="170" t="s">
        <v>952</v>
      </c>
      <c r="D51" s="170" t="s">
        <v>953</v>
      </c>
      <c r="E51" s="171" t="s">
        <v>338</v>
      </c>
      <c r="F51" s="172">
        <v>45.0</v>
      </c>
      <c r="G51" s="172" t="s">
        <v>339</v>
      </c>
      <c r="H51" s="172" t="s">
        <v>954</v>
      </c>
      <c r="I51" s="172">
        <v>9.299603521E9</v>
      </c>
      <c r="J51" s="87">
        <v>27.0</v>
      </c>
      <c r="K51" s="55">
        <v>22.0</v>
      </c>
      <c r="L51" s="55">
        <v>0.0</v>
      </c>
      <c r="M51" s="55">
        <v>0.0</v>
      </c>
      <c r="N51" s="43">
        <f t="shared" si="1"/>
        <v>0</v>
      </c>
      <c r="O51" s="55">
        <v>3.0</v>
      </c>
      <c r="P51" s="55">
        <v>5.0</v>
      </c>
      <c r="Q51" s="43">
        <f t="shared" si="2"/>
        <v>8</v>
      </c>
      <c r="R51" s="43"/>
      <c r="S51" s="43"/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170" t="s">
        <v>955</v>
      </c>
      <c r="C52" s="170" t="s">
        <v>956</v>
      </c>
      <c r="D52" s="170" t="s">
        <v>957</v>
      </c>
      <c r="E52" s="171" t="s">
        <v>338</v>
      </c>
      <c r="F52" s="172">
        <v>31.0</v>
      </c>
      <c r="G52" s="172" t="s">
        <v>339</v>
      </c>
      <c r="H52" s="172" t="s">
        <v>839</v>
      </c>
      <c r="I52" s="172">
        <v>9.3046896E9</v>
      </c>
      <c r="J52" s="87">
        <v>28.0</v>
      </c>
      <c r="K52" s="55">
        <v>20.0</v>
      </c>
      <c r="L52" s="55">
        <v>1.0</v>
      </c>
      <c r="M52" s="55">
        <v>7.0</v>
      </c>
      <c r="N52" s="43">
        <f t="shared" si="1"/>
        <v>8</v>
      </c>
      <c r="O52" s="55">
        <v>4.0</v>
      </c>
      <c r="P52" s="55">
        <v>0.0</v>
      </c>
      <c r="Q52" s="43">
        <f t="shared" si="2"/>
        <v>12</v>
      </c>
      <c r="R52" s="43"/>
      <c r="S52" s="43"/>
      <c r="T52" s="43"/>
      <c r="U52" s="43"/>
      <c r="V52" s="43"/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47.0</v>
      </c>
      <c r="B53" s="170" t="s">
        <v>842</v>
      </c>
      <c r="C53" s="170" t="s">
        <v>958</v>
      </c>
      <c r="D53" s="170" t="s">
        <v>959</v>
      </c>
      <c r="E53" s="171" t="s">
        <v>338</v>
      </c>
      <c r="F53" s="172">
        <v>44.0</v>
      </c>
      <c r="G53" s="172" t="s">
        <v>339</v>
      </c>
      <c r="H53" s="172" t="s">
        <v>839</v>
      </c>
      <c r="I53" s="172">
        <v>9.215675066E9</v>
      </c>
      <c r="J53" s="87">
        <v>25.0</v>
      </c>
      <c r="K53" s="55">
        <v>16.0</v>
      </c>
      <c r="L53" s="55">
        <v>4.0</v>
      </c>
      <c r="M53" s="55">
        <v>5.0</v>
      </c>
      <c r="N53" s="43">
        <f t="shared" si="1"/>
        <v>9</v>
      </c>
      <c r="O53" s="55">
        <v>7.0</v>
      </c>
      <c r="P53" s="55">
        <v>0.0</v>
      </c>
      <c r="Q53" s="43">
        <f t="shared" si="2"/>
        <v>16</v>
      </c>
      <c r="R53" s="43"/>
      <c r="S53" s="43"/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170" t="s">
        <v>960</v>
      </c>
      <c r="C54" s="170" t="s">
        <v>961</v>
      </c>
      <c r="D54" s="170" t="s">
        <v>895</v>
      </c>
      <c r="E54" s="171" t="s">
        <v>338</v>
      </c>
      <c r="F54" s="172">
        <v>28.0</v>
      </c>
      <c r="G54" s="172" t="s">
        <v>339</v>
      </c>
      <c r="H54" s="172" t="s">
        <v>508</v>
      </c>
      <c r="I54" s="172">
        <v>9.057549164E9</v>
      </c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3">SUM(J7:J156)</f>
        <v>1032</v>
      </c>
      <c r="K157" s="123">
        <f t="shared" si="3"/>
        <v>767</v>
      </c>
      <c r="L157" s="123">
        <f t="shared" si="3"/>
        <v>18</v>
      </c>
      <c r="M157" s="123">
        <f t="shared" si="3"/>
        <v>115</v>
      </c>
      <c r="N157" s="123">
        <f t="shared" si="3"/>
        <v>133</v>
      </c>
      <c r="O157" s="123">
        <f t="shared" si="3"/>
        <v>351</v>
      </c>
      <c r="P157" s="123">
        <f t="shared" si="3"/>
        <v>139</v>
      </c>
      <c r="Q157" s="123">
        <f t="shared" si="3"/>
        <v>623</v>
      </c>
      <c r="R157" s="124"/>
      <c r="S157" s="124"/>
      <c r="T157" s="125"/>
      <c r="U157" s="83"/>
      <c r="V157" s="83" t="s">
        <v>330</v>
      </c>
      <c r="W157" s="126">
        <f>countif(W7:W57,"YES")</f>
        <v>44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 t="s">
        <v>331</v>
      </c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9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T5:T6"/>
    <mergeCell ref="U5:U6"/>
    <mergeCell ref="V5:V6"/>
    <mergeCell ref="W5:W6"/>
    <mergeCell ref="AA6:AD6"/>
    <mergeCell ref="AA7:AC7"/>
    <mergeCell ref="AA8:AC8"/>
    <mergeCell ref="AA9:AC9"/>
    <mergeCell ref="I5:I6"/>
    <mergeCell ref="J5:J6"/>
    <mergeCell ref="K5:K6"/>
    <mergeCell ref="L5:P5"/>
    <mergeCell ref="Q5:Q6"/>
    <mergeCell ref="R5:R6"/>
    <mergeCell ref="S5:S6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6.0"/>
    <col customWidth="1" min="3" max="4" width="19.63"/>
    <col customWidth="1" min="5" max="5" width="12.75"/>
    <col customWidth="1" min="6" max="6" width="5.88"/>
    <col customWidth="1" min="7" max="7" width="10.63"/>
    <col customWidth="1" min="8" max="8" width="13.0"/>
    <col customWidth="1" min="9" max="9" width="14.88"/>
    <col customWidth="1" min="10" max="10" width="10.88"/>
    <col customWidth="1" min="11" max="11" width="8.88"/>
    <col customWidth="1" min="12" max="12" width="17.38"/>
    <col customWidth="1" min="13" max="21" width="8.63"/>
    <col customWidth="1" min="22" max="22" width="17.3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73" t="s">
        <v>630</v>
      </c>
      <c r="B1" s="174" t="s">
        <v>962</v>
      </c>
      <c r="C1" s="18"/>
      <c r="D1" s="18"/>
      <c r="E1" s="18"/>
      <c r="F1" s="18"/>
      <c r="G1" s="18"/>
      <c r="H1" s="18"/>
      <c r="I1" s="18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3.5" customHeight="1">
      <c r="A2" s="175" t="s">
        <v>1</v>
      </c>
      <c r="B2" s="18"/>
      <c r="C2" s="176" t="s">
        <v>963</v>
      </c>
      <c r="D2" s="177"/>
      <c r="E2" s="177"/>
      <c r="F2" s="177"/>
      <c r="G2" s="177"/>
      <c r="H2" s="177"/>
      <c r="I2" s="177"/>
      <c r="J2" s="178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3.5" customHeight="1">
      <c r="A3" s="175" t="s">
        <v>3</v>
      </c>
      <c r="B3" s="18"/>
      <c r="C3" s="179" t="s">
        <v>964</v>
      </c>
      <c r="D3" s="18"/>
      <c r="E3" s="18"/>
      <c r="F3" s="18"/>
      <c r="G3" s="18"/>
      <c r="H3" s="18"/>
      <c r="I3" s="18"/>
      <c r="J3" s="5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3.5" customHeight="1">
      <c r="A4" s="175" t="s">
        <v>965</v>
      </c>
      <c r="B4" s="18"/>
      <c r="C4" s="179" t="s">
        <v>966</v>
      </c>
      <c r="D4" s="18"/>
      <c r="E4" s="18"/>
      <c r="F4" s="18"/>
      <c r="G4" s="18"/>
      <c r="H4" s="18"/>
      <c r="I4" s="18"/>
      <c r="J4" s="5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967</v>
      </c>
      <c r="C7" s="37" t="s">
        <v>968</v>
      </c>
      <c r="D7" s="37" t="s">
        <v>969</v>
      </c>
      <c r="E7" s="133" t="s">
        <v>338</v>
      </c>
      <c r="F7" s="134">
        <v>52.0</v>
      </c>
      <c r="G7" s="134" t="s">
        <v>584</v>
      </c>
      <c r="H7" s="134" t="s">
        <v>970</v>
      </c>
      <c r="I7" s="134">
        <v>9.615807588E9</v>
      </c>
      <c r="J7" s="54">
        <v>28.0</v>
      </c>
      <c r="K7" s="55">
        <v>26.0</v>
      </c>
      <c r="L7" s="55">
        <v>0.0</v>
      </c>
      <c r="M7" s="55">
        <v>0.0</v>
      </c>
      <c r="N7" s="43">
        <f t="shared" ref="N7:N73" si="1">sum(L7,M7)</f>
        <v>0</v>
      </c>
      <c r="O7" s="55">
        <v>2.0</v>
      </c>
      <c r="P7" s="55">
        <v>2.0</v>
      </c>
      <c r="Q7" s="43">
        <f t="shared" ref="Q7:Q79" si="2">sum(N7,O7,P7)</f>
        <v>4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971</v>
      </c>
      <c r="C8" s="37" t="s">
        <v>972</v>
      </c>
      <c r="D8" s="37" t="s">
        <v>973</v>
      </c>
      <c r="E8" s="133" t="s">
        <v>338</v>
      </c>
      <c r="F8" s="134">
        <v>47.0</v>
      </c>
      <c r="G8" s="134" t="s">
        <v>476</v>
      </c>
      <c r="H8" s="134" t="s">
        <v>974</v>
      </c>
      <c r="I8" s="134">
        <v>9.152846397E9</v>
      </c>
      <c r="J8" s="54">
        <v>20.0</v>
      </c>
      <c r="K8" s="55">
        <v>9.0</v>
      </c>
      <c r="L8" s="55">
        <v>7.0</v>
      </c>
      <c r="M8" s="55">
        <v>3.0</v>
      </c>
      <c r="N8" s="43">
        <f t="shared" si="1"/>
        <v>10</v>
      </c>
      <c r="O8" s="55">
        <v>12.0</v>
      </c>
      <c r="P8" s="55">
        <v>0.0</v>
      </c>
      <c r="Q8" s="43">
        <f t="shared" si="2"/>
        <v>22</v>
      </c>
      <c r="R8" s="43"/>
      <c r="S8" s="55" t="s">
        <v>237</v>
      </c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" t="s">
        <v>975</v>
      </c>
      <c r="C9" s="37" t="s">
        <v>976</v>
      </c>
      <c r="D9" s="37" t="s">
        <v>977</v>
      </c>
      <c r="E9" s="133" t="s">
        <v>338</v>
      </c>
      <c r="F9" s="134">
        <v>58.0</v>
      </c>
      <c r="G9" s="134" t="s">
        <v>476</v>
      </c>
      <c r="H9" s="134" t="s">
        <v>974</v>
      </c>
      <c r="I9" s="134">
        <v>9.052107859E9</v>
      </c>
      <c r="J9" s="54">
        <v>26.0</v>
      </c>
      <c r="K9" s="55">
        <v>26.0</v>
      </c>
      <c r="L9" s="55">
        <v>0.0</v>
      </c>
      <c r="M9" s="55">
        <v>0.0</v>
      </c>
      <c r="N9" s="43">
        <f t="shared" si="1"/>
        <v>0</v>
      </c>
      <c r="O9" s="55">
        <v>6.0</v>
      </c>
      <c r="P9" s="55">
        <v>0.0</v>
      </c>
      <c r="Q9" s="43">
        <f t="shared" si="2"/>
        <v>6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" t="s">
        <v>978</v>
      </c>
      <c r="C10" s="37" t="s">
        <v>979</v>
      </c>
      <c r="D10" s="37" t="s">
        <v>980</v>
      </c>
      <c r="E10" s="133" t="s">
        <v>338</v>
      </c>
      <c r="F10" s="134">
        <v>44.0</v>
      </c>
      <c r="G10" s="134" t="s">
        <v>476</v>
      </c>
      <c r="H10" s="134" t="s">
        <v>970</v>
      </c>
      <c r="I10" s="134">
        <v>9.991592937E9</v>
      </c>
      <c r="J10" s="54">
        <v>28.0</v>
      </c>
      <c r="K10" s="55">
        <v>15.0</v>
      </c>
      <c r="L10" s="55">
        <v>0.0</v>
      </c>
      <c r="M10" s="55">
        <v>10.0</v>
      </c>
      <c r="N10" s="43">
        <f t="shared" si="1"/>
        <v>10</v>
      </c>
      <c r="O10" s="55">
        <v>3.0</v>
      </c>
      <c r="P10" s="55">
        <v>3.0</v>
      </c>
      <c r="Q10" s="43">
        <f t="shared" si="2"/>
        <v>16</v>
      </c>
      <c r="R10" s="43"/>
      <c r="S10" s="43"/>
      <c r="T10" s="43"/>
      <c r="U10" s="43" t="s">
        <v>116</v>
      </c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" t="s">
        <v>981</v>
      </c>
      <c r="C11" s="37" t="s">
        <v>409</v>
      </c>
      <c r="D11" s="37" t="s">
        <v>982</v>
      </c>
      <c r="E11" s="133" t="s">
        <v>338</v>
      </c>
      <c r="F11" s="134">
        <v>60.0</v>
      </c>
      <c r="G11" s="134" t="s">
        <v>476</v>
      </c>
      <c r="H11" s="134" t="s">
        <v>974</v>
      </c>
      <c r="I11" s="134">
        <v>9.623678436E9</v>
      </c>
      <c r="J11" s="54">
        <v>30.0</v>
      </c>
      <c r="K11" s="55">
        <v>16.0</v>
      </c>
      <c r="L11" s="55">
        <v>0.0</v>
      </c>
      <c r="M11" s="55">
        <v>7.0</v>
      </c>
      <c r="N11" s="43">
        <f t="shared" si="1"/>
        <v>7</v>
      </c>
      <c r="O11" s="55">
        <v>2.0</v>
      </c>
      <c r="P11" s="55">
        <v>7.0</v>
      </c>
      <c r="Q11" s="43">
        <f t="shared" si="2"/>
        <v>16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" t="s">
        <v>983</v>
      </c>
      <c r="C12" s="37" t="s">
        <v>984</v>
      </c>
      <c r="D12" s="37" t="s">
        <v>367</v>
      </c>
      <c r="E12" s="133" t="s">
        <v>338</v>
      </c>
      <c r="F12" s="134">
        <v>47.0</v>
      </c>
      <c r="G12" s="134" t="s">
        <v>476</v>
      </c>
      <c r="H12" s="134" t="s">
        <v>974</v>
      </c>
      <c r="I12" s="134">
        <v>9.07425922E9</v>
      </c>
      <c r="J12" s="54">
        <v>27.0</v>
      </c>
      <c r="K12" s="55">
        <v>15.0</v>
      </c>
      <c r="L12" s="55">
        <v>0.0</v>
      </c>
      <c r="M12" s="55">
        <v>0.0</v>
      </c>
      <c r="N12" s="43">
        <f t="shared" si="1"/>
        <v>0</v>
      </c>
      <c r="O12" s="55">
        <v>5.0</v>
      </c>
      <c r="P12" s="55">
        <v>12.0</v>
      </c>
      <c r="Q12" s="43">
        <f t="shared" si="2"/>
        <v>17</v>
      </c>
      <c r="R12" s="43"/>
      <c r="S12" s="55" t="s">
        <v>277</v>
      </c>
      <c r="T12" s="43"/>
      <c r="U12" s="43"/>
      <c r="V12" s="55" t="s">
        <v>985</v>
      </c>
      <c r="W12" s="56" t="s">
        <v>46</v>
      </c>
      <c r="Z12" s="34"/>
      <c r="AA12" s="60" t="s">
        <v>62</v>
      </c>
      <c r="AB12" s="58"/>
      <c r="AC12" s="58"/>
      <c r="AD12" s="46">
        <f>W157</f>
        <v>61</v>
      </c>
    </row>
    <row r="13" ht="13.5" customHeight="1">
      <c r="A13" s="28">
        <v>7.0</v>
      </c>
      <c r="B13" s="37" t="s">
        <v>986</v>
      </c>
      <c r="C13" s="37" t="s">
        <v>987</v>
      </c>
      <c r="D13" s="37" t="s">
        <v>988</v>
      </c>
      <c r="E13" s="133" t="s">
        <v>338</v>
      </c>
      <c r="F13" s="134">
        <v>43.0</v>
      </c>
      <c r="G13" s="134" t="s">
        <v>476</v>
      </c>
      <c r="H13" s="134" t="s">
        <v>974</v>
      </c>
      <c r="I13" s="134">
        <v>9.568858604E9</v>
      </c>
      <c r="J13" s="54">
        <v>24.0</v>
      </c>
      <c r="K13" s="55">
        <v>14.0</v>
      </c>
      <c r="L13" s="55">
        <v>0.0</v>
      </c>
      <c r="M13" s="55">
        <v>1.0</v>
      </c>
      <c r="N13" s="43">
        <f t="shared" si="1"/>
        <v>1</v>
      </c>
      <c r="O13" s="43"/>
      <c r="P13" s="55">
        <v>4.0</v>
      </c>
      <c r="Q13" s="43">
        <f t="shared" si="2"/>
        <v>5</v>
      </c>
      <c r="R13" s="43"/>
      <c r="S13" s="55" t="s">
        <v>277</v>
      </c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37" t="s">
        <v>989</v>
      </c>
      <c r="C14" s="37" t="s">
        <v>990</v>
      </c>
      <c r="D14" s="37" t="s">
        <v>991</v>
      </c>
      <c r="E14" s="133" t="s">
        <v>338</v>
      </c>
      <c r="F14" s="134">
        <v>54.0</v>
      </c>
      <c r="G14" s="134" t="s">
        <v>476</v>
      </c>
      <c r="H14" s="134" t="s">
        <v>970</v>
      </c>
      <c r="I14" s="134">
        <v>9.684992641E9</v>
      </c>
      <c r="J14" s="54">
        <v>30.0</v>
      </c>
      <c r="K14" s="55">
        <v>29.0</v>
      </c>
      <c r="L14" s="55">
        <v>0.0</v>
      </c>
      <c r="M14" s="55">
        <v>0.0</v>
      </c>
      <c r="N14" s="43">
        <f t="shared" si="1"/>
        <v>0</v>
      </c>
      <c r="O14" s="55">
        <v>2.0</v>
      </c>
      <c r="P14" s="55">
        <v>1.0</v>
      </c>
      <c r="Q14" s="43">
        <f t="shared" si="2"/>
        <v>3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" t="s">
        <v>992</v>
      </c>
      <c r="C15" s="37" t="s">
        <v>993</v>
      </c>
      <c r="D15" s="37" t="s">
        <v>994</v>
      </c>
      <c r="E15" s="133" t="s">
        <v>338</v>
      </c>
      <c r="F15" s="134">
        <v>38.0</v>
      </c>
      <c r="G15" s="134" t="s">
        <v>476</v>
      </c>
      <c r="H15" s="134" t="s">
        <v>974</v>
      </c>
      <c r="I15" s="134">
        <v>9.294158629E9</v>
      </c>
      <c r="J15" s="54">
        <v>26.0</v>
      </c>
      <c r="K15" s="55">
        <v>15.0</v>
      </c>
      <c r="L15" s="55">
        <v>11.0</v>
      </c>
      <c r="M15" s="55">
        <v>1.0</v>
      </c>
      <c r="N15" s="43">
        <f t="shared" si="1"/>
        <v>12</v>
      </c>
      <c r="O15" s="55">
        <v>5.0</v>
      </c>
      <c r="P15" s="55">
        <v>0.0</v>
      </c>
      <c r="Q15" s="43">
        <f t="shared" si="2"/>
        <v>17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1</v>
      </c>
      <c r="AC15" s="62"/>
      <c r="AD15" s="62"/>
    </row>
    <row r="16" ht="13.5" customHeight="1">
      <c r="A16" s="28">
        <v>10.0</v>
      </c>
      <c r="B16" s="37" t="s">
        <v>995</v>
      </c>
      <c r="C16" s="37" t="s">
        <v>996</v>
      </c>
      <c r="D16" s="37" t="s">
        <v>997</v>
      </c>
      <c r="E16" s="133" t="s">
        <v>338</v>
      </c>
      <c r="F16" s="134">
        <v>35.0</v>
      </c>
      <c r="G16" s="134" t="s">
        <v>584</v>
      </c>
      <c r="H16" s="134" t="s">
        <v>998</v>
      </c>
      <c r="I16" s="134">
        <v>9.382818931E9</v>
      </c>
      <c r="J16" s="54">
        <v>29.0</v>
      </c>
      <c r="K16" s="55">
        <v>24.0</v>
      </c>
      <c r="L16" s="55">
        <v>0.0</v>
      </c>
      <c r="M16" s="55">
        <v>5.0</v>
      </c>
      <c r="N16" s="43">
        <f t="shared" si="1"/>
        <v>5</v>
      </c>
      <c r="O16" s="55">
        <v>3.0</v>
      </c>
      <c r="P16" s="55">
        <v>0.0</v>
      </c>
      <c r="Q16" s="43">
        <f t="shared" si="2"/>
        <v>8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37" t="s">
        <v>999</v>
      </c>
      <c r="C17" s="37" t="s">
        <v>1000</v>
      </c>
      <c r="D17" s="37" t="s">
        <v>1001</v>
      </c>
      <c r="E17" s="133" t="s">
        <v>338</v>
      </c>
      <c r="F17" s="134">
        <v>32.0</v>
      </c>
      <c r="G17" s="134" t="s">
        <v>476</v>
      </c>
      <c r="H17" s="134" t="s">
        <v>1002</v>
      </c>
      <c r="I17" s="163" t="s">
        <v>1003</v>
      </c>
      <c r="J17" s="54">
        <v>28.0</v>
      </c>
      <c r="K17" s="55">
        <v>26.0</v>
      </c>
      <c r="L17" s="55">
        <v>0.0</v>
      </c>
      <c r="M17" s="55">
        <v>1.0</v>
      </c>
      <c r="N17" s="43">
        <f t="shared" si="1"/>
        <v>1</v>
      </c>
      <c r="O17" s="55">
        <v>1.0</v>
      </c>
      <c r="P17" s="55">
        <v>1.0</v>
      </c>
      <c r="Q17" s="43">
        <f t="shared" si="2"/>
        <v>3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" t="s">
        <v>1004</v>
      </c>
      <c r="C18" s="37" t="s">
        <v>1005</v>
      </c>
      <c r="D18" s="37" t="s">
        <v>1006</v>
      </c>
      <c r="E18" s="133" t="s">
        <v>338</v>
      </c>
      <c r="F18" s="134">
        <v>55.0</v>
      </c>
      <c r="G18" s="134" t="s">
        <v>476</v>
      </c>
      <c r="H18" s="134" t="s">
        <v>974</v>
      </c>
      <c r="I18" s="134">
        <v>9.533095657E9</v>
      </c>
      <c r="J18" s="54">
        <v>23.0</v>
      </c>
      <c r="K18" s="55">
        <v>13.0</v>
      </c>
      <c r="L18" s="55">
        <v>0.0</v>
      </c>
      <c r="M18" s="55">
        <v>5.0</v>
      </c>
      <c r="N18" s="43">
        <f t="shared" si="1"/>
        <v>5</v>
      </c>
      <c r="O18" s="55">
        <v>7.0</v>
      </c>
      <c r="P18" s="55">
        <v>5.0</v>
      </c>
      <c r="Q18" s="43">
        <f t="shared" si="2"/>
        <v>17</v>
      </c>
      <c r="R18" s="43"/>
      <c r="S18" s="43"/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3</v>
      </c>
      <c r="AC18" s="34"/>
      <c r="AD18" s="34"/>
    </row>
    <row r="19" ht="13.5" customHeight="1">
      <c r="A19" s="28">
        <v>13.0</v>
      </c>
      <c r="B19" s="37" t="s">
        <v>1007</v>
      </c>
      <c r="C19" s="37" t="s">
        <v>1008</v>
      </c>
      <c r="D19" s="37" t="s">
        <v>65</v>
      </c>
      <c r="E19" s="133" t="s">
        <v>338</v>
      </c>
      <c r="F19" s="134">
        <v>28.0</v>
      </c>
      <c r="G19" s="134" t="s">
        <v>584</v>
      </c>
      <c r="H19" s="134" t="s">
        <v>1009</v>
      </c>
      <c r="I19" s="163" t="s">
        <v>1010</v>
      </c>
      <c r="J19" s="54">
        <v>27.0</v>
      </c>
      <c r="K19" s="55">
        <v>25.0</v>
      </c>
      <c r="L19" s="55">
        <v>0.0</v>
      </c>
      <c r="M19" s="55">
        <v>2.0</v>
      </c>
      <c r="N19" s="43">
        <f t="shared" si="1"/>
        <v>2</v>
      </c>
      <c r="O19" s="55">
        <v>3.0</v>
      </c>
      <c r="P19" s="55">
        <v>0.0</v>
      </c>
      <c r="Q19" s="43">
        <f t="shared" si="2"/>
        <v>5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" t="s">
        <v>1011</v>
      </c>
      <c r="C20" s="37" t="s">
        <v>1012</v>
      </c>
      <c r="D20" s="37" t="s">
        <v>1013</v>
      </c>
      <c r="E20" s="133" t="s">
        <v>338</v>
      </c>
      <c r="F20" s="134">
        <v>53.0</v>
      </c>
      <c r="G20" s="134" t="s">
        <v>584</v>
      </c>
      <c r="H20" s="134" t="s">
        <v>970</v>
      </c>
      <c r="I20" s="134">
        <v>9.163050094E9</v>
      </c>
      <c r="J20" s="54">
        <v>27.0</v>
      </c>
      <c r="K20" s="55">
        <v>24.0</v>
      </c>
      <c r="L20" s="55">
        <v>1.0</v>
      </c>
      <c r="M20" s="55">
        <v>1.0</v>
      </c>
      <c r="N20" s="43">
        <f t="shared" si="1"/>
        <v>2</v>
      </c>
      <c r="O20" s="55">
        <v>5.0</v>
      </c>
      <c r="P20" s="55">
        <v>1.0</v>
      </c>
      <c r="Q20" s="43">
        <f t="shared" si="2"/>
        <v>8</v>
      </c>
      <c r="R20" s="43"/>
      <c r="S20" s="43"/>
      <c r="T20" s="43"/>
      <c r="U20" s="43"/>
      <c r="V20" s="43"/>
      <c r="W20" s="56" t="s">
        <v>46</v>
      </c>
      <c r="Y20" s="138" t="s">
        <v>116</v>
      </c>
      <c r="Z20" s="34"/>
      <c r="AA20" s="61" t="s">
        <v>97</v>
      </c>
      <c r="AB20" s="66">
        <f>COUNTIF(S7:S157, "RPDUL")</f>
        <v>4</v>
      </c>
      <c r="AC20" s="34"/>
      <c r="AD20" s="34"/>
    </row>
    <row r="21" ht="13.5" customHeight="1">
      <c r="A21" s="28">
        <v>15.0</v>
      </c>
      <c r="B21" s="37" t="s">
        <v>1014</v>
      </c>
      <c r="C21" s="37" t="s">
        <v>1015</v>
      </c>
      <c r="D21" s="37" t="s">
        <v>232</v>
      </c>
      <c r="E21" s="133" t="s">
        <v>338</v>
      </c>
      <c r="F21" s="134">
        <v>59.0</v>
      </c>
      <c r="G21" s="134" t="s">
        <v>476</v>
      </c>
      <c r="H21" s="134" t="s">
        <v>998</v>
      </c>
      <c r="I21" s="134">
        <v>9.494972289E9</v>
      </c>
      <c r="J21" s="54">
        <v>9.0</v>
      </c>
      <c r="K21" s="55">
        <v>8.0</v>
      </c>
      <c r="L21" s="55">
        <v>0.0</v>
      </c>
      <c r="M21" s="55">
        <v>1.0</v>
      </c>
      <c r="N21" s="43">
        <f t="shared" si="1"/>
        <v>1</v>
      </c>
      <c r="O21" s="55">
        <v>23.0</v>
      </c>
      <c r="P21" s="55">
        <v>0.0</v>
      </c>
      <c r="Q21" s="43">
        <f t="shared" si="2"/>
        <v>24</v>
      </c>
      <c r="R21" s="43"/>
      <c r="S21" s="55" t="s">
        <v>1016</v>
      </c>
      <c r="T21" s="55" t="s">
        <v>140</v>
      </c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37" t="s">
        <v>1017</v>
      </c>
      <c r="C22" s="37" t="s">
        <v>1018</v>
      </c>
      <c r="D22" s="37" t="s">
        <v>1019</v>
      </c>
      <c r="E22" s="133" t="s">
        <v>338</v>
      </c>
      <c r="F22" s="134">
        <v>36.0</v>
      </c>
      <c r="G22" s="134" t="s">
        <v>476</v>
      </c>
      <c r="H22" s="134" t="s">
        <v>974</v>
      </c>
      <c r="I22" s="134">
        <v>9.684997665E9</v>
      </c>
      <c r="J22" s="54">
        <v>26.0</v>
      </c>
      <c r="K22" s="55">
        <v>17.0</v>
      </c>
      <c r="L22" s="55">
        <v>0.0</v>
      </c>
      <c r="M22" s="55">
        <v>9.0</v>
      </c>
      <c r="N22" s="43">
        <f t="shared" si="1"/>
        <v>9</v>
      </c>
      <c r="O22" s="55">
        <v>6.0</v>
      </c>
      <c r="P22" s="55">
        <v>0.0</v>
      </c>
      <c r="Q22" s="43">
        <f t="shared" si="2"/>
        <v>15</v>
      </c>
      <c r="R22" s="43"/>
      <c r="S22" s="43"/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37" t="s">
        <v>1020</v>
      </c>
      <c r="C23" s="37" t="s">
        <v>1021</v>
      </c>
      <c r="D23" s="37" t="s">
        <v>932</v>
      </c>
      <c r="E23" s="133" t="s">
        <v>338</v>
      </c>
      <c r="F23" s="134">
        <v>51.0</v>
      </c>
      <c r="G23" s="134" t="s">
        <v>584</v>
      </c>
      <c r="H23" s="134" t="s">
        <v>1022</v>
      </c>
      <c r="I23" s="163" t="s">
        <v>1023</v>
      </c>
      <c r="J23" s="54">
        <v>29.0</v>
      </c>
      <c r="K23" s="55">
        <v>23.0</v>
      </c>
      <c r="L23" s="55">
        <v>0.0</v>
      </c>
      <c r="M23" s="55">
        <v>0.0</v>
      </c>
      <c r="N23" s="43">
        <f t="shared" si="1"/>
        <v>0</v>
      </c>
      <c r="O23" s="55">
        <v>3.0</v>
      </c>
      <c r="P23" s="55">
        <v>6.0</v>
      </c>
      <c r="Q23" s="43">
        <f t="shared" si="2"/>
        <v>9</v>
      </c>
      <c r="R23" s="43"/>
      <c r="S23" s="43"/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7</v>
      </c>
      <c r="AC23" s="34"/>
      <c r="AD23" s="34"/>
    </row>
    <row r="24" ht="13.5" customHeight="1">
      <c r="A24" s="28">
        <v>18.0</v>
      </c>
      <c r="B24" s="37" t="s">
        <v>1024</v>
      </c>
      <c r="C24" s="37" t="s">
        <v>1025</v>
      </c>
      <c r="D24" s="37" t="s">
        <v>1026</v>
      </c>
      <c r="E24" s="133" t="s">
        <v>338</v>
      </c>
      <c r="F24" s="134">
        <v>29.0</v>
      </c>
      <c r="G24" s="134" t="s">
        <v>476</v>
      </c>
      <c r="H24" s="134" t="s">
        <v>974</v>
      </c>
      <c r="I24" s="134">
        <v>9.09031926E9</v>
      </c>
      <c r="J24" s="54">
        <v>26.0</v>
      </c>
      <c r="K24" s="55">
        <v>19.0</v>
      </c>
      <c r="L24" s="55">
        <v>0.0</v>
      </c>
      <c r="M24" s="55">
        <v>3.0</v>
      </c>
      <c r="N24" s="43">
        <f t="shared" si="1"/>
        <v>3</v>
      </c>
      <c r="O24" s="55">
        <v>6.0</v>
      </c>
      <c r="P24" s="55">
        <v>4.0</v>
      </c>
      <c r="Q24" s="43">
        <f t="shared" si="2"/>
        <v>13</v>
      </c>
      <c r="R24" s="43"/>
      <c r="S24" s="55" t="s">
        <v>277</v>
      </c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37" t="s">
        <v>1027</v>
      </c>
      <c r="C25" s="37" t="s">
        <v>1028</v>
      </c>
      <c r="D25" s="37" t="s">
        <v>1029</v>
      </c>
      <c r="E25" s="133" t="s">
        <v>338</v>
      </c>
      <c r="F25" s="134">
        <v>34.0</v>
      </c>
      <c r="G25" s="134" t="s">
        <v>476</v>
      </c>
      <c r="H25" s="134" t="s">
        <v>970</v>
      </c>
      <c r="I25" s="134">
        <v>9.274771135E9</v>
      </c>
      <c r="J25" s="54">
        <v>30.0</v>
      </c>
      <c r="K25" s="55">
        <v>20.0</v>
      </c>
      <c r="L25" s="55">
        <v>0.0</v>
      </c>
      <c r="M25" s="55">
        <v>0.0</v>
      </c>
      <c r="N25" s="43">
        <f t="shared" si="1"/>
        <v>0</v>
      </c>
      <c r="O25" s="55">
        <v>2.0</v>
      </c>
      <c r="P25" s="55">
        <v>10.0</v>
      </c>
      <c r="Q25" s="43">
        <f t="shared" si="2"/>
        <v>12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37" t="s">
        <v>1027</v>
      </c>
      <c r="C26" s="37" t="s">
        <v>1030</v>
      </c>
      <c r="D26" s="37" t="s">
        <v>1031</v>
      </c>
      <c r="E26" s="133" t="s">
        <v>338</v>
      </c>
      <c r="F26" s="134">
        <v>35.0</v>
      </c>
      <c r="G26" s="134" t="s">
        <v>584</v>
      </c>
      <c r="H26" s="134" t="s">
        <v>1032</v>
      </c>
      <c r="I26" s="134">
        <v>9.272555697E9</v>
      </c>
      <c r="J26" s="54">
        <v>27.0</v>
      </c>
      <c r="K26" s="55">
        <v>23.0</v>
      </c>
      <c r="L26" s="55">
        <v>0.0</v>
      </c>
      <c r="M26" s="55">
        <v>0.0</v>
      </c>
      <c r="N26" s="43">
        <f t="shared" si="1"/>
        <v>0</v>
      </c>
      <c r="O26" s="55">
        <v>5.0</v>
      </c>
      <c r="P26" s="55">
        <v>4.0</v>
      </c>
      <c r="Q26" s="43">
        <f t="shared" si="2"/>
        <v>9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37" t="s">
        <v>919</v>
      </c>
      <c r="C27" s="37" t="s">
        <v>1033</v>
      </c>
      <c r="D27" s="37" t="s">
        <v>1034</v>
      </c>
      <c r="E27" s="133" t="s">
        <v>338</v>
      </c>
      <c r="F27" s="134">
        <v>30.0</v>
      </c>
      <c r="G27" s="134" t="s">
        <v>476</v>
      </c>
      <c r="H27" s="134" t="s">
        <v>998</v>
      </c>
      <c r="I27" s="134">
        <v>9.066665538E9</v>
      </c>
      <c r="J27" s="54">
        <v>28.0</v>
      </c>
      <c r="K27" s="55">
        <v>19.0</v>
      </c>
      <c r="L27" s="55">
        <v>0.0</v>
      </c>
      <c r="M27" s="55">
        <v>3.0</v>
      </c>
      <c r="N27" s="43">
        <f t="shared" si="1"/>
        <v>3</v>
      </c>
      <c r="O27" s="55">
        <v>2.0</v>
      </c>
      <c r="P27" s="55">
        <v>6.0</v>
      </c>
      <c r="Q27" s="43">
        <f t="shared" si="2"/>
        <v>11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37" t="s">
        <v>1035</v>
      </c>
      <c r="C28" s="37" t="s">
        <v>1036</v>
      </c>
      <c r="D28" s="37" t="s">
        <v>1037</v>
      </c>
      <c r="E28" s="133" t="s">
        <v>338</v>
      </c>
      <c r="F28" s="134">
        <v>27.0</v>
      </c>
      <c r="G28" s="134" t="s">
        <v>584</v>
      </c>
      <c r="H28" s="134" t="s">
        <v>998</v>
      </c>
      <c r="I28" s="134">
        <v>9.626804755E9</v>
      </c>
      <c r="J28" s="54">
        <v>27.0</v>
      </c>
      <c r="K28" s="55">
        <v>23.0</v>
      </c>
      <c r="L28" s="55">
        <v>0.0</v>
      </c>
      <c r="M28" s="55">
        <v>1.0</v>
      </c>
      <c r="N28" s="43">
        <f t="shared" si="1"/>
        <v>1</v>
      </c>
      <c r="O28" s="55">
        <v>5.0</v>
      </c>
      <c r="P28" s="55">
        <v>3.0</v>
      </c>
      <c r="Q28" s="43">
        <f t="shared" si="2"/>
        <v>9</v>
      </c>
      <c r="R28" s="43"/>
      <c r="S28" s="55" t="s">
        <v>277</v>
      </c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37" t="s">
        <v>202</v>
      </c>
      <c r="C29" s="37" t="s">
        <v>1038</v>
      </c>
      <c r="D29" s="37" t="s">
        <v>1039</v>
      </c>
      <c r="E29" s="133" t="s">
        <v>338</v>
      </c>
      <c r="F29" s="134">
        <v>60.0</v>
      </c>
      <c r="G29" s="134" t="s">
        <v>476</v>
      </c>
      <c r="H29" s="134" t="s">
        <v>1040</v>
      </c>
      <c r="I29" s="134">
        <v>9.19827422E9</v>
      </c>
      <c r="J29" s="42"/>
      <c r="K29" s="43"/>
      <c r="L29" s="43"/>
      <c r="M29" s="43"/>
      <c r="N29" s="43">
        <f t="shared" si="1"/>
        <v>0</v>
      </c>
      <c r="O29" s="43"/>
      <c r="P29" s="43"/>
      <c r="Q29" s="43">
        <f t="shared" si="2"/>
        <v>0</v>
      </c>
      <c r="R29" s="43"/>
      <c r="S29" s="43"/>
      <c r="T29" s="43"/>
      <c r="U29" s="43"/>
      <c r="V29" s="43"/>
      <c r="W29" s="44"/>
      <c r="Z29" s="34"/>
      <c r="AA29" s="34"/>
      <c r="AB29" s="34"/>
      <c r="AC29" s="34"/>
      <c r="AD29" s="34"/>
    </row>
    <row r="30" ht="13.5" customHeight="1">
      <c r="A30" s="28">
        <v>24.0</v>
      </c>
      <c r="B30" s="37" t="s">
        <v>112</v>
      </c>
      <c r="C30" s="37" t="s">
        <v>1041</v>
      </c>
      <c r="D30" s="37" t="s">
        <v>1042</v>
      </c>
      <c r="E30" s="133" t="s">
        <v>338</v>
      </c>
      <c r="F30" s="134">
        <v>49.0</v>
      </c>
      <c r="G30" s="134" t="s">
        <v>584</v>
      </c>
      <c r="H30" s="134" t="s">
        <v>1009</v>
      </c>
      <c r="I30" s="134">
        <v>9.231823425E9</v>
      </c>
      <c r="J30" s="54">
        <v>31.0</v>
      </c>
      <c r="K30" s="55">
        <v>26.0</v>
      </c>
      <c r="L30" s="55">
        <v>1.0</v>
      </c>
      <c r="M30" s="55">
        <v>1.0</v>
      </c>
      <c r="N30" s="43">
        <f t="shared" si="1"/>
        <v>2</v>
      </c>
      <c r="O30" s="55">
        <v>1.0</v>
      </c>
      <c r="P30" s="55">
        <v>3.0</v>
      </c>
      <c r="Q30" s="43">
        <f t="shared" si="2"/>
        <v>6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37" t="s">
        <v>1043</v>
      </c>
      <c r="C31" s="37" t="s">
        <v>1044</v>
      </c>
      <c r="D31" s="37" t="s">
        <v>1045</v>
      </c>
      <c r="E31" s="133" t="s">
        <v>338</v>
      </c>
      <c r="F31" s="134">
        <v>33.0</v>
      </c>
      <c r="G31" s="134" t="s">
        <v>476</v>
      </c>
      <c r="H31" s="134" t="s">
        <v>998</v>
      </c>
      <c r="I31" s="134">
        <v>9.07020599E9</v>
      </c>
      <c r="J31" s="54">
        <v>26.0</v>
      </c>
      <c r="K31" s="55">
        <v>13.0</v>
      </c>
      <c r="L31" s="55">
        <v>0.0</v>
      </c>
      <c r="M31" s="55">
        <v>0.0</v>
      </c>
      <c r="N31" s="43">
        <f t="shared" si="1"/>
        <v>0</v>
      </c>
      <c r="O31" s="55">
        <v>2.0</v>
      </c>
      <c r="P31" s="55">
        <v>13.0</v>
      </c>
      <c r="Q31" s="43">
        <f t="shared" si="2"/>
        <v>15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37" t="s">
        <v>1046</v>
      </c>
      <c r="C32" s="37" t="s">
        <v>1047</v>
      </c>
      <c r="D32" s="37" t="s">
        <v>1048</v>
      </c>
      <c r="E32" s="133" t="s">
        <v>338</v>
      </c>
      <c r="F32" s="134">
        <v>55.0</v>
      </c>
      <c r="G32" s="134" t="s">
        <v>584</v>
      </c>
      <c r="H32" s="134" t="s">
        <v>1009</v>
      </c>
      <c r="I32" s="134">
        <v>9.95874894E8</v>
      </c>
      <c r="J32" s="54">
        <v>23.0</v>
      </c>
      <c r="K32" s="55">
        <v>19.0</v>
      </c>
      <c r="L32" s="55">
        <v>0.0</v>
      </c>
      <c r="M32" s="55">
        <v>0.0</v>
      </c>
      <c r="N32" s="43">
        <f t="shared" si="1"/>
        <v>0</v>
      </c>
      <c r="O32" s="55">
        <v>9.0</v>
      </c>
      <c r="P32" s="55">
        <v>4.0</v>
      </c>
      <c r="Q32" s="43">
        <f t="shared" si="2"/>
        <v>13</v>
      </c>
      <c r="R32" s="43"/>
      <c r="S32" s="55" t="s">
        <v>101</v>
      </c>
      <c r="T32" s="43"/>
      <c r="U32" s="43"/>
      <c r="V32" s="55" t="s">
        <v>1049</v>
      </c>
      <c r="W32" s="56" t="s">
        <v>46</v>
      </c>
      <c r="Z32" s="61" t="s">
        <v>139</v>
      </c>
      <c r="AA32" s="61" t="s">
        <v>140</v>
      </c>
      <c r="AB32" s="66">
        <f>COUNTIF(T7:T157, "G")</f>
        <v>1</v>
      </c>
      <c r="AC32" s="34"/>
      <c r="AD32" s="34"/>
    </row>
    <row r="33" ht="13.5" customHeight="1">
      <c r="A33" s="28">
        <v>27.0</v>
      </c>
      <c r="B33" s="37" t="s">
        <v>1050</v>
      </c>
      <c r="C33" s="37" t="s">
        <v>1051</v>
      </c>
      <c r="D33" s="37" t="s">
        <v>1052</v>
      </c>
      <c r="E33" s="133" t="s">
        <v>338</v>
      </c>
      <c r="F33" s="134">
        <v>41.0</v>
      </c>
      <c r="G33" s="134" t="s">
        <v>584</v>
      </c>
      <c r="H33" s="134" t="s">
        <v>974</v>
      </c>
      <c r="I33" s="134">
        <v>9.389247375E9</v>
      </c>
      <c r="J33" s="54">
        <v>26.0</v>
      </c>
      <c r="K33" s="55">
        <v>21.0</v>
      </c>
      <c r="L33" s="55">
        <v>2.0</v>
      </c>
      <c r="M33" s="55">
        <v>2.0</v>
      </c>
      <c r="N33" s="43">
        <f t="shared" si="1"/>
        <v>4</v>
      </c>
      <c r="O33" s="55">
        <v>6.0</v>
      </c>
      <c r="P33" s="55">
        <v>0.0</v>
      </c>
      <c r="Q33" s="43">
        <f t="shared" si="2"/>
        <v>10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37" t="s">
        <v>436</v>
      </c>
      <c r="C34" s="37" t="s">
        <v>1053</v>
      </c>
      <c r="D34" s="37" t="s">
        <v>1054</v>
      </c>
      <c r="E34" s="133" t="s">
        <v>338</v>
      </c>
      <c r="F34" s="134">
        <v>29.0</v>
      </c>
      <c r="G34" s="134" t="s">
        <v>476</v>
      </c>
      <c r="H34" s="134" t="s">
        <v>974</v>
      </c>
      <c r="I34" s="134">
        <v>9.365213643E9</v>
      </c>
      <c r="J34" s="54">
        <v>27.0</v>
      </c>
      <c r="K34" s="55">
        <v>25.0</v>
      </c>
      <c r="L34" s="55">
        <v>0.0</v>
      </c>
      <c r="M34" s="55">
        <v>0.0</v>
      </c>
      <c r="N34" s="43">
        <f t="shared" si="1"/>
        <v>0</v>
      </c>
      <c r="O34" s="55">
        <v>1.0</v>
      </c>
      <c r="P34" s="55">
        <v>2.0</v>
      </c>
      <c r="Q34" s="43">
        <f t="shared" si="2"/>
        <v>3</v>
      </c>
      <c r="R34" s="43"/>
      <c r="S34" s="55" t="s">
        <v>277</v>
      </c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37" t="s">
        <v>1055</v>
      </c>
      <c r="C35" s="37" t="s">
        <v>1056</v>
      </c>
      <c r="D35" s="37" t="s">
        <v>1057</v>
      </c>
      <c r="E35" s="133" t="s">
        <v>338</v>
      </c>
      <c r="F35" s="134">
        <v>30.0</v>
      </c>
      <c r="G35" s="134" t="s">
        <v>476</v>
      </c>
      <c r="H35" s="134" t="s">
        <v>974</v>
      </c>
      <c r="I35" s="163" t="s">
        <v>1058</v>
      </c>
      <c r="J35" s="161">
        <v>30.0</v>
      </c>
      <c r="K35" s="55">
        <v>15.0</v>
      </c>
      <c r="L35" s="55">
        <v>0.0</v>
      </c>
      <c r="M35" s="55">
        <v>0.0</v>
      </c>
      <c r="N35" s="43">
        <f t="shared" si="1"/>
        <v>0</v>
      </c>
      <c r="O35" s="55">
        <v>2.0</v>
      </c>
      <c r="P35" s="55">
        <v>14.0</v>
      </c>
      <c r="Q35" s="43">
        <f t="shared" si="2"/>
        <v>16</v>
      </c>
      <c r="R35" s="43"/>
      <c r="S35" s="55" t="s">
        <v>277</v>
      </c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37" t="s">
        <v>1059</v>
      </c>
      <c r="C36" s="37" t="s">
        <v>1060</v>
      </c>
      <c r="D36" s="37" t="s">
        <v>1061</v>
      </c>
      <c r="E36" s="133" t="s">
        <v>338</v>
      </c>
      <c r="F36" s="134">
        <v>53.0</v>
      </c>
      <c r="G36" s="134" t="s">
        <v>476</v>
      </c>
      <c r="H36" s="134" t="s">
        <v>970</v>
      </c>
      <c r="I36" s="134">
        <v>9.461760559E9</v>
      </c>
      <c r="J36" s="87">
        <v>10.0</v>
      </c>
      <c r="K36" s="55">
        <v>8.0</v>
      </c>
      <c r="L36" s="55">
        <v>0.0</v>
      </c>
      <c r="M36" s="55">
        <v>1.0</v>
      </c>
      <c r="N36" s="43">
        <f t="shared" si="1"/>
        <v>1</v>
      </c>
      <c r="O36" s="55">
        <v>22.0</v>
      </c>
      <c r="P36" s="55">
        <v>1.0</v>
      </c>
      <c r="Q36" s="43">
        <f t="shared" si="2"/>
        <v>24</v>
      </c>
      <c r="R36" s="43"/>
      <c r="S36" s="55" t="s">
        <v>88</v>
      </c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37" t="s">
        <v>1062</v>
      </c>
      <c r="C37" s="37" t="s">
        <v>1063</v>
      </c>
      <c r="D37" s="37" t="s">
        <v>1064</v>
      </c>
      <c r="E37" s="133" t="s">
        <v>338</v>
      </c>
      <c r="F37" s="134">
        <v>36.0</v>
      </c>
      <c r="G37" s="134" t="s">
        <v>476</v>
      </c>
      <c r="H37" s="134" t="s">
        <v>970</v>
      </c>
      <c r="I37" s="134">
        <v>9.929072625E9</v>
      </c>
      <c r="J37" s="87">
        <v>31.0</v>
      </c>
      <c r="K37" s="55">
        <v>26.0</v>
      </c>
      <c r="L37" s="55">
        <v>1.0</v>
      </c>
      <c r="M37" s="55">
        <v>4.0</v>
      </c>
      <c r="N37" s="43">
        <f t="shared" si="1"/>
        <v>5</v>
      </c>
      <c r="O37" s="55">
        <v>1.0</v>
      </c>
      <c r="P37" s="55">
        <v>0.0</v>
      </c>
      <c r="Q37" s="43">
        <f t="shared" si="2"/>
        <v>6</v>
      </c>
      <c r="R37" s="43"/>
      <c r="S37" s="43"/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37" t="s">
        <v>1065</v>
      </c>
      <c r="C38" s="37" t="s">
        <v>1066</v>
      </c>
      <c r="D38" s="37" t="s">
        <v>1067</v>
      </c>
      <c r="E38" s="133" t="s">
        <v>338</v>
      </c>
      <c r="F38" s="134">
        <v>35.0</v>
      </c>
      <c r="G38" s="134" t="s">
        <v>476</v>
      </c>
      <c r="H38" s="134" t="s">
        <v>970</v>
      </c>
      <c r="I38" s="134">
        <v>9.812204935E9</v>
      </c>
      <c r="J38" s="83"/>
      <c r="K38" s="43"/>
      <c r="L38" s="43"/>
      <c r="M38" s="43"/>
      <c r="N38" s="43">
        <f t="shared" si="1"/>
        <v>0</v>
      </c>
      <c r="O38" s="43"/>
      <c r="P38" s="43"/>
      <c r="Q38" s="43">
        <f t="shared" si="2"/>
        <v>0</v>
      </c>
      <c r="R38" s="43"/>
      <c r="S38" s="43"/>
      <c r="T38" s="43"/>
      <c r="U38" s="43"/>
      <c r="V38" s="43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37" t="s">
        <v>280</v>
      </c>
      <c r="C39" s="37" t="s">
        <v>1068</v>
      </c>
      <c r="D39" s="37" t="s">
        <v>1069</v>
      </c>
      <c r="E39" s="133" t="s">
        <v>338</v>
      </c>
      <c r="F39" s="134">
        <v>47.0</v>
      </c>
      <c r="G39" s="134" t="s">
        <v>476</v>
      </c>
      <c r="H39" s="134" t="s">
        <v>974</v>
      </c>
      <c r="I39" s="134">
        <v>9.228691835E9</v>
      </c>
      <c r="J39" s="87">
        <v>25.0</v>
      </c>
      <c r="K39" s="55">
        <v>22.0</v>
      </c>
      <c r="L39" s="55">
        <v>0.0</v>
      </c>
      <c r="M39" s="55">
        <v>0.0</v>
      </c>
      <c r="N39" s="43">
        <f t="shared" si="1"/>
        <v>0</v>
      </c>
      <c r="O39" s="55">
        <v>7.0</v>
      </c>
      <c r="P39" s="55">
        <v>3.0</v>
      </c>
      <c r="Q39" s="43">
        <f t="shared" si="2"/>
        <v>10</v>
      </c>
      <c r="R39" s="43"/>
      <c r="S39" s="43"/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37" t="s">
        <v>1070</v>
      </c>
      <c r="C40" s="37" t="s">
        <v>1071</v>
      </c>
      <c r="D40" s="37" t="s">
        <v>1072</v>
      </c>
      <c r="E40" s="133" t="s">
        <v>338</v>
      </c>
      <c r="F40" s="134">
        <v>32.0</v>
      </c>
      <c r="G40" s="134" t="s">
        <v>584</v>
      </c>
      <c r="H40" s="134" t="s">
        <v>1032</v>
      </c>
      <c r="I40" s="134">
        <v>9.491229361E9</v>
      </c>
      <c r="J40" s="87">
        <v>24.0</v>
      </c>
      <c r="K40" s="55">
        <v>16.0</v>
      </c>
      <c r="L40" s="55">
        <v>0.0</v>
      </c>
      <c r="M40" s="55">
        <v>0.0</v>
      </c>
      <c r="N40" s="43">
        <f t="shared" si="1"/>
        <v>0</v>
      </c>
      <c r="O40" s="55">
        <v>8.0</v>
      </c>
      <c r="P40" s="55">
        <v>8.0</v>
      </c>
      <c r="Q40" s="43">
        <f t="shared" si="2"/>
        <v>16</v>
      </c>
      <c r="R40" s="43"/>
      <c r="S40" s="43"/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37" t="s">
        <v>1073</v>
      </c>
      <c r="C41" s="37" t="s">
        <v>1074</v>
      </c>
      <c r="D41" s="37" t="s">
        <v>1075</v>
      </c>
      <c r="E41" s="133" t="s">
        <v>338</v>
      </c>
      <c r="F41" s="134">
        <v>37.0</v>
      </c>
      <c r="G41" s="134" t="s">
        <v>476</v>
      </c>
      <c r="H41" s="134" t="s">
        <v>970</v>
      </c>
      <c r="I41" s="134">
        <v>9.202422266E9</v>
      </c>
      <c r="J41" s="87">
        <v>27.0</v>
      </c>
      <c r="K41" s="55">
        <v>18.0</v>
      </c>
      <c r="L41" s="55">
        <v>3.0</v>
      </c>
      <c r="M41" s="55">
        <v>6.0</v>
      </c>
      <c r="N41" s="43">
        <f t="shared" si="1"/>
        <v>9</v>
      </c>
      <c r="O41" s="55">
        <v>5.0</v>
      </c>
      <c r="P41" s="55">
        <v>0.0</v>
      </c>
      <c r="Q41" s="43">
        <f t="shared" si="2"/>
        <v>14</v>
      </c>
      <c r="R41" s="43"/>
      <c r="S41" s="43"/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37" t="s">
        <v>1076</v>
      </c>
      <c r="C42" s="37" t="s">
        <v>1077</v>
      </c>
      <c r="D42" s="37" t="s">
        <v>1078</v>
      </c>
      <c r="E42" s="133" t="s">
        <v>338</v>
      </c>
      <c r="F42" s="134">
        <v>36.0</v>
      </c>
      <c r="G42" s="134" t="s">
        <v>476</v>
      </c>
      <c r="H42" s="134" t="s">
        <v>970</v>
      </c>
      <c r="I42" s="134">
        <v>9.454010322E9</v>
      </c>
      <c r="J42" s="87">
        <v>28.0</v>
      </c>
      <c r="K42" s="55">
        <v>24.0</v>
      </c>
      <c r="L42" s="55">
        <v>0.0</v>
      </c>
      <c r="M42" s="55">
        <v>1.0</v>
      </c>
      <c r="N42" s="43">
        <f t="shared" si="1"/>
        <v>1</v>
      </c>
      <c r="O42" s="55">
        <v>2.0</v>
      </c>
      <c r="P42" s="55">
        <v>3.0</v>
      </c>
      <c r="Q42" s="43">
        <f t="shared" si="2"/>
        <v>6</v>
      </c>
      <c r="R42" s="43"/>
      <c r="S42" s="43"/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37" t="s">
        <v>1079</v>
      </c>
      <c r="C43" s="37" t="s">
        <v>1080</v>
      </c>
      <c r="D43" s="37" t="s">
        <v>1081</v>
      </c>
      <c r="E43" s="133" t="s">
        <v>338</v>
      </c>
      <c r="F43" s="134">
        <v>32.0</v>
      </c>
      <c r="G43" s="134" t="s">
        <v>476</v>
      </c>
      <c r="H43" s="134" t="s">
        <v>970</v>
      </c>
      <c r="I43" s="134">
        <v>9.559581075E9</v>
      </c>
      <c r="J43" s="87">
        <v>28.0</v>
      </c>
      <c r="K43" s="55">
        <v>25.0</v>
      </c>
      <c r="L43" s="55">
        <v>0.0</v>
      </c>
      <c r="M43" s="55">
        <v>0.0</v>
      </c>
      <c r="N43" s="43">
        <f t="shared" si="1"/>
        <v>0</v>
      </c>
      <c r="O43" s="55">
        <v>0.0</v>
      </c>
      <c r="P43" s="55">
        <v>3.0</v>
      </c>
      <c r="Q43" s="43">
        <f t="shared" si="2"/>
        <v>3</v>
      </c>
      <c r="R43" s="43"/>
      <c r="S43" s="55" t="s">
        <v>277</v>
      </c>
      <c r="T43" s="43"/>
      <c r="U43" s="43"/>
      <c r="V43" s="43"/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37" t="s">
        <v>1082</v>
      </c>
      <c r="C44" s="37" t="s">
        <v>1083</v>
      </c>
      <c r="D44" s="37" t="s">
        <v>1084</v>
      </c>
      <c r="E44" s="133" t="s">
        <v>338</v>
      </c>
      <c r="F44" s="134">
        <v>55.0</v>
      </c>
      <c r="G44" s="134" t="s">
        <v>476</v>
      </c>
      <c r="H44" s="134" t="s">
        <v>1085</v>
      </c>
      <c r="I44" s="134">
        <v>9.938544187E9</v>
      </c>
      <c r="J44" s="87">
        <v>22.0</v>
      </c>
      <c r="K44" s="55">
        <v>13.0</v>
      </c>
      <c r="L44" s="55">
        <v>0.0</v>
      </c>
      <c r="M44" s="55">
        <v>2.0</v>
      </c>
      <c r="N44" s="43">
        <f t="shared" si="1"/>
        <v>2</v>
      </c>
      <c r="O44" s="55">
        <v>10.0</v>
      </c>
      <c r="P44" s="55">
        <v>7.0</v>
      </c>
      <c r="Q44" s="43">
        <f t="shared" si="2"/>
        <v>19</v>
      </c>
      <c r="R44" s="43"/>
      <c r="S44" s="55" t="s">
        <v>190</v>
      </c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37" t="s">
        <v>886</v>
      </c>
      <c r="C45" s="37" t="s">
        <v>1086</v>
      </c>
      <c r="D45" s="37" t="s">
        <v>1087</v>
      </c>
      <c r="E45" s="133" t="s">
        <v>338</v>
      </c>
      <c r="F45" s="134">
        <v>45.0</v>
      </c>
      <c r="G45" s="134" t="s">
        <v>476</v>
      </c>
      <c r="H45" s="134" t="s">
        <v>998</v>
      </c>
      <c r="I45" s="134">
        <v>9.182883573E9</v>
      </c>
      <c r="J45" s="87">
        <v>22.0</v>
      </c>
      <c r="K45" s="55">
        <v>18.0</v>
      </c>
      <c r="L45" s="55">
        <v>0.0</v>
      </c>
      <c r="M45" s="55">
        <v>4.0</v>
      </c>
      <c r="N45" s="43">
        <f t="shared" si="1"/>
        <v>4</v>
      </c>
      <c r="O45" s="55">
        <v>6.0</v>
      </c>
      <c r="P45" s="55">
        <v>0.0</v>
      </c>
      <c r="Q45" s="43">
        <f t="shared" si="2"/>
        <v>10</v>
      </c>
      <c r="R45" s="43"/>
      <c r="S45" s="43"/>
      <c r="T45" s="43"/>
      <c r="U45" s="43"/>
      <c r="V45" s="43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37" t="s">
        <v>1088</v>
      </c>
      <c r="C46" s="37" t="s">
        <v>1089</v>
      </c>
      <c r="D46" s="37" t="s">
        <v>1090</v>
      </c>
      <c r="E46" s="133" t="s">
        <v>338</v>
      </c>
      <c r="F46" s="134">
        <v>30.0</v>
      </c>
      <c r="G46" s="134" t="s">
        <v>476</v>
      </c>
      <c r="H46" s="134" t="s">
        <v>998</v>
      </c>
      <c r="I46" s="134">
        <v>9.369086146E9</v>
      </c>
      <c r="J46" s="83"/>
      <c r="K46" s="43"/>
      <c r="L46" s="43"/>
      <c r="M46" s="43"/>
      <c r="N46" s="43">
        <f t="shared" si="1"/>
        <v>0</v>
      </c>
      <c r="O46" s="43"/>
      <c r="P46" s="43"/>
      <c r="Q46" s="43">
        <f t="shared" si="2"/>
        <v>0</v>
      </c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37" t="s">
        <v>1091</v>
      </c>
      <c r="C47" s="37" t="s">
        <v>1092</v>
      </c>
      <c r="D47" s="37" t="s">
        <v>1093</v>
      </c>
      <c r="E47" s="133" t="s">
        <v>338</v>
      </c>
      <c r="F47" s="134">
        <v>26.0</v>
      </c>
      <c r="G47" s="134" t="s">
        <v>476</v>
      </c>
      <c r="H47" s="134" t="s">
        <v>974</v>
      </c>
      <c r="I47" s="134">
        <v>9.519788757E9</v>
      </c>
      <c r="J47" s="87">
        <v>28.0</v>
      </c>
      <c r="K47" s="55">
        <v>19.0</v>
      </c>
      <c r="L47" s="55">
        <v>0.0</v>
      </c>
      <c r="M47" s="55">
        <v>9.0</v>
      </c>
      <c r="N47" s="43">
        <f t="shared" si="1"/>
        <v>9</v>
      </c>
      <c r="O47" s="55">
        <v>4.0</v>
      </c>
      <c r="P47" s="55">
        <v>0.0</v>
      </c>
      <c r="Q47" s="43">
        <f t="shared" si="2"/>
        <v>13</v>
      </c>
      <c r="R47" s="43"/>
      <c r="S47" s="43"/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37" t="s">
        <v>1094</v>
      </c>
      <c r="C48" s="37" t="s">
        <v>1095</v>
      </c>
      <c r="D48" s="37" t="s">
        <v>1076</v>
      </c>
      <c r="E48" s="133" t="s">
        <v>338</v>
      </c>
      <c r="F48" s="134">
        <v>47.0</v>
      </c>
      <c r="G48" s="134" t="s">
        <v>476</v>
      </c>
      <c r="H48" s="134" t="s">
        <v>974</v>
      </c>
      <c r="I48" s="134">
        <v>9.122955753E9</v>
      </c>
      <c r="J48" s="87">
        <v>27.0</v>
      </c>
      <c r="K48" s="55">
        <v>20.0</v>
      </c>
      <c r="L48" s="55">
        <v>0.0</v>
      </c>
      <c r="M48" s="55">
        <v>2.0</v>
      </c>
      <c r="N48" s="43">
        <f t="shared" si="1"/>
        <v>2</v>
      </c>
      <c r="O48" s="55">
        <v>4.0</v>
      </c>
      <c r="P48" s="55">
        <v>5.0</v>
      </c>
      <c r="Q48" s="43">
        <f t="shared" si="2"/>
        <v>11</v>
      </c>
      <c r="R48" s="43"/>
      <c r="S48" s="43"/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37" t="s">
        <v>1096</v>
      </c>
      <c r="C49" s="37" t="s">
        <v>1097</v>
      </c>
      <c r="D49" s="37" t="s">
        <v>436</v>
      </c>
      <c r="E49" s="133" t="s">
        <v>338</v>
      </c>
      <c r="F49" s="134">
        <v>36.0</v>
      </c>
      <c r="G49" s="134" t="s">
        <v>584</v>
      </c>
      <c r="H49" s="134" t="s">
        <v>970</v>
      </c>
      <c r="I49" s="134">
        <v>9.325253445E9</v>
      </c>
      <c r="J49" s="87">
        <v>29.0</v>
      </c>
      <c r="K49" s="55">
        <v>27.0</v>
      </c>
      <c r="L49" s="55">
        <v>0.0</v>
      </c>
      <c r="M49" s="55">
        <v>1.0</v>
      </c>
      <c r="N49" s="43">
        <f t="shared" si="1"/>
        <v>1</v>
      </c>
      <c r="O49" s="55">
        <v>3.0</v>
      </c>
      <c r="P49" s="55">
        <v>1.0</v>
      </c>
      <c r="Q49" s="43">
        <f t="shared" si="2"/>
        <v>5</v>
      </c>
      <c r="R49" s="43"/>
      <c r="S49" s="43"/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37" t="s">
        <v>1098</v>
      </c>
      <c r="C50" s="37" t="s">
        <v>1099</v>
      </c>
      <c r="D50" s="37" t="s">
        <v>1100</v>
      </c>
      <c r="E50" s="133" t="s">
        <v>338</v>
      </c>
      <c r="F50" s="134">
        <v>50.0</v>
      </c>
      <c r="G50" s="134" t="s">
        <v>584</v>
      </c>
      <c r="H50" s="134" t="s">
        <v>974</v>
      </c>
      <c r="I50" s="134">
        <v>9.484343491E9</v>
      </c>
      <c r="J50" s="87">
        <v>23.0</v>
      </c>
      <c r="K50" s="55">
        <v>19.0</v>
      </c>
      <c r="L50" s="55">
        <v>0.0</v>
      </c>
      <c r="M50" s="55">
        <v>0.0</v>
      </c>
      <c r="N50" s="43">
        <f t="shared" si="1"/>
        <v>0</v>
      </c>
      <c r="O50" s="55">
        <v>9.0</v>
      </c>
      <c r="P50" s="55">
        <v>2.0</v>
      </c>
      <c r="Q50" s="43">
        <f t="shared" si="2"/>
        <v>11</v>
      </c>
      <c r="R50" s="43"/>
      <c r="S50" s="55" t="s">
        <v>237</v>
      </c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7" t="s">
        <v>1101</v>
      </c>
      <c r="C51" s="37" t="s">
        <v>1102</v>
      </c>
      <c r="D51" s="37" t="s">
        <v>852</v>
      </c>
      <c r="E51" s="133" t="s">
        <v>338</v>
      </c>
      <c r="F51" s="134">
        <v>57.0</v>
      </c>
      <c r="G51" s="134" t="s">
        <v>476</v>
      </c>
      <c r="H51" s="134" t="s">
        <v>1103</v>
      </c>
      <c r="I51" s="134">
        <v>9.151772112E9</v>
      </c>
      <c r="J51" s="87">
        <v>18.0</v>
      </c>
      <c r="K51" s="55">
        <v>15.0</v>
      </c>
      <c r="L51" s="55">
        <v>0.0</v>
      </c>
      <c r="M51" s="55">
        <v>0.0</v>
      </c>
      <c r="N51" s="43">
        <f t="shared" si="1"/>
        <v>0</v>
      </c>
      <c r="O51" s="55">
        <v>14.0</v>
      </c>
      <c r="P51" s="55">
        <v>3.0</v>
      </c>
      <c r="Q51" s="43">
        <f t="shared" si="2"/>
        <v>17</v>
      </c>
      <c r="R51" s="43"/>
      <c r="S51" s="55" t="s">
        <v>88</v>
      </c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37" t="s">
        <v>1104</v>
      </c>
      <c r="C52" s="37" t="s">
        <v>1105</v>
      </c>
      <c r="D52" s="37" t="s">
        <v>1106</v>
      </c>
      <c r="E52" s="133" t="s">
        <v>338</v>
      </c>
      <c r="F52" s="134">
        <v>34.0</v>
      </c>
      <c r="G52" s="134" t="s">
        <v>584</v>
      </c>
      <c r="H52" s="134" t="s">
        <v>970</v>
      </c>
      <c r="I52" s="134">
        <v>9.952035918E9</v>
      </c>
      <c r="J52" s="83"/>
      <c r="K52" s="43"/>
      <c r="L52" s="43"/>
      <c r="M52" s="43"/>
      <c r="N52" s="43">
        <f t="shared" si="1"/>
        <v>0</v>
      </c>
      <c r="O52" s="43"/>
      <c r="P52" s="43"/>
      <c r="Q52" s="43">
        <f t="shared" si="2"/>
        <v>0</v>
      </c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37" t="s">
        <v>1107</v>
      </c>
      <c r="C53" s="37" t="s">
        <v>1108</v>
      </c>
      <c r="D53" s="37" t="s">
        <v>1109</v>
      </c>
      <c r="E53" s="133" t="s">
        <v>338</v>
      </c>
      <c r="F53" s="134">
        <v>31.0</v>
      </c>
      <c r="G53" s="134" t="s">
        <v>476</v>
      </c>
      <c r="H53" s="134" t="s">
        <v>998</v>
      </c>
      <c r="I53" s="180">
        <v>9.063651781E9</v>
      </c>
      <c r="J53" s="87">
        <v>29.0</v>
      </c>
      <c r="K53" s="55">
        <v>27.0</v>
      </c>
      <c r="L53" s="55">
        <v>0.0</v>
      </c>
      <c r="M53" s="55">
        <v>2.0</v>
      </c>
      <c r="N53" s="43">
        <f t="shared" si="1"/>
        <v>2</v>
      </c>
      <c r="O53" s="55">
        <v>3.0</v>
      </c>
      <c r="P53" s="55">
        <v>0.0</v>
      </c>
      <c r="Q53" s="43">
        <f t="shared" si="2"/>
        <v>5</v>
      </c>
      <c r="R53" s="43"/>
      <c r="S53" s="43"/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37" t="s">
        <v>325</v>
      </c>
      <c r="C54" s="37" t="s">
        <v>1110</v>
      </c>
      <c r="D54" s="37" t="s">
        <v>475</v>
      </c>
      <c r="E54" s="133" t="s">
        <v>338</v>
      </c>
      <c r="F54" s="134">
        <v>32.0</v>
      </c>
      <c r="G54" s="134" t="s">
        <v>476</v>
      </c>
      <c r="H54" s="134" t="s">
        <v>974</v>
      </c>
      <c r="I54" s="134">
        <v>9.150552916E9</v>
      </c>
      <c r="J54" s="87">
        <v>26.0</v>
      </c>
      <c r="K54" s="55">
        <v>23.0</v>
      </c>
      <c r="L54" s="55">
        <v>0.0</v>
      </c>
      <c r="M54" s="55">
        <v>0.0</v>
      </c>
      <c r="N54" s="43">
        <f t="shared" si="1"/>
        <v>0</v>
      </c>
      <c r="O54" s="55">
        <v>6.0</v>
      </c>
      <c r="P54" s="55">
        <v>0.0</v>
      </c>
      <c r="Q54" s="43">
        <f t="shared" si="2"/>
        <v>6</v>
      </c>
      <c r="R54" s="43"/>
      <c r="S54" s="43"/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37" t="s">
        <v>1111</v>
      </c>
      <c r="C55" s="37" t="s">
        <v>1112</v>
      </c>
      <c r="D55" s="37" t="s">
        <v>1113</v>
      </c>
      <c r="E55" s="133" t="s">
        <v>338</v>
      </c>
      <c r="F55" s="134">
        <v>38.0</v>
      </c>
      <c r="G55" s="134" t="s">
        <v>476</v>
      </c>
      <c r="H55" s="134" t="s">
        <v>974</v>
      </c>
      <c r="I55" s="134">
        <v>9.258479151E9</v>
      </c>
      <c r="J55" s="87">
        <v>30.0</v>
      </c>
      <c r="K55" s="55">
        <v>23.0</v>
      </c>
      <c r="L55" s="55">
        <v>1.0</v>
      </c>
      <c r="M55" s="55">
        <v>3.0</v>
      </c>
      <c r="N55" s="43">
        <f t="shared" si="1"/>
        <v>4</v>
      </c>
      <c r="O55" s="55">
        <v>2.0</v>
      </c>
      <c r="P55" s="55">
        <v>3.0</v>
      </c>
      <c r="Q55" s="43">
        <f t="shared" si="2"/>
        <v>9</v>
      </c>
      <c r="R55" s="43"/>
      <c r="S55" s="43"/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37" t="s">
        <v>473</v>
      </c>
      <c r="C56" s="37" t="s">
        <v>1114</v>
      </c>
      <c r="D56" s="37" t="s">
        <v>1115</v>
      </c>
      <c r="E56" s="133" t="s">
        <v>338</v>
      </c>
      <c r="F56" s="134">
        <v>50.0</v>
      </c>
      <c r="G56" s="134" t="s">
        <v>476</v>
      </c>
      <c r="H56" s="134" t="s">
        <v>974</v>
      </c>
      <c r="I56" s="134">
        <v>9.605314224E9</v>
      </c>
      <c r="J56" s="87">
        <v>31.0</v>
      </c>
      <c r="K56" s="55">
        <v>25.0</v>
      </c>
      <c r="L56" s="55">
        <v>1.0</v>
      </c>
      <c r="M56" s="55">
        <v>5.0</v>
      </c>
      <c r="N56" s="43">
        <f t="shared" si="1"/>
        <v>6</v>
      </c>
      <c r="O56" s="55">
        <v>1.0</v>
      </c>
      <c r="P56" s="55">
        <v>0.0</v>
      </c>
      <c r="Q56" s="43">
        <f t="shared" si="2"/>
        <v>7</v>
      </c>
      <c r="R56" s="43"/>
      <c r="S56" s="43"/>
      <c r="T56" s="43"/>
      <c r="U56" s="43"/>
      <c r="V56" s="43"/>
      <c r="W56" s="56" t="s">
        <v>46</v>
      </c>
      <c r="Z56" s="61"/>
      <c r="AA56" s="61"/>
      <c r="AB56" s="66"/>
      <c r="AC56" s="34"/>
      <c r="AD56" s="34"/>
    </row>
    <row r="57" ht="13.5" customHeight="1">
      <c r="A57" s="28">
        <v>51.0</v>
      </c>
      <c r="B57" s="37" t="s">
        <v>932</v>
      </c>
      <c r="C57" s="37" t="s">
        <v>1116</v>
      </c>
      <c r="D57" s="37" t="s">
        <v>1117</v>
      </c>
      <c r="E57" s="133" t="s">
        <v>338</v>
      </c>
      <c r="F57" s="134">
        <v>36.0</v>
      </c>
      <c r="G57" s="134" t="s">
        <v>476</v>
      </c>
      <c r="H57" s="134" t="s">
        <v>1118</v>
      </c>
      <c r="I57" s="134">
        <v>9.929072616E9</v>
      </c>
      <c r="J57" s="87">
        <v>29.0</v>
      </c>
      <c r="K57" s="55">
        <v>20.0</v>
      </c>
      <c r="L57" s="55">
        <v>0.0</v>
      </c>
      <c r="M57" s="55">
        <v>9.0</v>
      </c>
      <c r="N57" s="43">
        <f t="shared" si="1"/>
        <v>9</v>
      </c>
      <c r="O57" s="55">
        <v>3.0</v>
      </c>
      <c r="P57" s="55">
        <v>0.0</v>
      </c>
      <c r="Q57" s="43">
        <f t="shared" si="2"/>
        <v>12</v>
      </c>
      <c r="R57" s="43"/>
      <c r="S57" s="43"/>
      <c r="T57" s="43"/>
      <c r="U57" s="43"/>
      <c r="V57" s="43"/>
      <c r="W57" s="56" t="s">
        <v>46</v>
      </c>
      <c r="Z57" s="61"/>
      <c r="AA57" s="61"/>
      <c r="AB57" s="66"/>
      <c r="AC57" s="34"/>
      <c r="AD57" s="34"/>
    </row>
    <row r="58" ht="13.5" customHeight="1">
      <c r="A58" s="28">
        <v>52.0</v>
      </c>
      <c r="B58" s="37" t="s">
        <v>932</v>
      </c>
      <c r="C58" s="37" t="s">
        <v>1119</v>
      </c>
      <c r="D58" s="37" t="s">
        <v>1120</v>
      </c>
      <c r="E58" s="133" t="s">
        <v>338</v>
      </c>
      <c r="F58" s="134">
        <v>31.0</v>
      </c>
      <c r="G58" s="134" t="s">
        <v>584</v>
      </c>
      <c r="H58" s="134" t="s">
        <v>974</v>
      </c>
      <c r="I58" s="134">
        <v>9.605314219E9</v>
      </c>
      <c r="J58" s="83"/>
      <c r="K58" s="43"/>
      <c r="L58" s="43"/>
      <c r="M58" s="43"/>
      <c r="N58" s="43">
        <f t="shared" si="1"/>
        <v>0</v>
      </c>
      <c r="O58" s="43"/>
      <c r="P58" s="43"/>
      <c r="Q58" s="43">
        <f t="shared" si="2"/>
        <v>0</v>
      </c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37" t="s">
        <v>1121</v>
      </c>
      <c r="C59" s="37" t="s">
        <v>1122</v>
      </c>
      <c r="D59" s="37" t="s">
        <v>1123</v>
      </c>
      <c r="E59" s="133" t="s">
        <v>338</v>
      </c>
      <c r="F59" s="134">
        <v>35.0</v>
      </c>
      <c r="G59" s="134" t="s">
        <v>476</v>
      </c>
      <c r="H59" s="134" t="s">
        <v>974</v>
      </c>
      <c r="I59" s="134" t="s">
        <v>1124</v>
      </c>
      <c r="J59" s="87">
        <v>31.0</v>
      </c>
      <c r="K59" s="55">
        <v>26.0</v>
      </c>
      <c r="L59" s="55">
        <v>0.0</v>
      </c>
      <c r="M59" s="55">
        <v>0.0</v>
      </c>
      <c r="N59" s="43">
        <f t="shared" si="1"/>
        <v>0</v>
      </c>
      <c r="O59" s="55">
        <v>0.0</v>
      </c>
      <c r="P59" s="55">
        <v>5.0</v>
      </c>
      <c r="Q59" s="43">
        <f t="shared" si="2"/>
        <v>5</v>
      </c>
      <c r="R59" s="43"/>
      <c r="S59" s="43"/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37" t="s">
        <v>1125</v>
      </c>
      <c r="C60" s="37" t="s">
        <v>1126</v>
      </c>
      <c r="D60" s="37" t="s">
        <v>44</v>
      </c>
      <c r="E60" s="133" t="s">
        <v>338</v>
      </c>
      <c r="F60" s="134">
        <v>44.0</v>
      </c>
      <c r="G60" s="134" t="s">
        <v>584</v>
      </c>
      <c r="H60" s="134" t="s">
        <v>974</v>
      </c>
      <c r="I60" s="134">
        <v>9.605314203E9</v>
      </c>
      <c r="J60" s="87">
        <v>27.0</v>
      </c>
      <c r="K60" s="55">
        <v>18.0</v>
      </c>
      <c r="L60" s="55">
        <v>0.0</v>
      </c>
      <c r="M60" s="55">
        <v>1.0</v>
      </c>
      <c r="N60" s="43">
        <f t="shared" si="1"/>
        <v>1</v>
      </c>
      <c r="O60" s="55">
        <v>5.0</v>
      </c>
      <c r="P60" s="55">
        <v>8.0</v>
      </c>
      <c r="Q60" s="43">
        <f t="shared" si="2"/>
        <v>14</v>
      </c>
      <c r="R60" s="43"/>
      <c r="S60" s="43"/>
      <c r="T60" s="43"/>
      <c r="U60" s="43"/>
      <c r="V60" s="43"/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37" t="s">
        <v>1127</v>
      </c>
      <c r="C61" s="37" t="s">
        <v>1128</v>
      </c>
      <c r="D61" s="37" t="s">
        <v>1129</v>
      </c>
      <c r="E61" s="133" t="s">
        <v>338</v>
      </c>
      <c r="F61" s="134">
        <v>30.0</v>
      </c>
      <c r="G61" s="134" t="s">
        <v>476</v>
      </c>
      <c r="H61" s="134" t="s">
        <v>998</v>
      </c>
      <c r="I61" s="134">
        <v>9.569227182E9</v>
      </c>
      <c r="J61" s="87">
        <v>19.0</v>
      </c>
      <c r="K61" s="55">
        <v>15.0</v>
      </c>
      <c r="L61" s="55">
        <v>0.0</v>
      </c>
      <c r="M61" s="55">
        <v>0.0</v>
      </c>
      <c r="N61" s="43">
        <f t="shared" si="1"/>
        <v>0</v>
      </c>
      <c r="O61" s="55">
        <v>13.0</v>
      </c>
      <c r="P61" s="55">
        <v>4.0</v>
      </c>
      <c r="Q61" s="43">
        <f t="shared" si="2"/>
        <v>17</v>
      </c>
      <c r="R61" s="43"/>
      <c r="S61" s="55" t="s">
        <v>237</v>
      </c>
      <c r="T61" s="43"/>
      <c r="U61" s="43"/>
      <c r="V61" s="43"/>
      <c r="W61" s="56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37" t="s">
        <v>472</v>
      </c>
      <c r="C62" s="37" t="s">
        <v>1130</v>
      </c>
      <c r="D62" s="37" t="s">
        <v>1131</v>
      </c>
      <c r="E62" s="133" t="s">
        <v>338</v>
      </c>
      <c r="F62" s="134">
        <v>58.0</v>
      </c>
      <c r="G62" s="134" t="s">
        <v>476</v>
      </c>
      <c r="H62" s="134" t="s">
        <v>970</v>
      </c>
      <c r="I62" s="134">
        <v>9.471029243E9</v>
      </c>
      <c r="J62" s="87">
        <v>0.0</v>
      </c>
      <c r="K62" s="55">
        <v>0.0</v>
      </c>
      <c r="L62" s="55">
        <v>0.0</v>
      </c>
      <c r="M62" s="55">
        <v>0.0</v>
      </c>
      <c r="N62" s="43">
        <f t="shared" si="1"/>
        <v>0</v>
      </c>
      <c r="O62" s="55">
        <v>32.0</v>
      </c>
      <c r="P62" s="55">
        <v>0.0</v>
      </c>
      <c r="Q62" s="43">
        <f t="shared" si="2"/>
        <v>32</v>
      </c>
      <c r="R62" s="43"/>
      <c r="S62" s="43"/>
      <c r="T62" s="43"/>
      <c r="U62" s="43"/>
      <c r="V62" s="43"/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37" t="s">
        <v>1132</v>
      </c>
      <c r="C63" s="37" t="s">
        <v>1133</v>
      </c>
      <c r="D63" s="37" t="s">
        <v>1134</v>
      </c>
      <c r="E63" s="133" t="s">
        <v>338</v>
      </c>
      <c r="F63" s="134">
        <v>43.0</v>
      </c>
      <c r="G63" s="134" t="s">
        <v>476</v>
      </c>
      <c r="H63" s="134" t="s">
        <v>998</v>
      </c>
      <c r="I63" s="134">
        <v>9.063960857E9</v>
      </c>
      <c r="J63" s="87">
        <v>24.0</v>
      </c>
      <c r="K63" s="55">
        <v>11.0</v>
      </c>
      <c r="L63" s="55">
        <v>0.0</v>
      </c>
      <c r="M63" s="55">
        <v>8.0</v>
      </c>
      <c r="N63" s="43">
        <f t="shared" si="1"/>
        <v>8</v>
      </c>
      <c r="O63" s="55">
        <v>6.0</v>
      </c>
      <c r="P63" s="55">
        <v>5.0</v>
      </c>
      <c r="Q63" s="43">
        <f t="shared" si="2"/>
        <v>19</v>
      </c>
      <c r="R63" s="43"/>
      <c r="S63" s="43"/>
      <c r="T63" s="43"/>
      <c r="U63" s="43"/>
      <c r="V63" s="43"/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37" t="s">
        <v>1135</v>
      </c>
      <c r="C64" s="37" t="s">
        <v>1136</v>
      </c>
      <c r="D64" s="37" t="s">
        <v>1131</v>
      </c>
      <c r="E64" s="133" t="s">
        <v>338</v>
      </c>
      <c r="F64" s="134">
        <v>60.0</v>
      </c>
      <c r="G64" s="134" t="s">
        <v>476</v>
      </c>
      <c r="H64" s="134" t="s">
        <v>970</v>
      </c>
      <c r="I64" s="134">
        <v>9.684997674E9</v>
      </c>
      <c r="J64" s="87">
        <v>0.0</v>
      </c>
      <c r="K64" s="55">
        <v>0.0</v>
      </c>
      <c r="L64" s="55">
        <v>0.0</v>
      </c>
      <c r="M64" s="55">
        <v>0.0</v>
      </c>
      <c r="N64" s="43">
        <f t="shared" si="1"/>
        <v>0</v>
      </c>
      <c r="O64" s="55">
        <v>32.0</v>
      </c>
      <c r="P64" s="55">
        <v>0.0</v>
      </c>
      <c r="Q64" s="43">
        <f t="shared" si="2"/>
        <v>32</v>
      </c>
      <c r="R64" s="43"/>
      <c r="S64" s="55" t="s">
        <v>74</v>
      </c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37" t="s">
        <v>1137</v>
      </c>
      <c r="C65" s="37" t="s">
        <v>984</v>
      </c>
      <c r="D65" s="37" t="s">
        <v>1138</v>
      </c>
      <c r="E65" s="133" t="s">
        <v>338</v>
      </c>
      <c r="F65" s="134">
        <v>39.0</v>
      </c>
      <c r="G65" s="134" t="s">
        <v>476</v>
      </c>
      <c r="H65" s="134" t="s">
        <v>998</v>
      </c>
      <c r="I65" s="134">
        <v>9.925295875E9</v>
      </c>
      <c r="J65" s="87">
        <v>27.0</v>
      </c>
      <c r="K65" s="55">
        <v>22.0</v>
      </c>
      <c r="L65" s="55">
        <v>0.0</v>
      </c>
      <c r="M65" s="55">
        <v>1.0</v>
      </c>
      <c r="N65" s="43">
        <f t="shared" si="1"/>
        <v>1</v>
      </c>
      <c r="O65" s="55">
        <v>4.0</v>
      </c>
      <c r="P65" s="55">
        <v>4.0</v>
      </c>
      <c r="Q65" s="43">
        <f t="shared" si="2"/>
        <v>9</v>
      </c>
      <c r="R65" s="43"/>
      <c r="S65" s="43"/>
      <c r="T65" s="43"/>
      <c r="U65" s="43"/>
      <c r="V65" s="43"/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37" t="s">
        <v>1139</v>
      </c>
      <c r="C66" s="37" t="s">
        <v>1140</v>
      </c>
      <c r="D66" s="37" t="s">
        <v>1141</v>
      </c>
      <c r="E66" s="133" t="s">
        <v>338</v>
      </c>
      <c r="F66" s="134">
        <v>38.0</v>
      </c>
      <c r="G66" s="134" t="s">
        <v>584</v>
      </c>
      <c r="H66" s="134" t="s">
        <v>998</v>
      </c>
      <c r="I66" s="134">
        <v>9.29509709E9</v>
      </c>
      <c r="J66" s="87">
        <v>27.0</v>
      </c>
      <c r="K66" s="55">
        <v>18.0</v>
      </c>
      <c r="L66" s="55">
        <v>0.0</v>
      </c>
      <c r="M66" s="55">
        <v>5.0</v>
      </c>
      <c r="N66" s="43">
        <f t="shared" si="1"/>
        <v>5</v>
      </c>
      <c r="O66" s="55">
        <v>5.0</v>
      </c>
      <c r="P66" s="55">
        <v>4.0</v>
      </c>
      <c r="Q66" s="43">
        <f t="shared" si="2"/>
        <v>14</v>
      </c>
      <c r="R66" s="43"/>
      <c r="S66" s="43"/>
      <c r="T66" s="43"/>
      <c r="U66" s="43"/>
      <c r="V66" s="43"/>
      <c r="W66" s="56" t="s">
        <v>46</v>
      </c>
      <c r="Z66" s="61"/>
      <c r="AA66" s="61"/>
      <c r="AB66" s="66"/>
      <c r="AC66" s="34"/>
      <c r="AD66" s="34"/>
    </row>
    <row r="67" ht="13.5" customHeight="1">
      <c r="A67" s="28">
        <v>61.0</v>
      </c>
      <c r="B67" s="37" t="s">
        <v>1139</v>
      </c>
      <c r="C67" s="37" t="s">
        <v>1142</v>
      </c>
      <c r="D67" s="37" t="s">
        <v>350</v>
      </c>
      <c r="E67" s="133" t="s">
        <v>338</v>
      </c>
      <c r="F67" s="134">
        <v>39.0</v>
      </c>
      <c r="G67" s="134" t="s">
        <v>476</v>
      </c>
      <c r="H67" s="134" t="s">
        <v>998</v>
      </c>
      <c r="I67" s="134">
        <v>9.056391617E9</v>
      </c>
      <c r="J67" s="87">
        <v>27.0</v>
      </c>
      <c r="K67" s="55">
        <v>17.0</v>
      </c>
      <c r="L67" s="55">
        <v>0.0</v>
      </c>
      <c r="M67" s="55">
        <v>2.0</v>
      </c>
      <c r="N67" s="43">
        <f t="shared" si="1"/>
        <v>2</v>
      </c>
      <c r="O67" s="55">
        <v>1.0</v>
      </c>
      <c r="P67" s="55">
        <v>8.0</v>
      </c>
      <c r="Q67" s="43">
        <f t="shared" si="2"/>
        <v>11</v>
      </c>
      <c r="R67" s="43"/>
      <c r="S67" s="43"/>
      <c r="T67" s="43"/>
      <c r="U67" s="43"/>
      <c r="V67" s="55" t="s">
        <v>1143</v>
      </c>
      <c r="W67" s="56" t="s">
        <v>46</v>
      </c>
      <c r="Z67" s="61"/>
      <c r="AA67" s="61"/>
      <c r="AB67" s="66"/>
      <c r="AC67" s="34"/>
      <c r="AD67" s="34"/>
    </row>
    <row r="68" ht="13.5" customHeight="1">
      <c r="A68" s="28">
        <v>62.0</v>
      </c>
      <c r="B68" s="37" t="s">
        <v>1144</v>
      </c>
      <c r="C68" s="37" t="s">
        <v>1145</v>
      </c>
      <c r="D68" s="37" t="s">
        <v>1146</v>
      </c>
      <c r="E68" s="133" t="s">
        <v>338</v>
      </c>
      <c r="F68" s="134">
        <v>27.0</v>
      </c>
      <c r="G68" s="134" t="s">
        <v>476</v>
      </c>
      <c r="H68" s="134" t="s">
        <v>974</v>
      </c>
      <c r="I68" s="134">
        <v>9.129262613E9</v>
      </c>
      <c r="J68" s="87">
        <v>27.0</v>
      </c>
      <c r="K68" s="55">
        <v>24.0</v>
      </c>
      <c r="L68" s="55">
        <v>0.0</v>
      </c>
      <c r="M68" s="55">
        <v>0.0</v>
      </c>
      <c r="N68" s="43">
        <f t="shared" si="1"/>
        <v>0</v>
      </c>
      <c r="O68" s="55">
        <v>5.0</v>
      </c>
      <c r="P68" s="55">
        <v>3.0</v>
      </c>
      <c r="Q68" s="43">
        <f t="shared" si="2"/>
        <v>8</v>
      </c>
      <c r="R68" s="43"/>
      <c r="S68" s="43"/>
      <c r="T68" s="43"/>
      <c r="U68" s="43"/>
      <c r="V68" s="43"/>
      <c r="W68" s="56" t="s">
        <v>46</v>
      </c>
      <c r="Z68" s="61"/>
      <c r="AA68" s="61"/>
      <c r="AB68" s="66"/>
      <c r="AC68" s="34"/>
      <c r="AD68" s="34"/>
    </row>
    <row r="69" ht="13.5" customHeight="1">
      <c r="A69" s="28">
        <v>63.0</v>
      </c>
      <c r="B69" s="37" t="s">
        <v>1147</v>
      </c>
      <c r="C69" s="37" t="s">
        <v>1148</v>
      </c>
      <c r="D69" s="37" t="s">
        <v>280</v>
      </c>
      <c r="E69" s="133" t="s">
        <v>338</v>
      </c>
      <c r="F69" s="134">
        <v>30.0</v>
      </c>
      <c r="G69" s="134" t="s">
        <v>476</v>
      </c>
      <c r="H69" s="134" t="s">
        <v>970</v>
      </c>
      <c r="I69" s="134">
        <v>9.126801994E9</v>
      </c>
      <c r="J69" s="87">
        <v>27.0</v>
      </c>
      <c r="K69" s="55">
        <v>13.0</v>
      </c>
      <c r="L69" s="55">
        <v>0.0</v>
      </c>
      <c r="M69" s="55">
        <v>2.0</v>
      </c>
      <c r="N69" s="43">
        <f t="shared" si="1"/>
        <v>2</v>
      </c>
      <c r="O69" s="55">
        <v>5.0</v>
      </c>
      <c r="P69" s="55">
        <v>11.0</v>
      </c>
      <c r="Q69" s="43">
        <f t="shared" si="2"/>
        <v>18</v>
      </c>
      <c r="R69" s="43"/>
      <c r="S69" s="43"/>
      <c r="T69" s="43"/>
      <c r="U69" s="43"/>
      <c r="V69" s="43"/>
      <c r="W69" s="56" t="s">
        <v>46</v>
      </c>
      <c r="Z69" s="61"/>
      <c r="AA69" s="61"/>
      <c r="AB69" s="66"/>
      <c r="AC69" s="34"/>
      <c r="AD69" s="34"/>
    </row>
    <row r="70" ht="13.5" customHeight="1">
      <c r="A70" s="28">
        <v>64.0</v>
      </c>
      <c r="B70" s="37" t="s">
        <v>1149</v>
      </c>
      <c r="C70" s="37" t="s">
        <v>1150</v>
      </c>
      <c r="D70" s="37" t="s">
        <v>1151</v>
      </c>
      <c r="E70" s="133" t="s">
        <v>338</v>
      </c>
      <c r="F70" s="134">
        <v>36.0</v>
      </c>
      <c r="G70" s="134" t="s">
        <v>584</v>
      </c>
      <c r="H70" s="134" t="s">
        <v>974</v>
      </c>
      <c r="I70" s="134">
        <v>9.509703674E9</v>
      </c>
      <c r="J70" s="87">
        <v>20.0</v>
      </c>
      <c r="K70" s="55">
        <v>27.0</v>
      </c>
      <c r="L70" s="55">
        <v>0.0</v>
      </c>
      <c r="M70" s="55">
        <v>1.0</v>
      </c>
      <c r="N70" s="43">
        <f t="shared" si="1"/>
        <v>1</v>
      </c>
      <c r="O70" s="55">
        <v>4.0</v>
      </c>
      <c r="P70" s="55">
        <v>0.0</v>
      </c>
      <c r="Q70" s="43">
        <f t="shared" si="2"/>
        <v>5</v>
      </c>
      <c r="R70" s="43"/>
      <c r="S70" s="43"/>
      <c r="T70" s="43"/>
      <c r="U70" s="43"/>
      <c r="V70" s="43"/>
      <c r="W70" s="56" t="s">
        <v>46</v>
      </c>
      <c r="Z70" s="61"/>
      <c r="AA70" s="61"/>
      <c r="AB70" s="66"/>
      <c r="AC70" s="34"/>
      <c r="AD70" s="34"/>
    </row>
    <row r="71" ht="13.5" customHeight="1">
      <c r="A71" s="28">
        <v>65.0</v>
      </c>
      <c r="B71" s="37" t="s">
        <v>492</v>
      </c>
      <c r="C71" s="37" t="s">
        <v>1152</v>
      </c>
      <c r="D71" s="37" t="s">
        <v>981</v>
      </c>
      <c r="E71" s="133" t="s">
        <v>338</v>
      </c>
      <c r="F71" s="134">
        <v>34.0</v>
      </c>
      <c r="G71" s="134" t="s">
        <v>476</v>
      </c>
      <c r="H71" s="134" t="s">
        <v>974</v>
      </c>
      <c r="I71" s="134">
        <v>9.478298428E9</v>
      </c>
      <c r="J71" s="87">
        <v>28.0</v>
      </c>
      <c r="K71" s="55">
        <v>28.0</v>
      </c>
      <c r="L71" s="55">
        <v>0.0</v>
      </c>
      <c r="M71" s="55">
        <v>0.0</v>
      </c>
      <c r="N71" s="43">
        <f t="shared" si="1"/>
        <v>0</v>
      </c>
      <c r="O71" s="55">
        <v>4.0</v>
      </c>
      <c r="P71" s="55">
        <v>0.0</v>
      </c>
      <c r="Q71" s="43">
        <f t="shared" si="2"/>
        <v>4</v>
      </c>
      <c r="R71" s="43"/>
      <c r="S71" s="43"/>
      <c r="T71" s="43"/>
      <c r="U71" s="43"/>
      <c r="V71" s="43"/>
      <c r="W71" s="56" t="s">
        <v>46</v>
      </c>
      <c r="Z71" s="61"/>
      <c r="AA71" s="61"/>
      <c r="AB71" s="66"/>
      <c r="AC71" s="34"/>
      <c r="AD71" s="34"/>
    </row>
    <row r="72" ht="13.5" customHeight="1">
      <c r="A72" s="28">
        <v>66.0</v>
      </c>
      <c r="B72" s="37" t="s">
        <v>492</v>
      </c>
      <c r="C72" s="37" t="s">
        <v>1153</v>
      </c>
      <c r="D72" s="37" t="s">
        <v>1154</v>
      </c>
      <c r="E72" s="133" t="s">
        <v>338</v>
      </c>
      <c r="F72" s="134">
        <v>37.0</v>
      </c>
      <c r="G72" s="134" t="s">
        <v>476</v>
      </c>
      <c r="H72" s="134" t="s">
        <v>970</v>
      </c>
      <c r="I72" s="134">
        <v>9.077911016E9</v>
      </c>
      <c r="J72" s="87">
        <v>23.0</v>
      </c>
      <c r="K72" s="55">
        <v>17.0</v>
      </c>
      <c r="L72" s="55">
        <v>0.0</v>
      </c>
      <c r="M72" s="55">
        <v>2.0</v>
      </c>
      <c r="N72" s="43">
        <f t="shared" si="1"/>
        <v>2</v>
      </c>
      <c r="O72" s="55">
        <v>7.0</v>
      </c>
      <c r="P72" s="55">
        <v>4.0</v>
      </c>
      <c r="Q72" s="43">
        <f t="shared" si="2"/>
        <v>13</v>
      </c>
      <c r="R72" s="43"/>
      <c r="S72" s="55" t="s">
        <v>849</v>
      </c>
      <c r="T72" s="43"/>
      <c r="U72" s="43"/>
      <c r="V72" s="55" t="s">
        <v>1155</v>
      </c>
      <c r="W72" s="56" t="s">
        <v>46</v>
      </c>
      <c r="Z72" s="61"/>
      <c r="AA72" s="61"/>
      <c r="AB72" s="66"/>
      <c r="AC72" s="34"/>
      <c r="AD72" s="34"/>
    </row>
    <row r="73" ht="13.5" customHeight="1">
      <c r="A73" s="28">
        <v>67.0</v>
      </c>
      <c r="B73" s="181"/>
      <c r="C73" s="182"/>
      <c r="D73" s="182"/>
      <c r="E73" s="183"/>
      <c r="F73" s="184"/>
      <c r="G73" s="184"/>
      <c r="H73" s="184"/>
      <c r="I73" s="184"/>
      <c r="J73" s="83"/>
      <c r="K73" s="43"/>
      <c r="L73" s="43"/>
      <c r="M73" s="43"/>
      <c r="N73" s="43">
        <f t="shared" si="1"/>
        <v>0</v>
      </c>
      <c r="O73" s="43"/>
      <c r="P73" s="43"/>
      <c r="Q73" s="43">
        <f t="shared" si="2"/>
        <v>0</v>
      </c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81"/>
      <c r="C74" s="182"/>
      <c r="D74" s="182"/>
      <c r="E74" s="183"/>
      <c r="F74" s="184"/>
      <c r="G74" s="184"/>
      <c r="H74" s="184"/>
      <c r="I74" s="184"/>
      <c r="J74" s="83"/>
      <c r="K74" s="43"/>
      <c r="L74" s="43"/>
      <c r="M74" s="43"/>
      <c r="N74" s="43">
        <v>0.0</v>
      </c>
      <c r="O74" s="43"/>
      <c r="P74" s="43"/>
      <c r="Q74" s="43">
        <f t="shared" si="2"/>
        <v>0</v>
      </c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81"/>
      <c r="C75" s="182"/>
      <c r="D75" s="182"/>
      <c r="E75" s="183"/>
      <c r="F75" s="184"/>
      <c r="G75" s="184"/>
      <c r="H75" s="184"/>
      <c r="I75" s="184"/>
      <c r="J75" s="83"/>
      <c r="K75" s="43"/>
      <c r="L75" s="43"/>
      <c r="M75" s="43"/>
      <c r="N75" s="43">
        <f t="shared" ref="N75:N79" si="3">sum(L75,M75)</f>
        <v>0</v>
      </c>
      <c r="O75" s="43"/>
      <c r="P75" s="43"/>
      <c r="Q75" s="43">
        <f t="shared" si="2"/>
        <v>0</v>
      </c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>
        <f t="shared" si="3"/>
        <v>0</v>
      </c>
      <c r="O76" s="43"/>
      <c r="P76" s="43"/>
      <c r="Q76" s="43">
        <f t="shared" si="2"/>
        <v>0</v>
      </c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>
        <f t="shared" si="3"/>
        <v>0</v>
      </c>
      <c r="O77" s="43"/>
      <c r="P77" s="43"/>
      <c r="Q77" s="43">
        <f t="shared" si="2"/>
        <v>0</v>
      </c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>
        <f t="shared" si="3"/>
        <v>0</v>
      </c>
      <c r="O78" s="43"/>
      <c r="P78" s="43"/>
      <c r="Q78" s="43">
        <f t="shared" si="2"/>
        <v>0</v>
      </c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>
        <f t="shared" si="3"/>
        <v>0</v>
      </c>
      <c r="O79" s="43"/>
      <c r="P79" s="43"/>
      <c r="Q79" s="43">
        <f t="shared" si="2"/>
        <v>0</v>
      </c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8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4">SUM(J7:J156)</f>
        <v>1532</v>
      </c>
      <c r="K157" s="123">
        <f t="shared" si="4"/>
        <v>1172</v>
      </c>
      <c r="L157" s="123">
        <f t="shared" si="4"/>
        <v>28</v>
      </c>
      <c r="M157" s="123">
        <f t="shared" si="4"/>
        <v>127</v>
      </c>
      <c r="N157" s="123">
        <f t="shared" si="4"/>
        <v>155</v>
      </c>
      <c r="O157" s="123">
        <f t="shared" si="4"/>
        <v>362</v>
      </c>
      <c r="P157" s="123">
        <f t="shared" si="4"/>
        <v>200</v>
      </c>
      <c r="Q157" s="123">
        <f t="shared" si="4"/>
        <v>717</v>
      </c>
      <c r="R157" s="124"/>
      <c r="S157" s="124"/>
      <c r="T157" s="125"/>
      <c r="U157" s="145" t="s">
        <v>330</v>
      </c>
      <c r="V157" s="5"/>
      <c r="W157" s="126">
        <f>countif(W7:W98, "YES")</f>
        <v>61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 t="s">
        <v>331</v>
      </c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B1:J1"/>
    <mergeCell ref="V1:W1"/>
    <mergeCell ref="A2:B2"/>
    <mergeCell ref="C2:J2"/>
    <mergeCell ref="V2:W2"/>
    <mergeCell ref="C3:J3"/>
    <mergeCell ref="V3:W3"/>
    <mergeCell ref="H5:H6"/>
    <mergeCell ref="I5:I6"/>
    <mergeCell ref="A3:B3"/>
    <mergeCell ref="A4:B4"/>
    <mergeCell ref="C4:J4"/>
    <mergeCell ref="B5:D5"/>
    <mergeCell ref="E5:E6"/>
    <mergeCell ref="F5:F6"/>
    <mergeCell ref="G5:G6"/>
    <mergeCell ref="U5:U6"/>
    <mergeCell ref="V5:V6"/>
    <mergeCell ref="W5:W6"/>
    <mergeCell ref="AA6:AD6"/>
    <mergeCell ref="AA7:AC7"/>
    <mergeCell ref="AA8:AC8"/>
    <mergeCell ref="AA9:AC9"/>
    <mergeCell ref="U157:V157"/>
    <mergeCell ref="J5:J6"/>
    <mergeCell ref="K5:K6"/>
    <mergeCell ref="L5:P5"/>
    <mergeCell ref="Q5:Q6"/>
    <mergeCell ref="R5:R6"/>
    <mergeCell ref="S5:S6"/>
    <mergeCell ref="T5:T6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8.13"/>
    <col customWidth="1" min="3" max="3" width="17.13"/>
    <col customWidth="1" min="4" max="4" width="17.5"/>
    <col customWidth="1" min="5" max="5" width="16.5"/>
    <col customWidth="1" min="6" max="6" width="7.88"/>
    <col customWidth="1" min="7" max="7" width="13.63"/>
    <col customWidth="1" min="8" max="8" width="20.38"/>
    <col customWidth="1" min="9" max="9" width="8.63"/>
    <col customWidth="1" min="10" max="10" width="10.63"/>
    <col customWidth="1" min="11" max="11" width="10.13"/>
    <col customWidth="1" min="12" max="12" width="10.88"/>
    <col customWidth="1" min="13" max="13" width="12.13"/>
    <col customWidth="1" min="14" max="18" width="8.63"/>
    <col customWidth="1" min="19" max="19" width="9.75"/>
    <col customWidth="1" min="20" max="20" width="8.63"/>
    <col customWidth="1" min="21" max="21" width="10.13"/>
    <col customWidth="1" min="22" max="22" width="15.8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7" t="s">
        <v>1156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7" t="s">
        <v>1157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13"/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1158</v>
      </c>
      <c r="C7" s="37" t="s">
        <v>1159</v>
      </c>
      <c r="D7" s="37" t="s">
        <v>1160</v>
      </c>
      <c r="E7" s="133" t="s">
        <v>338</v>
      </c>
      <c r="F7" s="134">
        <v>44.0</v>
      </c>
      <c r="G7" s="134" t="s">
        <v>339</v>
      </c>
      <c r="H7" s="185" t="s">
        <v>1161</v>
      </c>
      <c r="I7" s="186">
        <v>9.19464657E9</v>
      </c>
      <c r="J7" s="54">
        <v>28.0</v>
      </c>
      <c r="K7" s="55">
        <v>23.0</v>
      </c>
      <c r="L7" s="55">
        <v>0.0</v>
      </c>
      <c r="M7" s="55">
        <v>3.0</v>
      </c>
      <c r="N7" s="43">
        <f t="shared" ref="N7:N38" si="1">SUM(L7,M7)</f>
        <v>3</v>
      </c>
      <c r="O7" s="55">
        <v>2.0</v>
      </c>
      <c r="P7" s="55">
        <v>2.0</v>
      </c>
      <c r="Q7" s="43">
        <f t="shared" ref="Q7:Q38" si="2">SUM(N7,O7,P7)</f>
        <v>7</v>
      </c>
      <c r="R7" s="43"/>
      <c r="S7" s="55" t="s">
        <v>88</v>
      </c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1162</v>
      </c>
      <c r="C8" s="37" t="s">
        <v>1163</v>
      </c>
      <c r="D8" s="37" t="s">
        <v>1164</v>
      </c>
      <c r="E8" s="133" t="s">
        <v>338</v>
      </c>
      <c r="F8" s="134">
        <v>25.0</v>
      </c>
      <c r="G8" s="134" t="s">
        <v>339</v>
      </c>
      <c r="H8" s="185" t="s">
        <v>349</v>
      </c>
      <c r="I8" s="186">
        <v>9.09861503E9</v>
      </c>
      <c r="J8" s="42"/>
      <c r="K8" s="43"/>
      <c r="L8" s="43"/>
      <c r="M8" s="43"/>
      <c r="N8" s="43">
        <f t="shared" si="1"/>
        <v>0</v>
      </c>
      <c r="O8" s="43"/>
      <c r="P8" s="43"/>
      <c r="Q8" s="43">
        <f t="shared" si="2"/>
        <v>0</v>
      </c>
      <c r="R8" s="43"/>
      <c r="S8" s="43"/>
      <c r="T8" s="43"/>
      <c r="U8" s="43"/>
      <c r="V8" s="43"/>
      <c r="W8" s="44"/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" t="s">
        <v>1165</v>
      </c>
      <c r="C9" s="37" t="s">
        <v>1166</v>
      </c>
      <c r="D9" s="37" t="s">
        <v>1167</v>
      </c>
      <c r="E9" s="133" t="s">
        <v>338</v>
      </c>
      <c r="F9" s="134">
        <v>54.0</v>
      </c>
      <c r="G9" s="134" t="s">
        <v>385</v>
      </c>
      <c r="H9" s="185" t="s">
        <v>343</v>
      </c>
      <c r="I9" s="186">
        <v>9.684993289E9</v>
      </c>
      <c r="J9" s="54">
        <v>3.0</v>
      </c>
      <c r="K9" s="55">
        <v>0.0</v>
      </c>
      <c r="L9" s="55">
        <v>1.0</v>
      </c>
      <c r="M9" s="55">
        <v>1.0</v>
      </c>
      <c r="N9" s="43">
        <f t="shared" si="1"/>
        <v>2</v>
      </c>
      <c r="O9" s="55">
        <v>29.0</v>
      </c>
      <c r="P9" s="55">
        <v>0.0</v>
      </c>
      <c r="Q9" s="43">
        <f t="shared" si="2"/>
        <v>31</v>
      </c>
      <c r="R9" s="43"/>
      <c r="S9" s="55" t="s">
        <v>1016</v>
      </c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" t="s">
        <v>1168</v>
      </c>
      <c r="C10" s="37" t="s">
        <v>1133</v>
      </c>
      <c r="D10" s="37" t="s">
        <v>1169</v>
      </c>
      <c r="E10" s="133" t="s">
        <v>338</v>
      </c>
      <c r="F10" s="134">
        <v>42.0</v>
      </c>
      <c r="G10" s="134" t="s">
        <v>339</v>
      </c>
      <c r="H10" s="185" t="s">
        <v>343</v>
      </c>
      <c r="I10" s="187">
        <v>9.68499329E9</v>
      </c>
      <c r="J10" s="54">
        <v>26.0</v>
      </c>
      <c r="K10" s="55">
        <v>23.0</v>
      </c>
      <c r="L10" s="55">
        <v>0.0</v>
      </c>
      <c r="M10" s="55">
        <v>0.0</v>
      </c>
      <c r="N10" s="43">
        <f t="shared" si="1"/>
        <v>0</v>
      </c>
      <c r="O10" s="55">
        <v>2.0</v>
      </c>
      <c r="P10" s="55">
        <v>3.0</v>
      </c>
      <c r="Q10" s="43">
        <f t="shared" si="2"/>
        <v>5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" t="s">
        <v>1170</v>
      </c>
      <c r="C11" s="37" t="s">
        <v>1171</v>
      </c>
      <c r="D11" s="37" t="s">
        <v>1172</v>
      </c>
      <c r="E11" s="133" t="s">
        <v>338</v>
      </c>
      <c r="F11" s="134">
        <v>38.0</v>
      </c>
      <c r="G11" s="134" t="s">
        <v>339</v>
      </c>
      <c r="H11" s="185" t="s">
        <v>469</v>
      </c>
      <c r="I11" s="187">
        <v>9.684993291E9</v>
      </c>
      <c r="J11" s="54">
        <v>28.0</v>
      </c>
      <c r="K11" s="55">
        <v>20.0</v>
      </c>
      <c r="L11" s="55">
        <v>3.0</v>
      </c>
      <c r="M11" s="55">
        <v>3.0</v>
      </c>
      <c r="N11" s="43">
        <f t="shared" si="1"/>
        <v>6</v>
      </c>
      <c r="O11" s="55">
        <v>2.0</v>
      </c>
      <c r="P11" s="55">
        <v>0.0</v>
      </c>
      <c r="Q11" s="43">
        <f t="shared" si="2"/>
        <v>8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188">
        <v>6.0</v>
      </c>
      <c r="B12" s="189" t="s">
        <v>1173</v>
      </c>
      <c r="C12" s="189" t="s">
        <v>1174</v>
      </c>
      <c r="D12" s="189" t="s">
        <v>1175</v>
      </c>
      <c r="E12" s="189" t="s">
        <v>338</v>
      </c>
      <c r="F12" s="189">
        <v>33.0</v>
      </c>
      <c r="G12" s="189" t="s">
        <v>339</v>
      </c>
      <c r="H12" s="190" t="s">
        <v>349</v>
      </c>
      <c r="I12" s="191"/>
      <c r="J12" s="192"/>
      <c r="K12" s="193"/>
      <c r="L12" s="193"/>
      <c r="M12" s="193"/>
      <c r="N12" s="193">
        <f t="shared" si="1"/>
        <v>0</v>
      </c>
      <c r="O12" s="193"/>
      <c r="P12" s="193"/>
      <c r="Q12" s="193">
        <f t="shared" si="2"/>
        <v>0</v>
      </c>
      <c r="R12" s="193"/>
      <c r="S12" s="193"/>
      <c r="T12" s="193"/>
      <c r="U12" s="193"/>
      <c r="V12" s="193"/>
      <c r="W12" s="194"/>
      <c r="X12" s="195"/>
      <c r="Y12" s="195"/>
      <c r="Z12" s="196"/>
      <c r="AA12" s="197" t="s">
        <v>62</v>
      </c>
      <c r="AB12" s="198"/>
      <c r="AC12" s="198"/>
      <c r="AD12" s="199">
        <f>W157</f>
        <v>23</v>
      </c>
    </row>
    <row r="13" ht="13.5" customHeight="1">
      <c r="A13" s="28">
        <v>7.0</v>
      </c>
      <c r="B13" s="37" t="s">
        <v>1176</v>
      </c>
      <c r="C13" s="37" t="s">
        <v>1177</v>
      </c>
      <c r="D13" s="37" t="s">
        <v>937</v>
      </c>
      <c r="E13" s="133" t="s">
        <v>338</v>
      </c>
      <c r="F13" s="134">
        <v>57.0</v>
      </c>
      <c r="G13" s="134" t="s">
        <v>339</v>
      </c>
      <c r="H13" s="185" t="s">
        <v>343</v>
      </c>
      <c r="I13" s="186">
        <v>9.684993294E9</v>
      </c>
      <c r="J13" s="54">
        <v>15.0</v>
      </c>
      <c r="K13" s="55">
        <v>12.0</v>
      </c>
      <c r="L13" s="55">
        <v>0.0</v>
      </c>
      <c r="M13" s="55">
        <v>1.0</v>
      </c>
      <c r="N13" s="43">
        <f t="shared" si="1"/>
        <v>1</v>
      </c>
      <c r="O13" s="55">
        <v>17.0</v>
      </c>
      <c r="P13" s="55">
        <v>2.0</v>
      </c>
      <c r="Q13" s="43">
        <f t="shared" si="2"/>
        <v>20</v>
      </c>
      <c r="R13" s="43"/>
      <c r="S13" s="55" t="s">
        <v>237</v>
      </c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188">
        <v>8.0</v>
      </c>
      <c r="B14" s="189" t="s">
        <v>1178</v>
      </c>
      <c r="C14" s="189" t="s">
        <v>1179</v>
      </c>
      <c r="D14" s="189" t="s">
        <v>1180</v>
      </c>
      <c r="E14" s="189" t="s">
        <v>338</v>
      </c>
      <c r="F14" s="189">
        <v>52.0</v>
      </c>
      <c r="G14" s="189" t="s">
        <v>339</v>
      </c>
      <c r="H14" s="190" t="s">
        <v>349</v>
      </c>
      <c r="I14" s="200">
        <v>9.684993295E9</v>
      </c>
      <c r="J14" s="192"/>
      <c r="K14" s="193"/>
      <c r="L14" s="193"/>
      <c r="M14" s="193"/>
      <c r="N14" s="193">
        <f t="shared" si="1"/>
        <v>0</v>
      </c>
      <c r="O14" s="193"/>
      <c r="P14" s="193"/>
      <c r="Q14" s="193">
        <f t="shared" si="2"/>
        <v>0</v>
      </c>
      <c r="R14" s="193"/>
      <c r="S14" s="193"/>
      <c r="T14" s="193"/>
      <c r="U14" s="193"/>
      <c r="V14" s="193"/>
      <c r="W14" s="194"/>
      <c r="X14" s="201" t="s">
        <v>1181</v>
      </c>
      <c r="Y14" s="195"/>
      <c r="Z14" s="202" t="s">
        <v>70</v>
      </c>
      <c r="AA14" s="196"/>
      <c r="AB14" s="196"/>
      <c r="AC14" s="196"/>
      <c r="AD14" s="196"/>
    </row>
    <row r="15" ht="13.5" customHeight="1">
      <c r="A15" s="28">
        <v>9.0</v>
      </c>
      <c r="B15" s="37" t="s">
        <v>1182</v>
      </c>
      <c r="C15" s="37" t="s">
        <v>1183</v>
      </c>
      <c r="D15" s="37" t="s">
        <v>1184</v>
      </c>
      <c r="E15" s="133" t="s">
        <v>338</v>
      </c>
      <c r="F15" s="134">
        <v>37.0</v>
      </c>
      <c r="G15" s="134" t="s">
        <v>339</v>
      </c>
      <c r="H15" s="185" t="s">
        <v>469</v>
      </c>
      <c r="I15" s="186">
        <v>9.684993296E9</v>
      </c>
      <c r="J15" s="54">
        <v>27.0</v>
      </c>
      <c r="K15" s="55">
        <v>20.0</v>
      </c>
      <c r="L15" s="55">
        <v>0.0</v>
      </c>
      <c r="M15" s="55">
        <v>2.0</v>
      </c>
      <c r="N15" s="43">
        <f t="shared" si="1"/>
        <v>2</v>
      </c>
      <c r="O15" s="55">
        <v>3.0</v>
      </c>
      <c r="P15" s="55">
        <v>4.0</v>
      </c>
      <c r="Q15" s="43">
        <f t="shared" si="2"/>
        <v>9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37" t="s">
        <v>1160</v>
      </c>
      <c r="C16" s="37" t="s">
        <v>1185</v>
      </c>
      <c r="D16" s="37" t="s">
        <v>1186</v>
      </c>
      <c r="E16" s="133" t="s">
        <v>338</v>
      </c>
      <c r="F16" s="134">
        <v>33.0</v>
      </c>
      <c r="G16" s="134" t="s">
        <v>339</v>
      </c>
      <c r="H16" s="185" t="s">
        <v>343</v>
      </c>
      <c r="I16" s="186">
        <v>9.684993297E9</v>
      </c>
      <c r="J16" s="54">
        <v>29.0</v>
      </c>
      <c r="K16" s="55">
        <v>24.0</v>
      </c>
      <c r="L16" s="55">
        <v>0.0</v>
      </c>
      <c r="M16" s="55">
        <v>2.0</v>
      </c>
      <c r="N16" s="43">
        <f t="shared" si="1"/>
        <v>2</v>
      </c>
      <c r="O16" s="55">
        <v>2.0</v>
      </c>
      <c r="P16" s="55">
        <v>3.0</v>
      </c>
      <c r="Q16" s="43">
        <f t="shared" si="2"/>
        <v>7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37" t="s">
        <v>1160</v>
      </c>
      <c r="C17" s="37" t="s">
        <v>430</v>
      </c>
      <c r="D17" s="37" t="s">
        <v>1187</v>
      </c>
      <c r="E17" s="133" t="s">
        <v>338</v>
      </c>
      <c r="F17" s="134">
        <v>31.0</v>
      </c>
      <c r="G17" s="134" t="s">
        <v>339</v>
      </c>
      <c r="H17" s="185" t="s">
        <v>349</v>
      </c>
      <c r="I17" s="186">
        <v>9.383232274E9</v>
      </c>
      <c r="J17" s="42"/>
      <c r="K17" s="43"/>
      <c r="L17" s="43"/>
      <c r="M17" s="43"/>
      <c r="N17" s="43">
        <f t="shared" si="1"/>
        <v>0</v>
      </c>
      <c r="O17" s="43"/>
      <c r="P17" s="43"/>
      <c r="Q17" s="43">
        <f t="shared" si="2"/>
        <v>0</v>
      </c>
      <c r="R17" s="43"/>
      <c r="S17" s="43"/>
      <c r="T17" s="43"/>
      <c r="U17" s="43"/>
      <c r="V17" s="43"/>
      <c r="W17" s="44"/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" t="s">
        <v>1188</v>
      </c>
      <c r="C18" s="37" t="s">
        <v>1189</v>
      </c>
      <c r="D18" s="37" t="s">
        <v>1190</v>
      </c>
      <c r="E18" s="133" t="s">
        <v>338</v>
      </c>
      <c r="F18" s="134">
        <v>60.0</v>
      </c>
      <c r="G18" s="134" t="s">
        <v>339</v>
      </c>
      <c r="H18" s="185" t="s">
        <v>469</v>
      </c>
      <c r="I18" s="186">
        <v>9.684993298E9</v>
      </c>
      <c r="J18" s="42"/>
      <c r="K18" s="43"/>
      <c r="L18" s="43"/>
      <c r="M18" s="43"/>
      <c r="N18" s="43">
        <f t="shared" si="1"/>
        <v>0</v>
      </c>
      <c r="O18" s="43"/>
      <c r="P18" s="43"/>
      <c r="Q18" s="43">
        <f t="shared" si="2"/>
        <v>0</v>
      </c>
      <c r="R18" s="43"/>
      <c r="S18" s="43"/>
      <c r="T18" s="43"/>
      <c r="U18" s="43"/>
      <c r="V18" s="43"/>
      <c r="W18" s="44"/>
      <c r="Z18" s="34"/>
      <c r="AA18" s="61" t="s">
        <v>88</v>
      </c>
      <c r="AB18" s="66">
        <f>COUNTIF(S7:S157, "RPDU")</f>
        <v>2</v>
      </c>
      <c r="AC18" s="34"/>
      <c r="AD18" s="34"/>
    </row>
    <row r="19" ht="13.5" customHeight="1">
      <c r="A19" s="28">
        <v>13.0</v>
      </c>
      <c r="B19" s="37" t="s">
        <v>1188</v>
      </c>
      <c r="C19" s="37" t="s">
        <v>1191</v>
      </c>
      <c r="D19" s="37" t="s">
        <v>1190</v>
      </c>
      <c r="E19" s="133" t="s">
        <v>338</v>
      </c>
      <c r="F19" s="134">
        <v>30.0</v>
      </c>
      <c r="G19" s="134" t="s">
        <v>339</v>
      </c>
      <c r="H19" s="185" t="s">
        <v>343</v>
      </c>
      <c r="I19" s="186">
        <v>9.6849933E9</v>
      </c>
      <c r="J19" s="54">
        <v>28.0</v>
      </c>
      <c r="K19" s="55">
        <v>24.0</v>
      </c>
      <c r="L19" s="55">
        <v>0.0</v>
      </c>
      <c r="M19" s="55">
        <v>0.0</v>
      </c>
      <c r="N19" s="43">
        <f t="shared" si="1"/>
        <v>0</v>
      </c>
      <c r="O19" s="55">
        <v>3.0</v>
      </c>
      <c r="P19" s="55">
        <v>4.0</v>
      </c>
      <c r="Q19" s="43">
        <f t="shared" si="2"/>
        <v>7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1</v>
      </c>
      <c r="AC19" s="34"/>
      <c r="AD19" s="34"/>
    </row>
    <row r="20" ht="13.5" customHeight="1">
      <c r="A20" s="28">
        <v>14.0</v>
      </c>
      <c r="B20" s="37" t="s">
        <v>1192</v>
      </c>
      <c r="C20" s="37" t="s">
        <v>1193</v>
      </c>
      <c r="D20" s="37" t="s">
        <v>112</v>
      </c>
      <c r="E20" s="133" t="s">
        <v>338</v>
      </c>
      <c r="F20" s="134">
        <v>31.0</v>
      </c>
      <c r="G20" s="134" t="s">
        <v>339</v>
      </c>
      <c r="H20" s="185" t="s">
        <v>349</v>
      </c>
      <c r="I20" s="186">
        <v>9.611118229E9</v>
      </c>
      <c r="J20" s="42"/>
      <c r="K20" s="43"/>
      <c r="L20" s="43"/>
      <c r="M20" s="43"/>
      <c r="N20" s="43">
        <f t="shared" si="1"/>
        <v>0</v>
      </c>
      <c r="O20" s="43"/>
      <c r="P20" s="43"/>
      <c r="Q20" s="43">
        <f t="shared" si="2"/>
        <v>0</v>
      </c>
      <c r="R20" s="43"/>
      <c r="S20" s="43"/>
      <c r="T20" s="43"/>
      <c r="U20" s="43"/>
      <c r="V20" s="43"/>
      <c r="W20" s="44"/>
      <c r="Z20" s="34"/>
      <c r="AA20" s="61" t="s">
        <v>97</v>
      </c>
      <c r="AB20" s="66">
        <f>COUNTIF(S7:S157, "RPDUL")</f>
        <v>1</v>
      </c>
      <c r="AC20" s="34"/>
      <c r="AD20" s="34"/>
    </row>
    <row r="21" ht="13.5" customHeight="1">
      <c r="A21" s="28">
        <v>15.0</v>
      </c>
      <c r="B21" s="37" t="s">
        <v>1194</v>
      </c>
      <c r="C21" s="37" t="s">
        <v>366</v>
      </c>
      <c r="D21" s="37" t="s">
        <v>1195</v>
      </c>
      <c r="E21" s="133" t="s">
        <v>338</v>
      </c>
      <c r="F21" s="134">
        <v>53.0</v>
      </c>
      <c r="G21" s="134" t="s">
        <v>339</v>
      </c>
      <c r="H21" s="185" t="s">
        <v>469</v>
      </c>
      <c r="I21" s="187">
        <v>9.06478099E9</v>
      </c>
      <c r="J21" s="54">
        <v>23.0</v>
      </c>
      <c r="K21" s="55">
        <v>19.0</v>
      </c>
      <c r="L21" s="55">
        <v>0.0</v>
      </c>
      <c r="M21" s="55">
        <v>2.0</v>
      </c>
      <c r="N21" s="43">
        <f t="shared" si="1"/>
        <v>2</v>
      </c>
      <c r="O21" s="55">
        <v>9.0</v>
      </c>
      <c r="P21" s="55">
        <v>2.0</v>
      </c>
      <c r="Q21" s="43">
        <f t="shared" si="2"/>
        <v>13</v>
      </c>
      <c r="R21" s="43"/>
      <c r="S21" s="43"/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37" t="s">
        <v>1196</v>
      </c>
      <c r="C22" s="37" t="s">
        <v>1197</v>
      </c>
      <c r="D22" s="37" t="s">
        <v>1198</v>
      </c>
      <c r="E22" s="133" t="s">
        <v>338</v>
      </c>
      <c r="F22" s="134">
        <v>47.0</v>
      </c>
      <c r="G22" s="134" t="s">
        <v>339</v>
      </c>
      <c r="H22" s="185" t="s">
        <v>343</v>
      </c>
      <c r="I22" s="186">
        <v>9.684993303E9</v>
      </c>
      <c r="J22" s="54">
        <v>26.0</v>
      </c>
      <c r="K22" s="55">
        <v>22.0</v>
      </c>
      <c r="L22" s="55">
        <v>0.0</v>
      </c>
      <c r="M22" s="55">
        <v>1.0</v>
      </c>
      <c r="N22" s="43">
        <f t="shared" si="1"/>
        <v>1</v>
      </c>
      <c r="O22" s="55">
        <v>8.0</v>
      </c>
      <c r="P22" s="55">
        <v>3.0</v>
      </c>
      <c r="Q22" s="43">
        <f t="shared" si="2"/>
        <v>12</v>
      </c>
      <c r="R22" s="43"/>
      <c r="S22" s="43"/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37" t="s">
        <v>436</v>
      </c>
      <c r="C23" s="37" t="s">
        <v>1199</v>
      </c>
      <c r="D23" s="37" t="s">
        <v>1200</v>
      </c>
      <c r="E23" s="133" t="s">
        <v>338</v>
      </c>
      <c r="F23" s="134">
        <v>43.0</v>
      </c>
      <c r="G23" s="134" t="s">
        <v>339</v>
      </c>
      <c r="H23" s="185" t="s">
        <v>469</v>
      </c>
      <c r="I23" s="186">
        <v>9.684993304E9</v>
      </c>
      <c r="J23" s="54">
        <v>21.0</v>
      </c>
      <c r="K23" s="55">
        <v>12.0</v>
      </c>
      <c r="L23" s="55">
        <v>0.0</v>
      </c>
      <c r="M23" s="55">
        <v>0.0</v>
      </c>
      <c r="N23" s="43">
        <f t="shared" si="1"/>
        <v>0</v>
      </c>
      <c r="O23" s="55">
        <v>9.0</v>
      </c>
      <c r="P23" s="55">
        <v>8.0</v>
      </c>
      <c r="Q23" s="43">
        <f t="shared" si="2"/>
        <v>17</v>
      </c>
      <c r="R23" s="43"/>
      <c r="S23" s="55" t="s">
        <v>105</v>
      </c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1</v>
      </c>
      <c r="AC23" s="34"/>
      <c r="AD23" s="34"/>
    </row>
    <row r="24" ht="13.5" customHeight="1">
      <c r="A24" s="28">
        <v>18.0</v>
      </c>
      <c r="B24" s="37" t="s">
        <v>1201</v>
      </c>
      <c r="C24" s="37" t="s">
        <v>1202</v>
      </c>
      <c r="D24" s="37" t="s">
        <v>1203</v>
      </c>
      <c r="E24" s="133" t="s">
        <v>338</v>
      </c>
      <c r="F24" s="134">
        <v>32.0</v>
      </c>
      <c r="G24" s="134" t="s">
        <v>339</v>
      </c>
      <c r="H24" s="185" t="s">
        <v>349</v>
      </c>
      <c r="I24" s="186">
        <v>9.304170239E9</v>
      </c>
      <c r="J24" s="42"/>
      <c r="K24" s="43"/>
      <c r="L24" s="43"/>
      <c r="M24" s="43"/>
      <c r="N24" s="43">
        <f t="shared" si="1"/>
        <v>0</v>
      </c>
      <c r="O24" s="43"/>
      <c r="P24" s="43"/>
      <c r="Q24" s="43">
        <f t="shared" si="2"/>
        <v>0</v>
      </c>
      <c r="R24" s="43"/>
      <c r="S24" s="43"/>
      <c r="T24" s="43"/>
      <c r="U24" s="43"/>
      <c r="V24" s="43"/>
      <c r="W24" s="44"/>
      <c r="Z24" s="34"/>
      <c r="AA24" s="34"/>
      <c r="AB24" s="34"/>
      <c r="AC24" s="34"/>
      <c r="AD24" s="34"/>
    </row>
    <row r="25" ht="13.5" customHeight="1">
      <c r="A25" s="28">
        <v>19.0</v>
      </c>
      <c r="B25" s="37" t="s">
        <v>1204</v>
      </c>
      <c r="C25" s="37" t="s">
        <v>1205</v>
      </c>
      <c r="D25" s="37" t="s">
        <v>1206</v>
      </c>
      <c r="E25" s="133" t="s">
        <v>338</v>
      </c>
      <c r="F25" s="134">
        <v>57.0</v>
      </c>
      <c r="G25" s="134" t="s">
        <v>339</v>
      </c>
      <c r="H25" s="185" t="s">
        <v>469</v>
      </c>
      <c r="I25" s="186">
        <v>9.684993305E9</v>
      </c>
      <c r="J25" s="54">
        <v>30.0</v>
      </c>
      <c r="K25" s="55">
        <v>24.0</v>
      </c>
      <c r="L25" s="55">
        <v>0.0</v>
      </c>
      <c r="M25" s="55">
        <v>5.0</v>
      </c>
      <c r="N25" s="43">
        <f t="shared" si="1"/>
        <v>5</v>
      </c>
      <c r="O25" s="55">
        <v>2.0</v>
      </c>
      <c r="P25" s="55">
        <v>1.0</v>
      </c>
      <c r="Q25" s="43">
        <f t="shared" si="2"/>
        <v>8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37" t="s">
        <v>1207</v>
      </c>
      <c r="C26" s="37" t="s">
        <v>1208</v>
      </c>
      <c r="D26" s="37" t="s">
        <v>1209</v>
      </c>
      <c r="E26" s="133" t="s">
        <v>338</v>
      </c>
      <c r="F26" s="134">
        <v>32.0</v>
      </c>
      <c r="G26" s="134" t="s">
        <v>339</v>
      </c>
      <c r="H26" s="185" t="s">
        <v>343</v>
      </c>
      <c r="I26" s="186">
        <v>9.684993307E9</v>
      </c>
      <c r="J26" s="54">
        <v>28.0</v>
      </c>
      <c r="K26" s="55">
        <v>19.0</v>
      </c>
      <c r="L26" s="55">
        <v>0.0</v>
      </c>
      <c r="M26" s="55">
        <v>4.0</v>
      </c>
      <c r="N26" s="43">
        <f t="shared" si="1"/>
        <v>4</v>
      </c>
      <c r="O26" s="55">
        <v>4.0</v>
      </c>
      <c r="P26" s="55">
        <v>5.0</v>
      </c>
      <c r="Q26" s="43">
        <f t="shared" si="2"/>
        <v>13</v>
      </c>
      <c r="R26" s="43"/>
      <c r="S26" s="55" t="s">
        <v>277</v>
      </c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37" t="s">
        <v>1210</v>
      </c>
      <c r="C27" s="37" t="s">
        <v>1211</v>
      </c>
      <c r="D27" s="37" t="s">
        <v>1188</v>
      </c>
      <c r="E27" s="133" t="s">
        <v>338</v>
      </c>
      <c r="F27" s="134">
        <v>27.0</v>
      </c>
      <c r="G27" s="134" t="s">
        <v>385</v>
      </c>
      <c r="H27" s="185" t="s">
        <v>349</v>
      </c>
      <c r="I27" s="186">
        <v>9.684993309E9</v>
      </c>
      <c r="J27" s="54">
        <v>31.0</v>
      </c>
      <c r="K27" s="55">
        <v>26.0</v>
      </c>
      <c r="L27" s="55">
        <v>0.0</v>
      </c>
      <c r="M27" s="55">
        <v>1.0</v>
      </c>
      <c r="N27" s="43">
        <f t="shared" si="1"/>
        <v>1</v>
      </c>
      <c r="O27" s="55">
        <v>1.0</v>
      </c>
      <c r="P27" s="55">
        <v>4.0</v>
      </c>
      <c r="Q27" s="43">
        <f t="shared" si="2"/>
        <v>6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37" t="s">
        <v>1212</v>
      </c>
      <c r="C28" s="37" t="s">
        <v>1213</v>
      </c>
      <c r="D28" s="37" t="s">
        <v>1182</v>
      </c>
      <c r="E28" s="133" t="s">
        <v>338</v>
      </c>
      <c r="F28" s="134">
        <v>31.0</v>
      </c>
      <c r="G28" s="134" t="s">
        <v>339</v>
      </c>
      <c r="H28" s="185" t="s">
        <v>469</v>
      </c>
      <c r="I28" s="186">
        <v>9.68499331E9</v>
      </c>
      <c r="J28" s="54">
        <v>30.0</v>
      </c>
      <c r="K28" s="55">
        <v>22.0</v>
      </c>
      <c r="L28" s="55">
        <v>0.0</v>
      </c>
      <c r="M28" s="55">
        <v>0.0</v>
      </c>
      <c r="N28" s="43">
        <f t="shared" si="1"/>
        <v>0</v>
      </c>
      <c r="O28" s="55">
        <v>2.0</v>
      </c>
      <c r="P28" s="55">
        <v>8.0</v>
      </c>
      <c r="Q28" s="43">
        <f t="shared" si="2"/>
        <v>10</v>
      </c>
      <c r="R28" s="43"/>
      <c r="S28" s="43"/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37" t="s">
        <v>1214</v>
      </c>
      <c r="C29" s="37" t="s">
        <v>1215</v>
      </c>
      <c r="D29" s="37" t="s">
        <v>1216</v>
      </c>
      <c r="E29" s="133" t="s">
        <v>338</v>
      </c>
      <c r="F29" s="134">
        <v>40.0</v>
      </c>
      <c r="G29" s="134" t="s">
        <v>339</v>
      </c>
      <c r="H29" s="185" t="s">
        <v>343</v>
      </c>
      <c r="I29" s="186">
        <v>9.684993311E9</v>
      </c>
      <c r="J29" s="54">
        <v>30.0</v>
      </c>
      <c r="K29" s="55">
        <v>24.0</v>
      </c>
      <c r="L29" s="55">
        <v>1.0</v>
      </c>
      <c r="M29" s="55">
        <v>3.0</v>
      </c>
      <c r="N29" s="43">
        <f t="shared" si="1"/>
        <v>4</v>
      </c>
      <c r="O29" s="55">
        <v>2.0</v>
      </c>
      <c r="P29" s="55">
        <v>2.0</v>
      </c>
      <c r="Q29" s="43">
        <f t="shared" si="2"/>
        <v>8</v>
      </c>
      <c r="R29" s="43"/>
      <c r="S29" s="55" t="s">
        <v>93</v>
      </c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37" t="s">
        <v>1217</v>
      </c>
      <c r="C30" s="37" t="s">
        <v>1218</v>
      </c>
      <c r="D30" s="37" t="s">
        <v>310</v>
      </c>
      <c r="E30" s="133" t="s">
        <v>338</v>
      </c>
      <c r="F30" s="134">
        <v>39.0</v>
      </c>
      <c r="G30" s="134" t="s">
        <v>385</v>
      </c>
      <c r="H30" s="185" t="s">
        <v>484</v>
      </c>
      <c r="I30" s="186">
        <v>9.684993312E9</v>
      </c>
      <c r="J30" s="54">
        <v>25.0</v>
      </c>
      <c r="K30" s="55">
        <v>19.0</v>
      </c>
      <c r="L30" s="55">
        <v>0.0</v>
      </c>
      <c r="M30" s="55">
        <v>1.0</v>
      </c>
      <c r="N30" s="43">
        <f t="shared" si="1"/>
        <v>1</v>
      </c>
      <c r="O30" s="55">
        <v>7.0</v>
      </c>
      <c r="P30" s="55">
        <v>5.0</v>
      </c>
      <c r="Q30" s="43">
        <f t="shared" si="2"/>
        <v>13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37" t="s">
        <v>1219</v>
      </c>
      <c r="C31" s="37" t="s">
        <v>1220</v>
      </c>
      <c r="D31" s="37" t="s">
        <v>1200</v>
      </c>
      <c r="E31" s="133" t="s">
        <v>338</v>
      </c>
      <c r="F31" s="134">
        <v>39.0</v>
      </c>
      <c r="G31" s="134" t="s">
        <v>339</v>
      </c>
      <c r="H31" s="185" t="s">
        <v>469</v>
      </c>
      <c r="I31" s="186">
        <v>9.684993313E9</v>
      </c>
      <c r="J31" s="54">
        <v>23.0</v>
      </c>
      <c r="K31" s="55">
        <v>20.0</v>
      </c>
      <c r="L31" s="55">
        <v>0.0</v>
      </c>
      <c r="M31" s="55">
        <v>2.0</v>
      </c>
      <c r="N31" s="43">
        <f t="shared" si="1"/>
        <v>2</v>
      </c>
      <c r="O31" s="55">
        <v>9.0</v>
      </c>
      <c r="P31" s="55">
        <v>1.0</v>
      </c>
      <c r="Q31" s="43">
        <f t="shared" si="2"/>
        <v>12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37" t="s">
        <v>1221</v>
      </c>
      <c r="C32" s="37" t="s">
        <v>1222</v>
      </c>
      <c r="D32" s="37" t="s">
        <v>1223</v>
      </c>
      <c r="E32" s="133" t="s">
        <v>338</v>
      </c>
      <c r="F32" s="134">
        <v>44.0</v>
      </c>
      <c r="G32" s="134" t="s">
        <v>339</v>
      </c>
      <c r="H32" s="185" t="s">
        <v>343</v>
      </c>
      <c r="I32" s="186">
        <v>9.684993314E9</v>
      </c>
      <c r="J32" s="54">
        <v>17.0</v>
      </c>
      <c r="K32" s="55">
        <v>14.0</v>
      </c>
      <c r="L32" s="55">
        <v>0.0</v>
      </c>
      <c r="M32" s="55">
        <v>0.0</v>
      </c>
      <c r="N32" s="43">
        <f t="shared" si="1"/>
        <v>0</v>
      </c>
      <c r="O32" s="55">
        <v>15.0</v>
      </c>
      <c r="P32" s="55">
        <v>3.0</v>
      </c>
      <c r="Q32" s="43">
        <f t="shared" si="2"/>
        <v>18</v>
      </c>
      <c r="R32" s="43"/>
      <c r="S32" s="55" t="s">
        <v>88</v>
      </c>
      <c r="T32" s="43"/>
      <c r="U32" s="43"/>
      <c r="V32" s="43"/>
      <c r="W32" s="56" t="s">
        <v>46</v>
      </c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37" t="s">
        <v>1224</v>
      </c>
      <c r="C33" s="37" t="s">
        <v>1225</v>
      </c>
      <c r="D33" s="37" t="s">
        <v>1226</v>
      </c>
      <c r="E33" s="133" t="s">
        <v>338</v>
      </c>
      <c r="F33" s="134">
        <v>52.0</v>
      </c>
      <c r="G33" s="134" t="s">
        <v>339</v>
      </c>
      <c r="H33" s="185" t="s">
        <v>343</v>
      </c>
      <c r="I33" s="186">
        <v>9.684993315E9</v>
      </c>
      <c r="J33" s="54">
        <v>22.0</v>
      </c>
      <c r="K33" s="55">
        <v>15.0</v>
      </c>
      <c r="L33" s="55">
        <v>1.0</v>
      </c>
      <c r="M33" s="55">
        <v>7.0</v>
      </c>
      <c r="N33" s="43">
        <f t="shared" si="1"/>
        <v>8</v>
      </c>
      <c r="O33" s="55">
        <v>10.0</v>
      </c>
      <c r="P33" s="55">
        <v>0.0</v>
      </c>
      <c r="Q33" s="43">
        <f t="shared" si="2"/>
        <v>18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37" t="s">
        <v>1227</v>
      </c>
      <c r="C34" s="37" t="s">
        <v>1228</v>
      </c>
      <c r="D34" s="37" t="s">
        <v>1229</v>
      </c>
      <c r="E34" s="133" t="s">
        <v>338</v>
      </c>
      <c r="F34" s="134">
        <v>46.0</v>
      </c>
      <c r="G34" s="134" t="s">
        <v>339</v>
      </c>
      <c r="H34" s="185" t="s">
        <v>484</v>
      </c>
      <c r="I34" s="186">
        <v>9.616335147E9</v>
      </c>
      <c r="J34" s="54">
        <v>27.0</v>
      </c>
      <c r="K34" s="55">
        <v>23.0</v>
      </c>
      <c r="L34" s="55">
        <v>0.0</v>
      </c>
      <c r="M34" s="55">
        <v>3.0</v>
      </c>
      <c r="N34" s="43">
        <f t="shared" si="1"/>
        <v>3</v>
      </c>
      <c r="O34" s="55">
        <v>1.0</v>
      </c>
      <c r="P34" s="55">
        <v>1.0</v>
      </c>
      <c r="Q34" s="43">
        <f t="shared" si="2"/>
        <v>5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37" t="s">
        <v>1230</v>
      </c>
      <c r="C35" s="37" t="s">
        <v>1231</v>
      </c>
      <c r="D35" s="37" t="s">
        <v>1232</v>
      </c>
      <c r="E35" s="133" t="s">
        <v>1233</v>
      </c>
      <c r="F35" s="134">
        <v>26.0</v>
      </c>
      <c r="G35" s="134" t="s">
        <v>339</v>
      </c>
      <c r="H35" s="185" t="s">
        <v>1234</v>
      </c>
      <c r="I35" s="186">
        <v>9.319469185E9</v>
      </c>
      <c r="J35" s="161">
        <v>26.0</v>
      </c>
      <c r="K35" s="55">
        <v>16.0</v>
      </c>
      <c r="L35" s="55">
        <v>1.0</v>
      </c>
      <c r="M35" s="55">
        <v>9.0</v>
      </c>
      <c r="N35" s="43">
        <f t="shared" si="1"/>
        <v>10</v>
      </c>
      <c r="O35" s="55">
        <v>4.0</v>
      </c>
      <c r="P35" s="55">
        <v>0.0</v>
      </c>
      <c r="Q35" s="43">
        <f t="shared" si="2"/>
        <v>14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37" t="s">
        <v>1235</v>
      </c>
      <c r="C36" s="37" t="s">
        <v>1236</v>
      </c>
      <c r="D36" s="37" t="s">
        <v>864</v>
      </c>
      <c r="E36" s="133" t="s">
        <v>338</v>
      </c>
      <c r="F36" s="134">
        <v>54.0</v>
      </c>
      <c r="G36" s="134" t="s">
        <v>339</v>
      </c>
      <c r="H36" s="185" t="s">
        <v>1237</v>
      </c>
      <c r="I36" s="186">
        <v>9.291616501E9</v>
      </c>
      <c r="J36" s="87">
        <v>20.0</v>
      </c>
      <c r="K36" s="55">
        <v>9.0</v>
      </c>
      <c r="L36" s="55">
        <v>0.0</v>
      </c>
      <c r="M36" s="55">
        <v>9.0</v>
      </c>
      <c r="N36" s="43">
        <f t="shared" si="1"/>
        <v>9</v>
      </c>
      <c r="O36" s="55">
        <v>8.0</v>
      </c>
      <c r="P36" s="55">
        <v>2.0</v>
      </c>
      <c r="Q36" s="43">
        <f t="shared" si="2"/>
        <v>19</v>
      </c>
      <c r="R36" s="43"/>
      <c r="S36" s="55" t="s">
        <v>101</v>
      </c>
      <c r="T36" s="43"/>
      <c r="U36" s="43"/>
      <c r="V36" s="55" t="s">
        <v>1238</v>
      </c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37" t="s">
        <v>211</v>
      </c>
      <c r="C37" s="37" t="s">
        <v>1239</v>
      </c>
      <c r="D37" s="37" t="s">
        <v>1240</v>
      </c>
      <c r="E37" s="133" t="s">
        <v>1241</v>
      </c>
      <c r="F37" s="134">
        <v>43.0</v>
      </c>
      <c r="G37" s="134" t="s">
        <v>385</v>
      </c>
      <c r="H37" s="185" t="s">
        <v>1242</v>
      </c>
      <c r="I37" s="187">
        <v>9.3637239E8</v>
      </c>
      <c r="J37" s="83"/>
      <c r="K37" s="43"/>
      <c r="L37" s="43"/>
      <c r="M37" s="43"/>
      <c r="N37" s="43">
        <f t="shared" si="1"/>
        <v>0</v>
      </c>
      <c r="O37" s="43"/>
      <c r="P37" s="43"/>
      <c r="Q37" s="43">
        <f t="shared" si="2"/>
        <v>0</v>
      </c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37" t="s">
        <v>1243</v>
      </c>
      <c r="C38" s="37" t="s">
        <v>1244</v>
      </c>
      <c r="D38" s="37" t="s">
        <v>1245</v>
      </c>
      <c r="E38" s="133" t="s">
        <v>1233</v>
      </c>
      <c r="F38" s="134">
        <v>49.0</v>
      </c>
      <c r="G38" s="134" t="s">
        <v>385</v>
      </c>
      <c r="H38" s="185" t="s">
        <v>1246</v>
      </c>
      <c r="I38" s="187">
        <v>9.618131126E9</v>
      </c>
      <c r="J38" s="83"/>
      <c r="K38" s="43"/>
      <c r="L38" s="43"/>
      <c r="M38" s="43"/>
      <c r="N38" s="43">
        <f t="shared" si="1"/>
        <v>0</v>
      </c>
      <c r="O38" s="43"/>
      <c r="P38" s="43"/>
      <c r="Q38" s="43">
        <f t="shared" si="2"/>
        <v>0</v>
      </c>
      <c r="R38" s="43"/>
      <c r="S38" s="43"/>
      <c r="T38" s="43"/>
      <c r="U38" s="43"/>
      <c r="V38" s="43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37" t="s">
        <v>1247</v>
      </c>
      <c r="C39" s="37" t="s">
        <v>1248</v>
      </c>
      <c r="D39" s="37" t="s">
        <v>1249</v>
      </c>
      <c r="E39" s="133" t="s">
        <v>1233</v>
      </c>
      <c r="F39" s="134">
        <v>62.0</v>
      </c>
      <c r="G39" s="134" t="s">
        <v>385</v>
      </c>
      <c r="H39" s="185" t="s">
        <v>1246</v>
      </c>
      <c r="I39" s="187">
        <v>9.1657074514E10</v>
      </c>
      <c r="J39" s="42"/>
      <c r="K39" s="43"/>
      <c r="L39" s="43"/>
      <c r="M39" s="43"/>
      <c r="N39" s="43">
        <v>0.0</v>
      </c>
      <c r="O39" s="43"/>
      <c r="P39" s="43"/>
      <c r="Q39" s="43">
        <f t="shared" ref="Q39:Q40" si="3">SUM(N39:P39)</f>
        <v>0</v>
      </c>
      <c r="R39" s="43"/>
      <c r="S39" s="43"/>
      <c r="T39" s="43"/>
      <c r="U39" s="43"/>
      <c r="V39" s="43"/>
      <c r="W39" s="44"/>
      <c r="Z39" s="61"/>
      <c r="AA39" s="61"/>
      <c r="AB39" s="66"/>
      <c r="AC39" s="34"/>
      <c r="AD39" s="34"/>
    </row>
    <row r="40" ht="13.5" customHeight="1">
      <c r="A40" s="28">
        <v>34.0</v>
      </c>
      <c r="B40" s="106"/>
      <c r="C40" s="106"/>
      <c r="D40" s="106"/>
      <c r="E40" s="53"/>
      <c r="F40" s="53"/>
      <c r="G40" s="82"/>
      <c r="H40" s="53"/>
      <c r="I40" s="88"/>
      <c r="J40" s="83"/>
      <c r="K40" s="43"/>
      <c r="L40" s="43"/>
      <c r="M40" s="43"/>
      <c r="N40" s="43">
        <v>0.0</v>
      </c>
      <c r="O40" s="43"/>
      <c r="P40" s="43"/>
      <c r="Q40" s="43">
        <f t="shared" si="3"/>
        <v>0</v>
      </c>
      <c r="R40" s="43"/>
      <c r="S40" s="43"/>
      <c r="T40" s="43"/>
      <c r="U40" s="43"/>
      <c r="V40" s="43"/>
      <c r="W40" s="44"/>
      <c r="Z40" s="61"/>
      <c r="AA40" s="61"/>
      <c r="AB40" s="66"/>
      <c r="AC40" s="34"/>
      <c r="AD40" s="34"/>
    </row>
    <row r="41" ht="13.5" customHeight="1">
      <c r="A41" s="28">
        <v>35.0</v>
      </c>
      <c r="B41" s="107"/>
      <c r="C41" s="107"/>
      <c r="D41" s="107"/>
      <c r="E41" s="53"/>
      <c r="F41" s="53"/>
      <c r="G41" s="82"/>
      <c r="H41" s="53"/>
      <c r="I41" s="89"/>
      <c r="J41" s="8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106"/>
      <c r="C42" s="106"/>
      <c r="D42" s="106"/>
      <c r="E42" s="109"/>
      <c r="F42" s="53"/>
      <c r="G42" s="82"/>
      <c r="H42" s="53"/>
      <c r="I42" s="89"/>
      <c r="J42" s="8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203"/>
      <c r="C43" s="203"/>
      <c r="D43" s="203"/>
      <c r="E43" s="109"/>
      <c r="F43" s="53"/>
      <c r="G43" s="82"/>
      <c r="H43" s="53"/>
      <c r="I43" s="82"/>
      <c r="J43" s="8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06"/>
      <c r="C44" s="106"/>
      <c r="D44" s="106"/>
      <c r="E44" s="109"/>
      <c r="F44" s="53"/>
      <c r="G44" s="82"/>
      <c r="H44" s="53"/>
      <c r="I44" s="82"/>
      <c r="J44" s="8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4">SUM(J7:J156)</f>
        <v>563</v>
      </c>
      <c r="K157" s="123">
        <f t="shared" si="4"/>
        <v>430</v>
      </c>
      <c r="L157" s="123">
        <f t="shared" si="4"/>
        <v>7</v>
      </c>
      <c r="M157" s="123">
        <f t="shared" si="4"/>
        <v>59</v>
      </c>
      <c r="N157" s="123">
        <f t="shared" si="4"/>
        <v>66</v>
      </c>
      <c r="O157" s="123">
        <f t="shared" si="4"/>
        <v>151</v>
      </c>
      <c r="P157" s="123">
        <f t="shared" si="4"/>
        <v>63</v>
      </c>
      <c r="Q157" s="123">
        <f t="shared" si="4"/>
        <v>280</v>
      </c>
      <c r="R157" s="124"/>
      <c r="S157" s="124"/>
      <c r="T157" s="125"/>
      <c r="U157" s="145" t="s">
        <v>330</v>
      </c>
      <c r="V157" s="5"/>
      <c r="W157" s="126">
        <f>COUNTIF(W7:W156,"YES")</f>
        <v>23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9.13"/>
    <col customWidth="1" min="3" max="3" width="17.38"/>
    <col customWidth="1" min="4" max="4" width="18.88"/>
    <col customWidth="1" min="5" max="5" width="16.0"/>
    <col customWidth="1" min="6" max="6" width="8.63"/>
    <col customWidth="1" min="7" max="7" width="15.13"/>
    <col customWidth="1" min="8" max="8" width="17.63"/>
    <col customWidth="1" min="9" max="9" width="15.63"/>
    <col customWidth="1" min="10" max="10" width="12.5"/>
    <col customWidth="1" min="11" max="11" width="12.0"/>
    <col customWidth="1" min="12" max="13" width="12.75"/>
    <col customWidth="1" min="14" max="19" width="8.63"/>
    <col customWidth="1" min="20" max="20" width="14.0"/>
    <col customWidth="1" min="21" max="21" width="10.63"/>
    <col customWidth="1" min="22" max="22" width="15.5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204" t="s">
        <v>1250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33.0" customHeight="1">
      <c r="A3" s="6" t="s">
        <v>3</v>
      </c>
      <c r="B3" s="5"/>
      <c r="C3" s="204" t="s">
        <v>1251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204" t="s">
        <v>1252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1253</v>
      </c>
      <c r="C7" s="37" t="s">
        <v>1254</v>
      </c>
      <c r="D7" s="37" t="s">
        <v>1255</v>
      </c>
      <c r="E7" s="171" t="s">
        <v>338</v>
      </c>
      <c r="F7" s="134">
        <v>39.0</v>
      </c>
      <c r="G7" s="134" t="s">
        <v>339</v>
      </c>
      <c r="H7" s="134" t="s">
        <v>1256</v>
      </c>
      <c r="I7" s="163" t="s">
        <v>1257</v>
      </c>
      <c r="J7" s="54">
        <v>23.0</v>
      </c>
      <c r="K7" s="55">
        <v>21.0</v>
      </c>
      <c r="L7" s="55">
        <v>0.0</v>
      </c>
      <c r="M7" s="55">
        <v>0.0</v>
      </c>
      <c r="N7" s="43">
        <f t="shared" ref="N7:N82" si="1">SUM(L7,M7)</f>
        <v>0</v>
      </c>
      <c r="O7" s="55">
        <v>5.0</v>
      </c>
      <c r="P7" s="55">
        <v>2.0</v>
      </c>
      <c r="Q7" s="43">
        <f t="shared" ref="Q7:Q23" si="2">SUM(N7,O7,P7)</f>
        <v>7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1258</v>
      </c>
      <c r="C8" s="37" t="s">
        <v>1259</v>
      </c>
      <c r="D8" s="37" t="s">
        <v>864</v>
      </c>
      <c r="E8" s="171" t="s">
        <v>338</v>
      </c>
      <c r="F8" s="134">
        <v>54.0</v>
      </c>
      <c r="G8" s="134" t="s">
        <v>339</v>
      </c>
      <c r="H8" s="134" t="s">
        <v>839</v>
      </c>
      <c r="I8" s="163" t="s">
        <v>1260</v>
      </c>
      <c r="J8" s="54">
        <v>29.0</v>
      </c>
      <c r="K8" s="55">
        <v>20.0</v>
      </c>
      <c r="L8" s="55">
        <v>2.0</v>
      </c>
      <c r="M8" s="55">
        <v>6.0</v>
      </c>
      <c r="N8" s="43">
        <f t="shared" si="1"/>
        <v>8</v>
      </c>
      <c r="O8" s="55">
        <v>3.0</v>
      </c>
      <c r="P8" s="55">
        <v>1.0</v>
      </c>
      <c r="Q8" s="43">
        <f t="shared" si="2"/>
        <v>12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" t="s">
        <v>1258</v>
      </c>
      <c r="C9" s="37" t="s">
        <v>1261</v>
      </c>
      <c r="D9" s="37" t="s">
        <v>112</v>
      </c>
      <c r="E9" s="171" t="s">
        <v>338</v>
      </c>
      <c r="F9" s="134">
        <v>48.0</v>
      </c>
      <c r="G9" s="134" t="s">
        <v>339</v>
      </c>
      <c r="H9" s="134" t="s">
        <v>839</v>
      </c>
      <c r="I9" s="134" t="s">
        <v>1262</v>
      </c>
      <c r="J9" s="54">
        <v>28.0</v>
      </c>
      <c r="K9" s="55">
        <v>19.0</v>
      </c>
      <c r="L9" s="55">
        <v>0.0</v>
      </c>
      <c r="M9" s="55">
        <v>7.0</v>
      </c>
      <c r="N9" s="43">
        <f t="shared" si="1"/>
        <v>7</v>
      </c>
      <c r="O9" s="55">
        <v>4.0</v>
      </c>
      <c r="P9" s="55">
        <v>2.0</v>
      </c>
      <c r="Q9" s="43">
        <f t="shared" si="2"/>
        <v>13</v>
      </c>
      <c r="R9" s="43"/>
      <c r="S9" s="43"/>
      <c r="T9" s="55" t="s">
        <v>140</v>
      </c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" t="s">
        <v>1263</v>
      </c>
      <c r="C10" s="37" t="s">
        <v>1264</v>
      </c>
      <c r="D10" s="37" t="s">
        <v>1265</v>
      </c>
      <c r="E10" s="171" t="s">
        <v>338</v>
      </c>
      <c r="F10" s="134">
        <v>40.0</v>
      </c>
      <c r="G10" s="134" t="s">
        <v>339</v>
      </c>
      <c r="H10" s="134" t="s">
        <v>1266</v>
      </c>
      <c r="I10" s="134" t="s">
        <v>1267</v>
      </c>
      <c r="J10" s="54">
        <v>28.0</v>
      </c>
      <c r="K10" s="55">
        <v>26.0</v>
      </c>
      <c r="L10" s="55">
        <v>0.0</v>
      </c>
      <c r="M10" s="55">
        <v>0.0</v>
      </c>
      <c r="N10" s="43">
        <f t="shared" si="1"/>
        <v>0</v>
      </c>
      <c r="O10" s="55">
        <v>2.0</v>
      </c>
      <c r="P10" s="55">
        <v>2.0</v>
      </c>
      <c r="Q10" s="43">
        <f t="shared" si="2"/>
        <v>4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" t="s">
        <v>1268</v>
      </c>
      <c r="C11" s="37" t="s">
        <v>1269</v>
      </c>
      <c r="D11" s="37" t="s">
        <v>1270</v>
      </c>
      <c r="E11" s="171" t="s">
        <v>338</v>
      </c>
      <c r="F11" s="134">
        <v>38.0</v>
      </c>
      <c r="G11" s="134" t="s">
        <v>339</v>
      </c>
      <c r="H11" s="134" t="s">
        <v>340</v>
      </c>
      <c r="I11" s="134" t="s">
        <v>1271</v>
      </c>
      <c r="J11" s="54">
        <v>28.0</v>
      </c>
      <c r="K11" s="55">
        <v>27.0</v>
      </c>
      <c r="L11" s="55">
        <v>0.0</v>
      </c>
      <c r="M11" s="55">
        <v>1.0</v>
      </c>
      <c r="N11" s="43">
        <f t="shared" si="1"/>
        <v>1</v>
      </c>
      <c r="O11" s="55">
        <v>4.0</v>
      </c>
      <c r="P11" s="55">
        <v>0.0</v>
      </c>
      <c r="Q11" s="43">
        <f t="shared" si="2"/>
        <v>5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" t="s">
        <v>1272</v>
      </c>
      <c r="C12" s="37" t="s">
        <v>1273</v>
      </c>
      <c r="D12" s="37" t="s">
        <v>1274</v>
      </c>
      <c r="E12" s="171" t="s">
        <v>338</v>
      </c>
      <c r="F12" s="134">
        <v>54.0</v>
      </c>
      <c r="G12" s="134" t="s">
        <v>339</v>
      </c>
      <c r="H12" s="134" t="s">
        <v>839</v>
      </c>
      <c r="I12" s="134" t="s">
        <v>1275</v>
      </c>
      <c r="J12" s="54">
        <v>17.0</v>
      </c>
      <c r="K12" s="55">
        <v>13.0</v>
      </c>
      <c r="L12" s="55">
        <v>0.0</v>
      </c>
      <c r="M12" s="55">
        <v>3.0</v>
      </c>
      <c r="N12" s="43">
        <f t="shared" si="1"/>
        <v>3</v>
      </c>
      <c r="O12" s="55">
        <v>15.0</v>
      </c>
      <c r="P12" s="55">
        <v>1.0</v>
      </c>
      <c r="Q12" s="43">
        <f t="shared" si="2"/>
        <v>19</v>
      </c>
      <c r="R12" s="43"/>
      <c r="S12" s="55" t="s">
        <v>79</v>
      </c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68</v>
      </c>
    </row>
    <row r="13" ht="13.5" customHeight="1">
      <c r="A13" s="28">
        <v>7.0</v>
      </c>
      <c r="B13" s="37" t="s">
        <v>1276</v>
      </c>
      <c r="C13" s="37" t="s">
        <v>1277</v>
      </c>
      <c r="D13" s="37" t="s">
        <v>1278</v>
      </c>
      <c r="E13" s="171" t="s">
        <v>338</v>
      </c>
      <c r="F13" s="134">
        <v>27.0</v>
      </c>
      <c r="G13" s="134" t="s">
        <v>339</v>
      </c>
      <c r="H13" s="134" t="s">
        <v>340</v>
      </c>
      <c r="I13" s="163" t="s">
        <v>1279</v>
      </c>
      <c r="J13" s="42"/>
      <c r="K13" s="43"/>
      <c r="L13" s="43"/>
      <c r="M13" s="43"/>
      <c r="N13" s="43">
        <f t="shared" si="1"/>
        <v>0</v>
      </c>
      <c r="O13" s="43"/>
      <c r="P13" s="43"/>
      <c r="Q13" s="43">
        <f t="shared" si="2"/>
        <v>0</v>
      </c>
      <c r="R13" s="43"/>
      <c r="S13" s="43"/>
      <c r="T13" s="43"/>
      <c r="U13" s="43"/>
      <c r="V13" s="43"/>
      <c r="W13" s="44"/>
      <c r="Z13" s="34"/>
      <c r="AA13" s="34"/>
      <c r="AB13" s="34"/>
      <c r="AC13" s="34"/>
      <c r="AD13" s="34"/>
    </row>
    <row r="14" ht="13.5" customHeight="1">
      <c r="A14" s="28">
        <v>8.0</v>
      </c>
      <c r="B14" s="37" t="s">
        <v>91</v>
      </c>
      <c r="C14" s="37" t="s">
        <v>1280</v>
      </c>
      <c r="D14" s="37" t="s">
        <v>1281</v>
      </c>
      <c r="E14" s="171" t="s">
        <v>338</v>
      </c>
      <c r="F14" s="134">
        <v>44.0</v>
      </c>
      <c r="G14" s="134" t="s">
        <v>339</v>
      </c>
      <c r="H14" s="134" t="s">
        <v>839</v>
      </c>
      <c r="I14" s="134" t="s">
        <v>1282</v>
      </c>
      <c r="J14" s="42"/>
      <c r="K14" s="43"/>
      <c r="L14" s="43"/>
      <c r="M14" s="43"/>
      <c r="N14" s="43">
        <f t="shared" si="1"/>
        <v>0</v>
      </c>
      <c r="O14" s="43"/>
      <c r="P14" s="43"/>
      <c r="Q14" s="43">
        <f t="shared" si="2"/>
        <v>0</v>
      </c>
      <c r="R14" s="43"/>
      <c r="S14" s="43"/>
      <c r="T14" s="43"/>
      <c r="U14" s="43"/>
      <c r="V14" s="43"/>
      <c r="W14" s="44"/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" t="s">
        <v>1283</v>
      </c>
      <c r="C15" s="37" t="s">
        <v>1284</v>
      </c>
      <c r="D15" s="37" t="s">
        <v>1285</v>
      </c>
      <c r="E15" s="171" t="s">
        <v>338</v>
      </c>
      <c r="F15" s="134">
        <v>44.0</v>
      </c>
      <c r="G15" s="134" t="s">
        <v>339</v>
      </c>
      <c r="H15" s="134" t="s">
        <v>833</v>
      </c>
      <c r="I15" s="134" t="s">
        <v>1286</v>
      </c>
      <c r="J15" s="54">
        <v>27.0</v>
      </c>
      <c r="K15" s="55">
        <v>23.0</v>
      </c>
      <c r="L15" s="55">
        <v>0.0</v>
      </c>
      <c r="M15" s="55">
        <v>0.0</v>
      </c>
      <c r="N15" s="43">
        <f t="shared" si="1"/>
        <v>0</v>
      </c>
      <c r="O15" s="55">
        <v>4.0</v>
      </c>
      <c r="P15" s="55">
        <v>4.0</v>
      </c>
      <c r="Q15" s="43">
        <f t="shared" si="2"/>
        <v>8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1</v>
      </c>
      <c r="AC15" s="62"/>
      <c r="AD15" s="62"/>
    </row>
    <row r="16" ht="13.5" customHeight="1">
      <c r="A16" s="28">
        <v>10.0</v>
      </c>
      <c r="B16" s="37" t="s">
        <v>1287</v>
      </c>
      <c r="C16" s="37" t="s">
        <v>409</v>
      </c>
      <c r="D16" s="37" t="s">
        <v>986</v>
      </c>
      <c r="E16" s="171" t="s">
        <v>338</v>
      </c>
      <c r="F16" s="134">
        <v>43.0</v>
      </c>
      <c r="G16" s="134" t="s">
        <v>339</v>
      </c>
      <c r="H16" s="134" t="s">
        <v>833</v>
      </c>
      <c r="I16" s="134" t="s">
        <v>1288</v>
      </c>
      <c r="J16" s="54">
        <v>27.0</v>
      </c>
      <c r="K16" s="55">
        <v>26.0</v>
      </c>
      <c r="L16" s="55">
        <v>0.0</v>
      </c>
      <c r="M16" s="55">
        <v>0.0</v>
      </c>
      <c r="N16" s="43">
        <f t="shared" si="1"/>
        <v>0</v>
      </c>
      <c r="O16" s="55">
        <v>5.0</v>
      </c>
      <c r="P16" s="55">
        <v>1.0</v>
      </c>
      <c r="Q16" s="43">
        <f t="shared" si="2"/>
        <v>6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1</v>
      </c>
      <c r="AC16" s="34"/>
      <c r="AD16" s="34"/>
    </row>
    <row r="17" ht="13.5" customHeight="1">
      <c r="A17" s="28">
        <v>11.0</v>
      </c>
      <c r="B17" s="37" t="s">
        <v>445</v>
      </c>
      <c r="C17" s="37" t="s">
        <v>1289</v>
      </c>
      <c r="D17" s="37" t="s">
        <v>1290</v>
      </c>
      <c r="E17" s="171" t="s">
        <v>338</v>
      </c>
      <c r="F17" s="134">
        <v>28.0</v>
      </c>
      <c r="G17" s="134" t="s">
        <v>339</v>
      </c>
      <c r="H17" s="134" t="s">
        <v>340</v>
      </c>
      <c r="I17" s="134" t="s">
        <v>1291</v>
      </c>
      <c r="J17" s="54">
        <v>27.0</v>
      </c>
      <c r="K17" s="55">
        <v>27.0</v>
      </c>
      <c r="L17" s="55">
        <v>0.0</v>
      </c>
      <c r="M17" s="55">
        <v>0.0</v>
      </c>
      <c r="N17" s="43">
        <f t="shared" si="1"/>
        <v>0</v>
      </c>
      <c r="O17" s="55">
        <v>5.0</v>
      </c>
      <c r="P17" s="55">
        <v>0.0</v>
      </c>
      <c r="Q17" s="43">
        <f t="shared" si="2"/>
        <v>5</v>
      </c>
      <c r="R17" s="43"/>
      <c r="S17" s="55" t="s">
        <v>277</v>
      </c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" t="s">
        <v>1292</v>
      </c>
      <c r="C18" s="37" t="s">
        <v>1293</v>
      </c>
      <c r="D18" s="37" t="s">
        <v>186</v>
      </c>
      <c r="E18" s="171" t="s">
        <v>338</v>
      </c>
      <c r="F18" s="134">
        <v>48.0</v>
      </c>
      <c r="G18" s="134" t="s">
        <v>339</v>
      </c>
      <c r="H18" s="134" t="s">
        <v>839</v>
      </c>
      <c r="I18" s="134" t="s">
        <v>1294</v>
      </c>
      <c r="J18" s="54">
        <v>30.0</v>
      </c>
      <c r="K18" s="55">
        <v>26.0</v>
      </c>
      <c r="L18" s="55">
        <v>0.0</v>
      </c>
      <c r="M18" s="55">
        <v>0.0</v>
      </c>
      <c r="N18" s="43">
        <f t="shared" si="1"/>
        <v>0</v>
      </c>
      <c r="O18" s="55">
        <v>2.0</v>
      </c>
      <c r="P18" s="55">
        <v>4.0</v>
      </c>
      <c r="Q18" s="43">
        <f t="shared" si="2"/>
        <v>6</v>
      </c>
      <c r="R18" s="43"/>
      <c r="S18" s="43"/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8</v>
      </c>
      <c r="AC18" s="34"/>
      <c r="AD18" s="34"/>
    </row>
    <row r="19" ht="13.5" customHeight="1">
      <c r="A19" s="28">
        <v>13.0</v>
      </c>
      <c r="B19" s="37" t="s">
        <v>1295</v>
      </c>
      <c r="C19" s="37" t="s">
        <v>1193</v>
      </c>
      <c r="D19" s="37" t="s">
        <v>1296</v>
      </c>
      <c r="E19" s="171" t="s">
        <v>338</v>
      </c>
      <c r="F19" s="134">
        <v>38.0</v>
      </c>
      <c r="G19" s="134" t="s">
        <v>339</v>
      </c>
      <c r="H19" s="134" t="s">
        <v>839</v>
      </c>
      <c r="I19" s="134" t="s">
        <v>1297</v>
      </c>
      <c r="J19" s="54">
        <v>28.0</v>
      </c>
      <c r="K19" s="55">
        <v>24.0</v>
      </c>
      <c r="L19" s="55">
        <v>0.0</v>
      </c>
      <c r="M19" s="55">
        <v>0.0</v>
      </c>
      <c r="N19" s="43">
        <f t="shared" si="1"/>
        <v>0</v>
      </c>
      <c r="O19" s="55">
        <v>4.0</v>
      </c>
      <c r="P19" s="55">
        <v>4.0</v>
      </c>
      <c r="Q19" s="43">
        <f t="shared" si="2"/>
        <v>8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" t="s">
        <v>1298</v>
      </c>
      <c r="C20" s="37" t="s">
        <v>1299</v>
      </c>
      <c r="D20" s="37" t="s">
        <v>1300</v>
      </c>
      <c r="E20" s="171" t="s">
        <v>338</v>
      </c>
      <c r="F20" s="134">
        <v>55.0</v>
      </c>
      <c r="G20" s="134" t="s">
        <v>339</v>
      </c>
      <c r="H20" s="134" t="s">
        <v>833</v>
      </c>
      <c r="I20" s="134" t="s">
        <v>1301</v>
      </c>
      <c r="J20" s="42"/>
      <c r="K20" s="43"/>
      <c r="L20" s="43"/>
      <c r="M20" s="43"/>
      <c r="N20" s="43">
        <f t="shared" si="1"/>
        <v>0</v>
      </c>
      <c r="O20" s="43"/>
      <c r="P20" s="43"/>
      <c r="Q20" s="43">
        <f t="shared" si="2"/>
        <v>0</v>
      </c>
      <c r="R20" s="43"/>
      <c r="S20" s="43"/>
      <c r="T20" s="43"/>
      <c r="U20" s="43"/>
      <c r="V20" s="43"/>
      <c r="W20" s="44"/>
      <c r="Z20" s="34"/>
      <c r="AA20" s="61" t="s">
        <v>97</v>
      </c>
      <c r="AB20" s="66">
        <f>COUNTIF(S7:S157, "RPDUL")</f>
        <v>2</v>
      </c>
      <c r="AC20" s="34"/>
      <c r="AD20" s="34"/>
    </row>
    <row r="21" ht="13.5" customHeight="1">
      <c r="A21" s="28">
        <v>15.0</v>
      </c>
      <c r="B21" s="37" t="s">
        <v>1302</v>
      </c>
      <c r="C21" s="37" t="s">
        <v>1303</v>
      </c>
      <c r="D21" s="37" t="s">
        <v>1304</v>
      </c>
      <c r="E21" s="171" t="s">
        <v>338</v>
      </c>
      <c r="F21" s="134">
        <v>45.0</v>
      </c>
      <c r="G21" s="134" t="s">
        <v>385</v>
      </c>
      <c r="H21" s="134" t="s">
        <v>833</v>
      </c>
      <c r="I21" s="134" t="s">
        <v>1305</v>
      </c>
      <c r="J21" s="54">
        <v>27.0</v>
      </c>
      <c r="K21" s="55">
        <v>15.0</v>
      </c>
      <c r="L21" s="55">
        <v>2.0</v>
      </c>
      <c r="M21" s="55">
        <v>10.0</v>
      </c>
      <c r="N21" s="43">
        <f t="shared" si="1"/>
        <v>12</v>
      </c>
      <c r="O21" s="55">
        <v>5.0</v>
      </c>
      <c r="P21" s="55">
        <v>0.0</v>
      </c>
      <c r="Q21" s="43">
        <f t="shared" si="2"/>
        <v>17</v>
      </c>
      <c r="R21" s="43"/>
      <c r="S21" s="43"/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37" t="s">
        <v>1302</v>
      </c>
      <c r="C22" s="37" t="s">
        <v>1306</v>
      </c>
      <c r="D22" s="37" t="s">
        <v>1307</v>
      </c>
      <c r="E22" s="171" t="s">
        <v>338</v>
      </c>
      <c r="F22" s="134">
        <v>37.0</v>
      </c>
      <c r="G22" s="134" t="s">
        <v>339</v>
      </c>
      <c r="H22" s="134" t="s">
        <v>1308</v>
      </c>
      <c r="I22" s="163" t="s">
        <v>1309</v>
      </c>
      <c r="J22" s="54">
        <v>28.0</v>
      </c>
      <c r="K22" s="55">
        <v>25.0</v>
      </c>
      <c r="L22" s="55">
        <v>0.0</v>
      </c>
      <c r="M22" s="55">
        <v>3.0</v>
      </c>
      <c r="N22" s="43">
        <f t="shared" si="1"/>
        <v>3</v>
      </c>
      <c r="O22" s="55">
        <v>4.0</v>
      </c>
      <c r="P22" s="55">
        <v>0.0</v>
      </c>
      <c r="Q22" s="43">
        <f t="shared" si="2"/>
        <v>7</v>
      </c>
      <c r="R22" s="43"/>
      <c r="S22" s="43"/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37" t="s">
        <v>1255</v>
      </c>
      <c r="C23" s="37" t="s">
        <v>1310</v>
      </c>
      <c r="D23" s="37" t="s">
        <v>1311</v>
      </c>
      <c r="E23" s="171" t="s">
        <v>338</v>
      </c>
      <c r="F23" s="134">
        <v>54.0</v>
      </c>
      <c r="G23" s="134" t="s">
        <v>339</v>
      </c>
      <c r="H23" s="134" t="s">
        <v>1312</v>
      </c>
      <c r="I23" s="134" t="s">
        <v>1313</v>
      </c>
      <c r="J23" s="54">
        <v>28.0</v>
      </c>
      <c r="K23" s="55">
        <v>19.0</v>
      </c>
      <c r="L23" s="55">
        <v>0.0</v>
      </c>
      <c r="M23" s="55">
        <v>0.0</v>
      </c>
      <c r="N23" s="43">
        <f t="shared" si="1"/>
        <v>0</v>
      </c>
      <c r="O23" s="55">
        <v>8.0</v>
      </c>
      <c r="P23" s="55">
        <v>5.0</v>
      </c>
      <c r="Q23" s="43">
        <f t="shared" si="2"/>
        <v>13</v>
      </c>
      <c r="R23" s="43"/>
      <c r="S23" s="55" t="s">
        <v>88</v>
      </c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4</v>
      </c>
      <c r="AC23" s="34"/>
      <c r="AD23" s="34"/>
    </row>
    <row r="24" ht="13.5" customHeight="1">
      <c r="A24" s="28">
        <v>18.0</v>
      </c>
      <c r="B24" s="37" t="s">
        <v>1314</v>
      </c>
      <c r="C24" s="37" t="s">
        <v>1315</v>
      </c>
      <c r="D24" s="37" t="s">
        <v>1316</v>
      </c>
      <c r="E24" s="171" t="s">
        <v>338</v>
      </c>
      <c r="F24" s="134">
        <v>42.0</v>
      </c>
      <c r="G24" s="134" t="s">
        <v>339</v>
      </c>
      <c r="H24" s="134" t="s">
        <v>368</v>
      </c>
      <c r="I24" s="163" t="s">
        <v>1317</v>
      </c>
      <c r="J24" s="54">
        <v>28.0</v>
      </c>
      <c r="K24" s="55">
        <v>22.0</v>
      </c>
      <c r="L24" s="55">
        <v>1.0</v>
      </c>
      <c r="M24" s="55">
        <v>2.0</v>
      </c>
      <c r="N24" s="43">
        <f t="shared" si="1"/>
        <v>3</v>
      </c>
      <c r="O24" s="55">
        <v>4.0</v>
      </c>
      <c r="P24" s="55">
        <v>2.0</v>
      </c>
      <c r="Q24" s="55">
        <v>3.0</v>
      </c>
      <c r="R24" s="43"/>
      <c r="S24" s="43"/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37" t="s">
        <v>1318</v>
      </c>
      <c r="C25" s="37" t="s">
        <v>1319</v>
      </c>
      <c r="D25" s="37" t="s">
        <v>1320</v>
      </c>
      <c r="E25" s="171" t="s">
        <v>338</v>
      </c>
      <c r="F25" s="134">
        <v>60.0</v>
      </c>
      <c r="G25" s="205" t="s">
        <v>339</v>
      </c>
      <c r="H25" s="134" t="s">
        <v>1321</v>
      </c>
      <c r="I25" s="134" t="s">
        <v>1322</v>
      </c>
      <c r="J25" s="54">
        <v>24.0</v>
      </c>
      <c r="K25" s="55">
        <v>19.0</v>
      </c>
      <c r="L25" s="55">
        <v>0.0</v>
      </c>
      <c r="M25" s="55">
        <v>3.0</v>
      </c>
      <c r="N25" s="43">
        <f t="shared" si="1"/>
        <v>3</v>
      </c>
      <c r="O25" s="55">
        <v>8.0</v>
      </c>
      <c r="P25" s="55">
        <v>2.0</v>
      </c>
      <c r="Q25" s="43">
        <f t="shared" ref="Q25:Q82" si="3">SUM(N25,O25,P25)</f>
        <v>13</v>
      </c>
      <c r="R25" s="43"/>
      <c r="S25" s="55" t="s">
        <v>97</v>
      </c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37" t="s">
        <v>1007</v>
      </c>
      <c r="C26" s="37" t="s">
        <v>1323</v>
      </c>
      <c r="D26" s="37" t="s">
        <v>941</v>
      </c>
      <c r="E26" s="171" t="s">
        <v>338</v>
      </c>
      <c r="F26" s="134">
        <v>33.0</v>
      </c>
      <c r="G26" s="134" t="s">
        <v>339</v>
      </c>
      <c r="H26" s="134" t="s">
        <v>340</v>
      </c>
      <c r="I26" s="134">
        <v>9.23429894E9</v>
      </c>
      <c r="J26" s="54">
        <v>30.0</v>
      </c>
      <c r="K26" s="55">
        <v>28.0</v>
      </c>
      <c r="L26" s="55">
        <v>0.0</v>
      </c>
      <c r="M26" s="55">
        <v>1.0</v>
      </c>
      <c r="N26" s="43">
        <f t="shared" si="1"/>
        <v>1</v>
      </c>
      <c r="O26" s="55">
        <v>2.0</v>
      </c>
      <c r="P26" s="55">
        <v>1.0</v>
      </c>
      <c r="Q26" s="43">
        <f t="shared" si="3"/>
        <v>4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37" t="s">
        <v>1324</v>
      </c>
      <c r="C27" s="37" t="s">
        <v>1325</v>
      </c>
      <c r="D27" s="37" t="s">
        <v>1326</v>
      </c>
      <c r="E27" s="171" t="s">
        <v>338</v>
      </c>
      <c r="F27" s="134">
        <v>33.0</v>
      </c>
      <c r="G27" s="134" t="s">
        <v>339</v>
      </c>
      <c r="H27" s="134" t="s">
        <v>839</v>
      </c>
      <c r="I27" s="134" t="s">
        <v>1327</v>
      </c>
      <c r="J27" s="54">
        <v>27.0</v>
      </c>
      <c r="K27" s="55">
        <v>24.0</v>
      </c>
      <c r="L27" s="55">
        <v>1.0</v>
      </c>
      <c r="M27" s="55">
        <v>2.0</v>
      </c>
      <c r="N27" s="43">
        <f t="shared" si="1"/>
        <v>3</v>
      </c>
      <c r="O27" s="55">
        <v>5.0</v>
      </c>
      <c r="P27" s="55">
        <v>0.0</v>
      </c>
      <c r="Q27" s="43">
        <f t="shared" si="3"/>
        <v>8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37" t="s">
        <v>250</v>
      </c>
      <c r="C28" s="37" t="s">
        <v>1328</v>
      </c>
      <c r="D28" s="37" t="s">
        <v>112</v>
      </c>
      <c r="E28" s="171" t="s">
        <v>338</v>
      </c>
      <c r="F28" s="134">
        <v>30.0</v>
      </c>
      <c r="G28" s="134" t="s">
        <v>339</v>
      </c>
      <c r="H28" s="134" t="s">
        <v>833</v>
      </c>
      <c r="I28" s="134" t="s">
        <v>1329</v>
      </c>
      <c r="J28" s="54">
        <v>30.0</v>
      </c>
      <c r="K28" s="55">
        <v>29.0</v>
      </c>
      <c r="L28" s="55">
        <v>0.0</v>
      </c>
      <c r="M28" s="55">
        <v>0.0</v>
      </c>
      <c r="N28" s="43">
        <f t="shared" si="1"/>
        <v>0</v>
      </c>
      <c r="O28" s="55">
        <v>2.0</v>
      </c>
      <c r="P28" s="55">
        <v>1.0</v>
      </c>
      <c r="Q28" s="43">
        <f t="shared" si="3"/>
        <v>3</v>
      </c>
      <c r="R28" s="43"/>
      <c r="S28" s="43"/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37" t="s">
        <v>1330</v>
      </c>
      <c r="C29" s="37" t="s">
        <v>1331</v>
      </c>
      <c r="D29" s="37" t="s">
        <v>834</v>
      </c>
      <c r="E29" s="171" t="s">
        <v>338</v>
      </c>
      <c r="F29" s="134">
        <v>49.0</v>
      </c>
      <c r="G29" s="134" t="s">
        <v>339</v>
      </c>
      <c r="H29" s="134" t="s">
        <v>833</v>
      </c>
      <c r="I29" s="134" t="s">
        <v>1332</v>
      </c>
      <c r="J29" s="54">
        <v>16.0</v>
      </c>
      <c r="K29" s="55">
        <v>14.0</v>
      </c>
      <c r="L29" s="55">
        <v>0.0</v>
      </c>
      <c r="M29" s="55">
        <v>0.0</v>
      </c>
      <c r="N29" s="43">
        <f t="shared" si="1"/>
        <v>0</v>
      </c>
      <c r="O29" s="55">
        <v>16.0</v>
      </c>
      <c r="P29" s="55">
        <v>2.0</v>
      </c>
      <c r="Q29" s="43">
        <f t="shared" si="3"/>
        <v>18</v>
      </c>
      <c r="R29" s="43"/>
      <c r="S29" s="55" t="s">
        <v>88</v>
      </c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37" t="s">
        <v>1333</v>
      </c>
      <c r="C30" s="37" t="s">
        <v>1334</v>
      </c>
      <c r="D30" s="37" t="s">
        <v>1335</v>
      </c>
      <c r="E30" s="171" t="s">
        <v>338</v>
      </c>
      <c r="F30" s="134">
        <v>35.0</v>
      </c>
      <c r="G30" s="134" t="s">
        <v>339</v>
      </c>
      <c r="H30" s="134" t="s">
        <v>340</v>
      </c>
      <c r="I30" s="134" t="s">
        <v>1336</v>
      </c>
      <c r="J30" s="54">
        <v>26.0</v>
      </c>
      <c r="K30" s="55">
        <v>22.0</v>
      </c>
      <c r="L30" s="55">
        <v>0.0</v>
      </c>
      <c r="M30" s="55">
        <v>4.0</v>
      </c>
      <c r="N30" s="43">
        <f t="shared" si="1"/>
        <v>4</v>
      </c>
      <c r="O30" s="55">
        <v>6.0</v>
      </c>
      <c r="P30" s="55">
        <v>0.0</v>
      </c>
      <c r="Q30" s="43">
        <f t="shared" si="3"/>
        <v>10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37" t="s">
        <v>1337</v>
      </c>
      <c r="C31" s="37" t="s">
        <v>1338</v>
      </c>
      <c r="D31" s="37" t="s">
        <v>1339</v>
      </c>
      <c r="E31" s="171" t="s">
        <v>338</v>
      </c>
      <c r="F31" s="134">
        <v>37.0</v>
      </c>
      <c r="G31" s="134" t="s">
        <v>339</v>
      </c>
      <c r="H31" s="134" t="s">
        <v>833</v>
      </c>
      <c r="I31" s="134" t="s">
        <v>1340</v>
      </c>
      <c r="J31" s="54">
        <v>25.0</v>
      </c>
      <c r="K31" s="55">
        <v>0.0</v>
      </c>
      <c r="L31" s="55">
        <v>19.0</v>
      </c>
      <c r="M31" s="55">
        <v>0.0</v>
      </c>
      <c r="N31" s="43">
        <f t="shared" si="1"/>
        <v>19</v>
      </c>
      <c r="O31" s="55">
        <v>3.0</v>
      </c>
      <c r="P31" s="55">
        <v>6.0</v>
      </c>
      <c r="Q31" s="43">
        <f t="shared" si="3"/>
        <v>28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37" t="s">
        <v>1341</v>
      </c>
      <c r="C32" s="37" t="s">
        <v>1342</v>
      </c>
      <c r="D32" s="37" t="s">
        <v>1343</v>
      </c>
      <c r="E32" s="171" t="s">
        <v>338</v>
      </c>
      <c r="F32" s="134">
        <v>37.0</v>
      </c>
      <c r="G32" s="134" t="s">
        <v>339</v>
      </c>
      <c r="H32" s="134" t="s">
        <v>839</v>
      </c>
      <c r="I32" s="134" t="s">
        <v>1344</v>
      </c>
      <c r="J32" s="54">
        <v>27.0</v>
      </c>
      <c r="K32" s="55">
        <v>22.0</v>
      </c>
      <c r="L32" s="55">
        <v>0.0</v>
      </c>
      <c r="M32" s="55">
        <v>2.0</v>
      </c>
      <c r="N32" s="43">
        <f t="shared" si="1"/>
        <v>2</v>
      </c>
      <c r="O32" s="55">
        <v>4.0</v>
      </c>
      <c r="P32" s="55">
        <v>3.0</v>
      </c>
      <c r="Q32" s="43">
        <f t="shared" si="3"/>
        <v>9</v>
      </c>
      <c r="R32" s="43"/>
      <c r="S32" s="43"/>
      <c r="T32" s="43"/>
      <c r="U32" s="43"/>
      <c r="V32" s="55" t="s">
        <v>1345</v>
      </c>
      <c r="W32" s="56" t="s">
        <v>46</v>
      </c>
      <c r="Z32" s="61" t="s">
        <v>139</v>
      </c>
      <c r="AA32" s="61" t="s">
        <v>140</v>
      </c>
      <c r="AB32" s="66">
        <f>COUNTIF(T7:T157, "G")</f>
        <v>1</v>
      </c>
      <c r="AC32" s="34"/>
      <c r="AD32" s="34"/>
    </row>
    <row r="33" ht="13.5" customHeight="1">
      <c r="A33" s="28">
        <v>27.0</v>
      </c>
      <c r="B33" s="37" t="s">
        <v>1346</v>
      </c>
      <c r="C33" s="37" t="s">
        <v>1347</v>
      </c>
      <c r="D33" s="37" t="s">
        <v>267</v>
      </c>
      <c r="E33" s="171" t="s">
        <v>338</v>
      </c>
      <c r="F33" s="134">
        <v>47.0</v>
      </c>
      <c r="G33" s="134" t="s">
        <v>385</v>
      </c>
      <c r="H33" s="134" t="s">
        <v>839</v>
      </c>
      <c r="I33" s="134" t="s">
        <v>1348</v>
      </c>
      <c r="J33" s="54">
        <v>31.0</v>
      </c>
      <c r="K33" s="55">
        <v>26.0</v>
      </c>
      <c r="L33" s="55">
        <v>0.0</v>
      </c>
      <c r="M33" s="55">
        <v>1.0</v>
      </c>
      <c r="N33" s="43">
        <f t="shared" si="1"/>
        <v>1</v>
      </c>
      <c r="O33" s="55">
        <v>1.0</v>
      </c>
      <c r="P33" s="55">
        <v>4.0</v>
      </c>
      <c r="Q33" s="43">
        <f t="shared" si="3"/>
        <v>6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37" t="s">
        <v>1349</v>
      </c>
      <c r="C34" s="37" t="s">
        <v>1350</v>
      </c>
      <c r="D34" s="37" t="s">
        <v>1351</v>
      </c>
      <c r="E34" s="171" t="s">
        <v>338</v>
      </c>
      <c r="F34" s="134">
        <v>30.0</v>
      </c>
      <c r="G34" s="134" t="s">
        <v>339</v>
      </c>
      <c r="H34" s="134" t="s">
        <v>839</v>
      </c>
      <c r="I34" s="134" t="s">
        <v>1352</v>
      </c>
      <c r="J34" s="54">
        <v>29.0</v>
      </c>
      <c r="K34" s="55">
        <v>25.0</v>
      </c>
      <c r="L34" s="55">
        <v>0.0</v>
      </c>
      <c r="M34" s="55">
        <v>1.0</v>
      </c>
      <c r="N34" s="43">
        <f t="shared" si="1"/>
        <v>1</v>
      </c>
      <c r="O34" s="55">
        <v>1.0</v>
      </c>
      <c r="P34" s="55">
        <v>3.0</v>
      </c>
      <c r="Q34" s="43">
        <f t="shared" si="3"/>
        <v>5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37" t="s">
        <v>1353</v>
      </c>
      <c r="C35" s="37" t="s">
        <v>1354</v>
      </c>
      <c r="D35" s="37" t="s">
        <v>1355</v>
      </c>
      <c r="E35" s="171" t="s">
        <v>338</v>
      </c>
      <c r="F35" s="134">
        <v>50.0</v>
      </c>
      <c r="G35" s="205" t="s">
        <v>385</v>
      </c>
      <c r="H35" s="134" t="s">
        <v>833</v>
      </c>
      <c r="I35" s="134" t="s">
        <v>1356</v>
      </c>
      <c r="J35" s="161">
        <v>30.0</v>
      </c>
      <c r="K35" s="55">
        <v>25.0</v>
      </c>
      <c r="L35" s="55">
        <v>0.0</v>
      </c>
      <c r="M35" s="55">
        <v>5.0</v>
      </c>
      <c r="N35" s="43">
        <f t="shared" si="1"/>
        <v>5</v>
      </c>
      <c r="O35" s="55">
        <v>2.0</v>
      </c>
      <c r="P35" s="55">
        <v>0.0</v>
      </c>
      <c r="Q35" s="43">
        <f t="shared" si="3"/>
        <v>7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37" t="s">
        <v>1353</v>
      </c>
      <c r="C36" s="37" t="s">
        <v>1357</v>
      </c>
      <c r="D36" s="37" t="s">
        <v>1358</v>
      </c>
      <c r="E36" s="171" t="s">
        <v>338</v>
      </c>
      <c r="F36" s="134">
        <v>50.0</v>
      </c>
      <c r="G36" s="205" t="s">
        <v>339</v>
      </c>
      <c r="H36" s="134" t="s">
        <v>340</v>
      </c>
      <c r="I36" s="134" t="s">
        <v>1359</v>
      </c>
      <c r="J36" s="87">
        <v>26.0</v>
      </c>
      <c r="K36" s="55">
        <v>18.0</v>
      </c>
      <c r="L36" s="55">
        <v>1.0</v>
      </c>
      <c r="M36" s="55">
        <v>0.0</v>
      </c>
      <c r="N36" s="43">
        <f t="shared" si="1"/>
        <v>1</v>
      </c>
      <c r="O36" s="55">
        <v>6.0</v>
      </c>
      <c r="P36" s="55">
        <v>7.0</v>
      </c>
      <c r="Q36" s="43">
        <f t="shared" si="3"/>
        <v>14</v>
      </c>
      <c r="R36" s="43"/>
      <c r="S36" s="55" t="s">
        <v>1360</v>
      </c>
      <c r="T36" s="43"/>
      <c r="U36" s="43"/>
      <c r="V36" s="55" t="s">
        <v>1361</v>
      </c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37" t="s">
        <v>1362</v>
      </c>
      <c r="C37" s="37" t="s">
        <v>1092</v>
      </c>
      <c r="D37" s="37" t="s">
        <v>1363</v>
      </c>
      <c r="E37" s="171" t="s">
        <v>338</v>
      </c>
      <c r="F37" s="134">
        <v>35.0</v>
      </c>
      <c r="G37" s="134" t="s">
        <v>339</v>
      </c>
      <c r="H37" s="134" t="s">
        <v>839</v>
      </c>
      <c r="I37" s="134" t="s">
        <v>1364</v>
      </c>
      <c r="J37" s="87">
        <v>26.0</v>
      </c>
      <c r="K37" s="55">
        <v>15.0</v>
      </c>
      <c r="L37" s="55">
        <v>2.0</v>
      </c>
      <c r="M37" s="55">
        <v>2.0</v>
      </c>
      <c r="N37" s="43">
        <f t="shared" si="1"/>
        <v>4</v>
      </c>
      <c r="O37" s="55">
        <v>6.0</v>
      </c>
      <c r="P37" s="55">
        <v>7.0</v>
      </c>
      <c r="Q37" s="43">
        <f t="shared" si="3"/>
        <v>17</v>
      </c>
      <c r="R37" s="43"/>
      <c r="S37" s="43"/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37" t="s">
        <v>1216</v>
      </c>
      <c r="C38" s="37" t="s">
        <v>1365</v>
      </c>
      <c r="D38" s="37" t="s">
        <v>1366</v>
      </c>
      <c r="E38" s="171" t="s">
        <v>338</v>
      </c>
      <c r="F38" s="134">
        <v>44.0</v>
      </c>
      <c r="G38" s="134" t="s">
        <v>339</v>
      </c>
      <c r="H38" s="134" t="s">
        <v>1308</v>
      </c>
      <c r="I38" s="134" t="s">
        <v>1367</v>
      </c>
      <c r="J38" s="87">
        <v>29.0</v>
      </c>
      <c r="K38" s="55">
        <v>25.0</v>
      </c>
      <c r="L38" s="55">
        <v>0.0</v>
      </c>
      <c r="M38" s="55">
        <v>0.0</v>
      </c>
      <c r="N38" s="43">
        <f t="shared" si="1"/>
        <v>0</v>
      </c>
      <c r="O38" s="55">
        <v>3.0</v>
      </c>
      <c r="P38" s="55">
        <v>4.0</v>
      </c>
      <c r="Q38" s="43">
        <f t="shared" si="3"/>
        <v>7</v>
      </c>
      <c r="R38" s="43"/>
      <c r="S38" s="43"/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37" t="s">
        <v>1138</v>
      </c>
      <c r="C39" s="37" t="s">
        <v>1368</v>
      </c>
      <c r="D39" s="37" t="s">
        <v>1369</v>
      </c>
      <c r="E39" s="171" t="s">
        <v>338</v>
      </c>
      <c r="F39" s="134">
        <v>44.0</v>
      </c>
      <c r="G39" s="134" t="s">
        <v>339</v>
      </c>
      <c r="H39" s="134" t="s">
        <v>340</v>
      </c>
      <c r="I39" s="134" t="s">
        <v>1370</v>
      </c>
      <c r="J39" s="83"/>
      <c r="K39" s="43"/>
      <c r="L39" s="43"/>
      <c r="M39" s="43"/>
      <c r="N39" s="43">
        <f t="shared" si="1"/>
        <v>0</v>
      </c>
      <c r="O39" s="43"/>
      <c r="P39" s="43"/>
      <c r="Q39" s="43">
        <f t="shared" si="3"/>
        <v>0</v>
      </c>
      <c r="R39" s="43"/>
      <c r="S39" s="43"/>
      <c r="T39" s="43"/>
      <c r="U39" s="43"/>
      <c r="V39" s="43"/>
      <c r="W39" s="44"/>
      <c r="Z39" s="61"/>
      <c r="AA39" s="61"/>
      <c r="AB39" s="66"/>
      <c r="AC39" s="34"/>
      <c r="AD39" s="34"/>
    </row>
    <row r="40" ht="13.5" customHeight="1">
      <c r="A40" s="28">
        <v>34.0</v>
      </c>
      <c r="B40" s="37" t="s">
        <v>1371</v>
      </c>
      <c r="C40" s="37" t="s">
        <v>459</v>
      </c>
      <c r="D40" s="37" t="s">
        <v>1372</v>
      </c>
      <c r="E40" s="171" t="s">
        <v>338</v>
      </c>
      <c r="F40" s="134">
        <v>42.0</v>
      </c>
      <c r="G40" s="134" t="s">
        <v>339</v>
      </c>
      <c r="H40" s="134" t="s">
        <v>340</v>
      </c>
      <c r="I40" s="134" t="s">
        <v>1373</v>
      </c>
      <c r="J40" s="87">
        <v>26.0</v>
      </c>
      <c r="K40" s="55">
        <v>21.0</v>
      </c>
      <c r="L40" s="55">
        <v>0.0</v>
      </c>
      <c r="M40" s="55">
        <v>0.0</v>
      </c>
      <c r="N40" s="43">
        <f t="shared" si="1"/>
        <v>0</v>
      </c>
      <c r="O40" s="55">
        <v>6.0</v>
      </c>
      <c r="P40" s="55">
        <v>5.0</v>
      </c>
      <c r="Q40" s="43">
        <f t="shared" si="3"/>
        <v>11</v>
      </c>
      <c r="R40" s="43"/>
      <c r="S40" s="43"/>
      <c r="T40" s="43"/>
      <c r="U40" s="43"/>
      <c r="V40" s="43"/>
      <c r="W40" s="56" t="s">
        <v>46</v>
      </c>
      <c r="Y40" s="138" t="s">
        <v>116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37" t="s">
        <v>1374</v>
      </c>
      <c r="C41" s="37" t="s">
        <v>1375</v>
      </c>
      <c r="D41" s="37" t="s">
        <v>1272</v>
      </c>
      <c r="E41" s="171" t="s">
        <v>338</v>
      </c>
      <c r="F41" s="134">
        <v>57.0</v>
      </c>
      <c r="G41" s="134" t="s">
        <v>339</v>
      </c>
      <c r="H41" s="134" t="s">
        <v>833</v>
      </c>
      <c r="I41" s="134" t="s">
        <v>1376</v>
      </c>
      <c r="J41" s="87">
        <v>9.0</v>
      </c>
      <c r="K41" s="55">
        <v>7.0</v>
      </c>
      <c r="L41" s="55">
        <v>2.0</v>
      </c>
      <c r="M41" s="55">
        <v>0.0</v>
      </c>
      <c r="N41" s="43">
        <f t="shared" si="1"/>
        <v>2</v>
      </c>
      <c r="O41" s="55">
        <v>23.0</v>
      </c>
      <c r="P41" s="55">
        <v>0.0</v>
      </c>
      <c r="Q41" s="43">
        <f t="shared" si="3"/>
        <v>25</v>
      </c>
      <c r="R41" s="43"/>
      <c r="S41" s="43"/>
      <c r="T41" s="55" t="s">
        <v>145</v>
      </c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37" t="s">
        <v>1377</v>
      </c>
      <c r="C42" s="37" t="s">
        <v>1378</v>
      </c>
      <c r="D42" s="37" t="s">
        <v>1379</v>
      </c>
      <c r="E42" s="171" t="s">
        <v>338</v>
      </c>
      <c r="F42" s="134">
        <v>47.0</v>
      </c>
      <c r="G42" s="134" t="s">
        <v>339</v>
      </c>
      <c r="H42" s="134" t="s">
        <v>839</v>
      </c>
      <c r="I42" s="134" t="s">
        <v>1380</v>
      </c>
      <c r="J42" s="87">
        <v>18.0</v>
      </c>
      <c r="K42" s="55">
        <v>12.0</v>
      </c>
      <c r="L42" s="55">
        <v>1.0</v>
      </c>
      <c r="M42" s="55">
        <v>5.0</v>
      </c>
      <c r="N42" s="43">
        <f t="shared" si="1"/>
        <v>6</v>
      </c>
      <c r="O42" s="55">
        <v>10.0</v>
      </c>
      <c r="P42" s="55">
        <v>0.0</v>
      </c>
      <c r="Q42" s="43">
        <f t="shared" si="3"/>
        <v>16</v>
      </c>
      <c r="R42" s="43"/>
      <c r="S42" s="55" t="s">
        <v>88</v>
      </c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37" t="s">
        <v>1381</v>
      </c>
      <c r="C43" s="37" t="s">
        <v>897</v>
      </c>
      <c r="D43" s="37" t="s">
        <v>1382</v>
      </c>
      <c r="E43" s="171" t="s">
        <v>338</v>
      </c>
      <c r="F43" s="134">
        <v>38.0</v>
      </c>
      <c r="G43" s="134" t="s">
        <v>339</v>
      </c>
      <c r="H43" s="134" t="s">
        <v>839</v>
      </c>
      <c r="I43" s="134" t="s">
        <v>1383</v>
      </c>
      <c r="J43" s="87">
        <v>25.0</v>
      </c>
      <c r="K43" s="55">
        <v>21.0</v>
      </c>
      <c r="L43" s="55">
        <v>0.0</v>
      </c>
      <c r="M43" s="55">
        <v>1.0</v>
      </c>
      <c r="N43" s="43">
        <f t="shared" si="1"/>
        <v>1</v>
      </c>
      <c r="O43" s="55">
        <v>7.0</v>
      </c>
      <c r="P43" s="55">
        <v>3.0</v>
      </c>
      <c r="Q43" s="43">
        <f t="shared" si="3"/>
        <v>11</v>
      </c>
      <c r="R43" s="43"/>
      <c r="S43" s="43"/>
      <c r="T43" s="43"/>
      <c r="U43" s="43"/>
      <c r="V43" s="43"/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37" t="s">
        <v>1384</v>
      </c>
      <c r="C44" s="37" t="s">
        <v>1385</v>
      </c>
      <c r="D44" s="37" t="s">
        <v>1386</v>
      </c>
      <c r="E44" s="171" t="s">
        <v>338</v>
      </c>
      <c r="F44" s="134">
        <v>30.0</v>
      </c>
      <c r="G44" s="134" t="s">
        <v>339</v>
      </c>
      <c r="H44" s="134" t="s">
        <v>340</v>
      </c>
      <c r="I44" s="134" t="s">
        <v>1387</v>
      </c>
      <c r="J44" s="87">
        <v>32.0</v>
      </c>
      <c r="K44" s="55">
        <v>30.0</v>
      </c>
      <c r="L44" s="55">
        <v>0.0</v>
      </c>
      <c r="M44" s="55">
        <v>2.0</v>
      </c>
      <c r="N44" s="43">
        <f t="shared" si="1"/>
        <v>2</v>
      </c>
      <c r="O44" s="55">
        <v>0.0</v>
      </c>
      <c r="P44" s="55">
        <v>0.0</v>
      </c>
      <c r="Q44" s="43">
        <f t="shared" si="3"/>
        <v>2</v>
      </c>
      <c r="R44" s="43"/>
      <c r="S44" s="43"/>
      <c r="T44" s="43"/>
      <c r="U44" s="43" t="s">
        <v>116</v>
      </c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37" t="s">
        <v>439</v>
      </c>
      <c r="C45" s="37" t="s">
        <v>1388</v>
      </c>
      <c r="D45" s="37" t="s">
        <v>1389</v>
      </c>
      <c r="E45" s="171" t="s">
        <v>338</v>
      </c>
      <c r="F45" s="134">
        <v>35.0</v>
      </c>
      <c r="G45" s="134" t="s">
        <v>339</v>
      </c>
      <c r="H45" s="134" t="s">
        <v>340</v>
      </c>
      <c r="I45" s="163" t="s">
        <v>1390</v>
      </c>
      <c r="J45" s="83"/>
      <c r="K45" s="43"/>
      <c r="L45" s="43"/>
      <c r="M45" s="43"/>
      <c r="N45" s="43">
        <f t="shared" si="1"/>
        <v>0</v>
      </c>
      <c r="O45" s="43"/>
      <c r="P45" s="43"/>
      <c r="Q45" s="43">
        <f t="shared" si="3"/>
        <v>0</v>
      </c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37" t="s">
        <v>1391</v>
      </c>
      <c r="C46" s="37" t="s">
        <v>1392</v>
      </c>
      <c r="D46" s="37" t="s">
        <v>1393</v>
      </c>
      <c r="E46" s="171" t="s">
        <v>338</v>
      </c>
      <c r="F46" s="134">
        <v>34.0</v>
      </c>
      <c r="G46" s="134" t="s">
        <v>339</v>
      </c>
      <c r="H46" s="134" t="s">
        <v>340</v>
      </c>
      <c r="I46" s="163" t="s">
        <v>1394</v>
      </c>
      <c r="J46" s="83"/>
      <c r="K46" s="43"/>
      <c r="L46" s="43"/>
      <c r="M46" s="43"/>
      <c r="N46" s="43">
        <f t="shared" si="1"/>
        <v>0</v>
      </c>
      <c r="O46" s="43"/>
      <c r="P46" s="43"/>
      <c r="Q46" s="43">
        <f t="shared" si="3"/>
        <v>0</v>
      </c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37" t="s">
        <v>112</v>
      </c>
      <c r="C47" s="37" t="s">
        <v>1395</v>
      </c>
      <c r="D47" s="37" t="s">
        <v>439</v>
      </c>
      <c r="E47" s="171" t="s">
        <v>338</v>
      </c>
      <c r="F47" s="134">
        <v>50.0</v>
      </c>
      <c r="G47" s="134" t="s">
        <v>339</v>
      </c>
      <c r="H47" s="134" t="s">
        <v>833</v>
      </c>
      <c r="I47" s="134" t="s">
        <v>1396</v>
      </c>
      <c r="J47" s="87">
        <v>26.0</v>
      </c>
      <c r="K47" s="55">
        <v>21.0</v>
      </c>
      <c r="L47" s="55">
        <v>0.0</v>
      </c>
      <c r="M47" s="55">
        <v>1.0</v>
      </c>
      <c r="N47" s="43">
        <f t="shared" si="1"/>
        <v>1</v>
      </c>
      <c r="O47" s="55">
        <v>6.0</v>
      </c>
      <c r="P47" s="55">
        <v>4.0</v>
      </c>
      <c r="Q47" s="43">
        <f t="shared" si="3"/>
        <v>11</v>
      </c>
      <c r="R47" s="43"/>
      <c r="S47" s="43"/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37" t="s">
        <v>1397</v>
      </c>
      <c r="C48" s="37" t="s">
        <v>1398</v>
      </c>
      <c r="D48" s="37" t="s">
        <v>1399</v>
      </c>
      <c r="E48" s="171" t="s">
        <v>338</v>
      </c>
      <c r="F48" s="134">
        <v>56.0</v>
      </c>
      <c r="G48" s="134" t="s">
        <v>339</v>
      </c>
      <c r="H48" s="134" t="s">
        <v>1400</v>
      </c>
      <c r="I48" s="134" t="s">
        <v>1401</v>
      </c>
      <c r="J48" s="87">
        <v>12.0</v>
      </c>
      <c r="K48" s="55">
        <v>0.0</v>
      </c>
      <c r="L48" s="55">
        <v>0.0</v>
      </c>
      <c r="M48" s="55">
        <v>0.0</v>
      </c>
      <c r="N48" s="43">
        <f t="shared" si="1"/>
        <v>0</v>
      </c>
      <c r="O48" s="55">
        <v>19.0</v>
      </c>
      <c r="P48" s="55">
        <v>4.0</v>
      </c>
      <c r="Q48" s="43">
        <f t="shared" si="3"/>
        <v>23</v>
      </c>
      <c r="R48" s="43"/>
      <c r="S48" s="55" t="s">
        <v>1402</v>
      </c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37" t="s">
        <v>1403</v>
      </c>
      <c r="C49" s="37" t="s">
        <v>1404</v>
      </c>
      <c r="D49" s="37" t="s">
        <v>1405</v>
      </c>
      <c r="E49" s="171" t="s">
        <v>338</v>
      </c>
      <c r="F49" s="134">
        <v>45.0</v>
      </c>
      <c r="G49" s="134" t="s">
        <v>339</v>
      </c>
      <c r="H49" s="134" t="s">
        <v>833</v>
      </c>
      <c r="I49" s="134" t="s">
        <v>1406</v>
      </c>
      <c r="J49" s="87">
        <v>30.0</v>
      </c>
      <c r="K49" s="55">
        <v>24.0</v>
      </c>
      <c r="L49" s="55">
        <v>2.0</v>
      </c>
      <c r="M49" s="55">
        <v>4.0</v>
      </c>
      <c r="N49" s="43">
        <f t="shared" si="1"/>
        <v>6</v>
      </c>
      <c r="O49" s="55">
        <v>2.0</v>
      </c>
      <c r="P49" s="55">
        <v>0.0</v>
      </c>
      <c r="Q49" s="43">
        <f t="shared" si="3"/>
        <v>8</v>
      </c>
      <c r="R49" s="43"/>
      <c r="S49" s="43"/>
      <c r="T49" s="43"/>
      <c r="U49" s="43"/>
      <c r="V49" s="55" t="s">
        <v>1407</v>
      </c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37" t="s">
        <v>1408</v>
      </c>
      <c r="C50" s="37" t="s">
        <v>1409</v>
      </c>
      <c r="D50" s="37" t="s">
        <v>1410</v>
      </c>
      <c r="E50" s="171" t="s">
        <v>338</v>
      </c>
      <c r="F50" s="134">
        <v>48.0</v>
      </c>
      <c r="G50" s="134" t="s">
        <v>339</v>
      </c>
      <c r="H50" s="134" t="s">
        <v>340</v>
      </c>
      <c r="I50" s="134" t="s">
        <v>1411</v>
      </c>
      <c r="J50" s="87">
        <v>24.0</v>
      </c>
      <c r="K50" s="55">
        <v>14.0</v>
      </c>
      <c r="L50" s="55">
        <v>0.0</v>
      </c>
      <c r="M50" s="55">
        <v>6.0</v>
      </c>
      <c r="N50" s="43">
        <f t="shared" si="1"/>
        <v>6</v>
      </c>
      <c r="O50" s="55">
        <v>8.0</v>
      </c>
      <c r="P50" s="55">
        <v>4.0</v>
      </c>
      <c r="Q50" s="43">
        <f t="shared" si="3"/>
        <v>18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7" t="s">
        <v>1412</v>
      </c>
      <c r="C51" s="37" t="s">
        <v>1413</v>
      </c>
      <c r="D51" s="37" t="s">
        <v>1414</v>
      </c>
      <c r="E51" s="171" t="s">
        <v>338</v>
      </c>
      <c r="F51" s="134">
        <v>56.0</v>
      </c>
      <c r="G51" s="134" t="s">
        <v>339</v>
      </c>
      <c r="H51" s="134" t="s">
        <v>368</v>
      </c>
      <c r="I51" s="134" t="s">
        <v>1415</v>
      </c>
      <c r="J51" s="87">
        <v>16.0</v>
      </c>
      <c r="K51" s="55">
        <v>11.0</v>
      </c>
      <c r="L51" s="55">
        <v>0.0</v>
      </c>
      <c r="M51" s="55">
        <v>0.0</v>
      </c>
      <c r="N51" s="43">
        <f t="shared" si="1"/>
        <v>0</v>
      </c>
      <c r="O51" s="55">
        <v>15.0</v>
      </c>
      <c r="P51" s="55">
        <v>5.0</v>
      </c>
      <c r="Q51" s="43">
        <f t="shared" si="3"/>
        <v>20</v>
      </c>
      <c r="R51" s="43"/>
      <c r="S51" s="55" t="s">
        <v>88</v>
      </c>
      <c r="T51" s="43"/>
      <c r="U51" s="43"/>
      <c r="V51" s="43"/>
      <c r="W51" s="56" t="s">
        <v>46</v>
      </c>
      <c r="Y51" s="138" t="s">
        <v>1416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37" t="s">
        <v>82</v>
      </c>
      <c r="C52" s="37" t="s">
        <v>1417</v>
      </c>
      <c r="D52" s="37" t="s">
        <v>477</v>
      </c>
      <c r="E52" s="171" t="s">
        <v>338</v>
      </c>
      <c r="F52" s="134">
        <v>47.0</v>
      </c>
      <c r="G52" s="134" t="s">
        <v>339</v>
      </c>
      <c r="H52" s="134" t="s">
        <v>1418</v>
      </c>
      <c r="I52" s="134" t="s">
        <v>1419</v>
      </c>
      <c r="J52" s="87">
        <v>12.0</v>
      </c>
      <c r="K52" s="55">
        <v>7.0</v>
      </c>
      <c r="L52" s="55">
        <v>0.0</v>
      </c>
      <c r="M52" s="55">
        <v>0.0</v>
      </c>
      <c r="N52" s="43">
        <f t="shared" si="1"/>
        <v>0</v>
      </c>
      <c r="O52" s="55">
        <v>20.0</v>
      </c>
      <c r="P52" s="55">
        <v>5.0</v>
      </c>
      <c r="Q52" s="43">
        <f t="shared" si="3"/>
        <v>25</v>
      </c>
      <c r="R52" s="43"/>
      <c r="S52" s="55" t="s">
        <v>88</v>
      </c>
      <c r="T52" s="43"/>
      <c r="U52" s="43"/>
      <c r="V52" s="43"/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47.0</v>
      </c>
      <c r="B53" s="37" t="s">
        <v>1420</v>
      </c>
      <c r="C53" s="37" t="s">
        <v>1421</v>
      </c>
      <c r="D53" s="37" t="s">
        <v>1422</v>
      </c>
      <c r="E53" s="171" t="s">
        <v>338</v>
      </c>
      <c r="F53" s="134">
        <v>61.0</v>
      </c>
      <c r="G53" s="134" t="s">
        <v>339</v>
      </c>
      <c r="H53" s="134" t="s">
        <v>833</v>
      </c>
      <c r="I53" s="134" t="s">
        <v>1423</v>
      </c>
      <c r="J53" s="87">
        <v>0.0</v>
      </c>
      <c r="K53" s="55">
        <v>0.0</v>
      </c>
      <c r="L53" s="55">
        <v>0.0</v>
      </c>
      <c r="M53" s="55">
        <v>0.0</v>
      </c>
      <c r="N53" s="43">
        <f t="shared" si="1"/>
        <v>0</v>
      </c>
      <c r="O53" s="55">
        <v>32.0</v>
      </c>
      <c r="P53" s="55">
        <v>0.0</v>
      </c>
      <c r="Q53" s="43">
        <f t="shared" si="3"/>
        <v>32</v>
      </c>
      <c r="R53" s="43"/>
      <c r="S53" s="55" t="s">
        <v>74</v>
      </c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37" t="s">
        <v>1424</v>
      </c>
      <c r="C54" s="37" t="s">
        <v>1425</v>
      </c>
      <c r="D54" s="37" t="s">
        <v>1426</v>
      </c>
      <c r="E54" s="171" t="s">
        <v>338</v>
      </c>
      <c r="F54" s="134">
        <v>52.0</v>
      </c>
      <c r="G54" s="134" t="s">
        <v>339</v>
      </c>
      <c r="H54" s="134" t="s">
        <v>833</v>
      </c>
      <c r="I54" s="134" t="s">
        <v>1427</v>
      </c>
      <c r="J54" s="87">
        <v>26.0</v>
      </c>
      <c r="K54" s="55">
        <v>18.0</v>
      </c>
      <c r="L54" s="55">
        <v>0.0</v>
      </c>
      <c r="M54" s="55">
        <v>8.0</v>
      </c>
      <c r="N54" s="43">
        <f t="shared" si="1"/>
        <v>8</v>
      </c>
      <c r="O54" s="55">
        <v>6.0</v>
      </c>
      <c r="P54" s="55">
        <v>0.0</v>
      </c>
      <c r="Q54" s="43">
        <f t="shared" si="3"/>
        <v>14</v>
      </c>
      <c r="R54" s="43"/>
      <c r="S54" s="43"/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37" t="s">
        <v>1428</v>
      </c>
      <c r="C55" s="37" t="s">
        <v>1429</v>
      </c>
      <c r="D55" s="37" t="s">
        <v>1430</v>
      </c>
      <c r="E55" s="171" t="s">
        <v>338</v>
      </c>
      <c r="F55" s="134">
        <v>29.0</v>
      </c>
      <c r="G55" s="134" t="s">
        <v>339</v>
      </c>
      <c r="H55" s="134" t="s">
        <v>340</v>
      </c>
      <c r="I55" s="134" t="s">
        <v>1431</v>
      </c>
      <c r="J55" s="87">
        <v>24.0</v>
      </c>
      <c r="K55" s="55">
        <v>17.0</v>
      </c>
      <c r="L55" s="55">
        <v>0.0</v>
      </c>
      <c r="M55" s="55">
        <v>4.0</v>
      </c>
      <c r="N55" s="43">
        <f t="shared" si="1"/>
        <v>4</v>
      </c>
      <c r="O55" s="55">
        <v>7.0</v>
      </c>
      <c r="P55" s="55">
        <v>3.0</v>
      </c>
      <c r="Q55" s="43">
        <f t="shared" si="3"/>
        <v>14</v>
      </c>
      <c r="R55" s="43"/>
      <c r="S55" s="55" t="s">
        <v>105</v>
      </c>
      <c r="T55" s="43"/>
      <c r="U55" s="43"/>
      <c r="V55" s="55" t="s">
        <v>1432</v>
      </c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37" t="s">
        <v>1433</v>
      </c>
      <c r="C56" s="37" t="s">
        <v>1434</v>
      </c>
      <c r="D56" s="37" t="s">
        <v>1435</v>
      </c>
      <c r="E56" s="171" t="s">
        <v>338</v>
      </c>
      <c r="F56" s="134">
        <v>57.0</v>
      </c>
      <c r="G56" s="134" t="s">
        <v>339</v>
      </c>
      <c r="H56" s="134" t="s">
        <v>839</v>
      </c>
      <c r="I56" s="134" t="s">
        <v>1436</v>
      </c>
      <c r="J56" s="87">
        <v>25.0</v>
      </c>
      <c r="K56" s="55">
        <v>21.0</v>
      </c>
      <c r="L56" s="55">
        <v>0.0</v>
      </c>
      <c r="M56" s="55">
        <v>1.0</v>
      </c>
      <c r="N56" s="43">
        <f t="shared" si="1"/>
        <v>1</v>
      </c>
      <c r="O56" s="55">
        <v>7.0</v>
      </c>
      <c r="P56" s="55">
        <v>3.0</v>
      </c>
      <c r="Q56" s="43">
        <f t="shared" si="3"/>
        <v>11</v>
      </c>
      <c r="R56" s="43"/>
      <c r="S56" s="55" t="s">
        <v>88</v>
      </c>
      <c r="T56" s="43"/>
      <c r="U56" s="43"/>
      <c r="V56" s="43"/>
      <c r="W56" s="56" t="s">
        <v>46</v>
      </c>
      <c r="Z56" s="61"/>
      <c r="AA56" s="61"/>
      <c r="AB56" s="66"/>
      <c r="AC56" s="34"/>
      <c r="AD56" s="34"/>
    </row>
    <row r="57" ht="13.5" customHeight="1">
      <c r="A57" s="28">
        <v>51.0</v>
      </c>
      <c r="B57" s="37" t="s">
        <v>1437</v>
      </c>
      <c r="C57" s="37" t="s">
        <v>1438</v>
      </c>
      <c r="D57" s="37" t="s">
        <v>1439</v>
      </c>
      <c r="E57" s="171" t="s">
        <v>338</v>
      </c>
      <c r="F57" s="134">
        <v>47.0</v>
      </c>
      <c r="G57" s="134" t="s">
        <v>385</v>
      </c>
      <c r="H57" s="134" t="s">
        <v>340</v>
      </c>
      <c r="I57" s="134" t="s">
        <v>1440</v>
      </c>
      <c r="J57" s="87">
        <v>27.0</v>
      </c>
      <c r="K57" s="55">
        <v>21.0</v>
      </c>
      <c r="L57" s="55">
        <v>1.0</v>
      </c>
      <c r="M57" s="55">
        <v>4.0</v>
      </c>
      <c r="N57" s="43">
        <f t="shared" si="1"/>
        <v>5</v>
      </c>
      <c r="O57" s="55">
        <v>6.0</v>
      </c>
      <c r="P57" s="55">
        <v>0.0</v>
      </c>
      <c r="Q57" s="43">
        <f t="shared" si="3"/>
        <v>11</v>
      </c>
      <c r="R57" s="43"/>
      <c r="S57" s="55" t="s">
        <v>88</v>
      </c>
      <c r="T57" s="43"/>
      <c r="U57" s="43"/>
      <c r="V57" s="43"/>
      <c r="W57" s="56" t="s">
        <v>46</v>
      </c>
      <c r="Z57" s="61"/>
      <c r="AA57" s="61"/>
      <c r="AB57" s="66"/>
      <c r="AC57" s="34"/>
      <c r="AD57" s="34"/>
    </row>
    <row r="58" ht="13.5" customHeight="1">
      <c r="A58" s="28">
        <v>52.0</v>
      </c>
      <c r="B58" s="37" t="s">
        <v>1441</v>
      </c>
      <c r="C58" s="37" t="s">
        <v>1153</v>
      </c>
      <c r="D58" s="37" t="s">
        <v>1442</v>
      </c>
      <c r="E58" s="171" t="s">
        <v>338</v>
      </c>
      <c r="F58" s="134">
        <v>58.0</v>
      </c>
      <c r="G58" s="134" t="s">
        <v>339</v>
      </c>
      <c r="H58" s="134" t="s">
        <v>839</v>
      </c>
      <c r="I58" s="134" t="s">
        <v>1443</v>
      </c>
      <c r="J58" s="87">
        <v>1.0</v>
      </c>
      <c r="K58" s="55">
        <v>1.0</v>
      </c>
      <c r="L58" s="55">
        <v>0.0</v>
      </c>
      <c r="M58" s="55">
        <v>0.0</v>
      </c>
      <c r="N58" s="43">
        <f t="shared" si="1"/>
        <v>0</v>
      </c>
      <c r="O58" s="55">
        <v>31.0</v>
      </c>
      <c r="P58" s="55">
        <v>0.0</v>
      </c>
      <c r="Q58" s="43">
        <f t="shared" si="3"/>
        <v>31</v>
      </c>
      <c r="R58" s="43"/>
      <c r="S58" s="55" t="s">
        <v>1016</v>
      </c>
      <c r="T58" s="43"/>
      <c r="U58" s="43"/>
      <c r="V58" s="43"/>
      <c r="W58" s="56" t="s">
        <v>46</v>
      </c>
      <c r="Z58" s="61"/>
      <c r="AA58" s="61"/>
      <c r="AB58" s="66"/>
      <c r="AC58" s="34"/>
      <c r="AD58" s="34"/>
    </row>
    <row r="59" ht="13.5" customHeight="1">
      <c r="A59" s="28">
        <v>53.0</v>
      </c>
      <c r="B59" s="37" t="s">
        <v>1444</v>
      </c>
      <c r="C59" s="37" t="s">
        <v>1445</v>
      </c>
      <c r="D59" s="37" t="s">
        <v>1446</v>
      </c>
      <c r="E59" s="171" t="s">
        <v>338</v>
      </c>
      <c r="F59" s="134">
        <v>32.0</v>
      </c>
      <c r="G59" s="134" t="s">
        <v>339</v>
      </c>
      <c r="H59" s="134" t="s">
        <v>340</v>
      </c>
      <c r="I59" s="134" t="s">
        <v>1447</v>
      </c>
      <c r="J59" s="87">
        <v>29.0</v>
      </c>
      <c r="K59" s="55">
        <v>23.0</v>
      </c>
      <c r="L59" s="55">
        <v>2.0</v>
      </c>
      <c r="M59" s="55">
        <v>1.0</v>
      </c>
      <c r="N59" s="43">
        <f t="shared" si="1"/>
        <v>3</v>
      </c>
      <c r="O59" s="55">
        <v>3.0</v>
      </c>
      <c r="P59" s="55">
        <v>3.0</v>
      </c>
      <c r="Q59" s="43">
        <f t="shared" si="3"/>
        <v>9</v>
      </c>
      <c r="R59" s="43"/>
      <c r="S59" s="43"/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37" t="s">
        <v>1448</v>
      </c>
      <c r="C60" s="37" t="s">
        <v>1449</v>
      </c>
      <c r="D60" s="37" t="s">
        <v>1450</v>
      </c>
      <c r="E60" s="171" t="s">
        <v>338</v>
      </c>
      <c r="F60" s="134">
        <v>45.0</v>
      </c>
      <c r="G60" s="134" t="s">
        <v>339</v>
      </c>
      <c r="H60" s="134" t="s">
        <v>839</v>
      </c>
      <c r="I60" s="134" t="s">
        <v>1451</v>
      </c>
      <c r="J60" s="87">
        <v>28.0</v>
      </c>
      <c r="K60" s="55">
        <v>23.0</v>
      </c>
      <c r="L60" s="55">
        <v>0.0</v>
      </c>
      <c r="M60" s="55">
        <v>0.0</v>
      </c>
      <c r="N60" s="43">
        <f t="shared" si="1"/>
        <v>0</v>
      </c>
      <c r="O60" s="55">
        <v>4.0</v>
      </c>
      <c r="P60" s="55">
        <v>5.0</v>
      </c>
      <c r="Q60" s="43">
        <f t="shared" si="3"/>
        <v>9</v>
      </c>
      <c r="R60" s="43"/>
      <c r="S60" s="43"/>
      <c r="T60" s="43"/>
      <c r="U60" s="43"/>
      <c r="V60" s="43"/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37" t="s">
        <v>1452</v>
      </c>
      <c r="C61" s="37" t="s">
        <v>1453</v>
      </c>
      <c r="D61" s="37" t="s">
        <v>1454</v>
      </c>
      <c r="E61" s="171" t="s">
        <v>338</v>
      </c>
      <c r="F61" s="134">
        <v>37.0</v>
      </c>
      <c r="G61" s="134" t="s">
        <v>339</v>
      </c>
      <c r="H61" s="134" t="s">
        <v>340</v>
      </c>
      <c r="I61" s="134" t="s">
        <v>1455</v>
      </c>
      <c r="J61" s="87">
        <v>26.0</v>
      </c>
      <c r="K61" s="55">
        <v>24.0</v>
      </c>
      <c r="L61" s="55">
        <v>0.0</v>
      </c>
      <c r="M61" s="55">
        <v>1.0</v>
      </c>
      <c r="N61" s="43">
        <f t="shared" si="1"/>
        <v>1</v>
      </c>
      <c r="O61" s="55">
        <v>2.0</v>
      </c>
      <c r="P61" s="55">
        <v>1.0</v>
      </c>
      <c r="Q61" s="43">
        <f t="shared" si="3"/>
        <v>4</v>
      </c>
      <c r="R61" s="43"/>
      <c r="S61" s="43"/>
      <c r="T61" s="43"/>
      <c r="U61" s="43"/>
      <c r="V61" s="43"/>
      <c r="W61" s="56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37" t="s">
        <v>1456</v>
      </c>
      <c r="C62" s="37" t="s">
        <v>1457</v>
      </c>
      <c r="D62" s="37" t="s">
        <v>1458</v>
      </c>
      <c r="E62" s="171" t="s">
        <v>338</v>
      </c>
      <c r="F62" s="134">
        <v>38.0</v>
      </c>
      <c r="G62" s="134" t="s">
        <v>339</v>
      </c>
      <c r="H62" s="134" t="s">
        <v>839</v>
      </c>
      <c r="I62" s="134" t="s">
        <v>1459</v>
      </c>
      <c r="J62" s="87">
        <v>28.0</v>
      </c>
      <c r="K62" s="55">
        <v>23.0</v>
      </c>
      <c r="L62" s="55">
        <v>0.0</v>
      </c>
      <c r="M62" s="55">
        <v>0.0</v>
      </c>
      <c r="N62" s="43">
        <f t="shared" si="1"/>
        <v>0</v>
      </c>
      <c r="O62" s="55">
        <v>4.0</v>
      </c>
      <c r="P62" s="55">
        <v>5.0</v>
      </c>
      <c r="Q62" s="43">
        <f t="shared" si="3"/>
        <v>9</v>
      </c>
      <c r="R62" s="43"/>
      <c r="S62" s="43"/>
      <c r="T62" s="43"/>
      <c r="U62" s="43"/>
      <c r="V62" s="43"/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37" t="s">
        <v>1154</v>
      </c>
      <c r="C63" s="37" t="s">
        <v>1460</v>
      </c>
      <c r="D63" s="37" t="s">
        <v>1461</v>
      </c>
      <c r="E63" s="171" t="s">
        <v>338</v>
      </c>
      <c r="F63" s="134">
        <v>39.0</v>
      </c>
      <c r="G63" s="134" t="s">
        <v>385</v>
      </c>
      <c r="H63" s="134" t="s">
        <v>833</v>
      </c>
      <c r="I63" s="134" t="s">
        <v>1462</v>
      </c>
      <c r="J63" s="87">
        <v>27.0</v>
      </c>
      <c r="K63" s="55">
        <v>26.0</v>
      </c>
      <c r="L63" s="55">
        <v>0.0</v>
      </c>
      <c r="M63" s="55">
        <v>1.0</v>
      </c>
      <c r="N63" s="43">
        <f t="shared" si="1"/>
        <v>1</v>
      </c>
      <c r="O63" s="55">
        <v>3.0</v>
      </c>
      <c r="P63" s="55">
        <v>0.0</v>
      </c>
      <c r="Q63" s="43">
        <f t="shared" si="3"/>
        <v>4</v>
      </c>
      <c r="R63" s="43"/>
      <c r="S63" s="43"/>
      <c r="T63" s="43"/>
      <c r="U63" s="43"/>
      <c r="V63" s="43"/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37" t="s">
        <v>1463</v>
      </c>
      <c r="C64" s="37" t="s">
        <v>1464</v>
      </c>
      <c r="D64" s="37" t="s">
        <v>845</v>
      </c>
      <c r="E64" s="171" t="s">
        <v>338</v>
      </c>
      <c r="F64" s="134">
        <v>42.0</v>
      </c>
      <c r="G64" s="134" t="s">
        <v>339</v>
      </c>
      <c r="H64" s="134" t="s">
        <v>833</v>
      </c>
      <c r="I64" s="134" t="s">
        <v>1465</v>
      </c>
      <c r="J64" s="87">
        <v>23.0</v>
      </c>
      <c r="K64" s="55">
        <v>15.0</v>
      </c>
      <c r="L64" s="55">
        <v>0.0</v>
      </c>
      <c r="M64" s="55">
        <v>1.0</v>
      </c>
      <c r="N64" s="43">
        <f t="shared" si="1"/>
        <v>1</v>
      </c>
      <c r="O64" s="55">
        <v>7.0</v>
      </c>
      <c r="P64" s="55">
        <v>7.0</v>
      </c>
      <c r="Q64" s="43">
        <f t="shared" si="3"/>
        <v>15</v>
      </c>
      <c r="R64" s="43"/>
      <c r="S64" s="55" t="s">
        <v>277</v>
      </c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37" t="s">
        <v>1463</v>
      </c>
      <c r="C65" s="37" t="s">
        <v>1153</v>
      </c>
      <c r="D65" s="37" t="s">
        <v>864</v>
      </c>
      <c r="E65" s="171" t="s">
        <v>338</v>
      </c>
      <c r="F65" s="134">
        <v>53.0</v>
      </c>
      <c r="G65" s="134" t="s">
        <v>339</v>
      </c>
      <c r="H65" s="134" t="s">
        <v>833</v>
      </c>
      <c r="I65" s="134" t="s">
        <v>1466</v>
      </c>
      <c r="J65" s="87">
        <v>24.0</v>
      </c>
      <c r="K65" s="55">
        <v>18.0</v>
      </c>
      <c r="L65" s="55">
        <v>0.0</v>
      </c>
      <c r="M65" s="55">
        <v>0.0</v>
      </c>
      <c r="N65" s="43">
        <f t="shared" si="1"/>
        <v>0</v>
      </c>
      <c r="O65" s="55">
        <v>8.0</v>
      </c>
      <c r="P65" s="55">
        <v>6.0</v>
      </c>
      <c r="Q65" s="43">
        <f t="shared" si="3"/>
        <v>14</v>
      </c>
      <c r="R65" s="43"/>
      <c r="S65" s="43"/>
      <c r="T65" s="43"/>
      <c r="U65" s="43"/>
      <c r="V65" s="43"/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37" t="s">
        <v>1467</v>
      </c>
      <c r="C66" s="37" t="s">
        <v>1468</v>
      </c>
      <c r="D66" s="37" t="s">
        <v>1469</v>
      </c>
      <c r="E66" s="171" t="s">
        <v>338</v>
      </c>
      <c r="F66" s="134">
        <v>52.0</v>
      </c>
      <c r="G66" s="134" t="s">
        <v>339</v>
      </c>
      <c r="H66" s="134" t="s">
        <v>340</v>
      </c>
      <c r="I66" s="134" t="s">
        <v>1470</v>
      </c>
      <c r="J66" s="87">
        <v>27.0</v>
      </c>
      <c r="K66" s="55">
        <v>20.0</v>
      </c>
      <c r="L66" s="55">
        <v>6.0</v>
      </c>
      <c r="M66" s="55">
        <v>1.0</v>
      </c>
      <c r="N66" s="43">
        <f t="shared" si="1"/>
        <v>7</v>
      </c>
      <c r="O66" s="55">
        <v>5.0</v>
      </c>
      <c r="P66" s="55">
        <v>0.0</v>
      </c>
      <c r="Q66" s="43">
        <f t="shared" si="3"/>
        <v>12</v>
      </c>
      <c r="R66" s="43"/>
      <c r="S66" s="43"/>
      <c r="T66" s="55" t="s">
        <v>145</v>
      </c>
      <c r="U66" s="43"/>
      <c r="V66" s="43"/>
      <c r="W66" s="56" t="s">
        <v>46</v>
      </c>
      <c r="Z66" s="61"/>
      <c r="AA66" s="61"/>
      <c r="AB66" s="66"/>
      <c r="AC66" s="34"/>
      <c r="AD66" s="34"/>
    </row>
    <row r="67" ht="13.5" customHeight="1">
      <c r="A67" s="28">
        <v>61.0</v>
      </c>
      <c r="B67" s="37" t="s">
        <v>1471</v>
      </c>
      <c r="C67" s="37" t="s">
        <v>1472</v>
      </c>
      <c r="D67" s="37" t="s">
        <v>1424</v>
      </c>
      <c r="E67" s="171" t="s">
        <v>338</v>
      </c>
      <c r="F67" s="134">
        <v>28.0</v>
      </c>
      <c r="G67" s="134" t="s">
        <v>339</v>
      </c>
      <c r="H67" s="134" t="s">
        <v>340</v>
      </c>
      <c r="I67" s="163" t="s">
        <v>1473</v>
      </c>
      <c r="J67" s="83"/>
      <c r="K67" s="43"/>
      <c r="L67" s="43"/>
      <c r="M67" s="43"/>
      <c r="N67" s="43">
        <f t="shared" si="1"/>
        <v>0</v>
      </c>
      <c r="O67" s="43"/>
      <c r="P67" s="43"/>
      <c r="Q67" s="43">
        <f t="shared" si="3"/>
        <v>0</v>
      </c>
      <c r="R67" s="43"/>
      <c r="S67" s="43"/>
      <c r="T67" s="43"/>
      <c r="U67" s="43"/>
      <c r="V67" s="43"/>
      <c r="W67" s="56">
        <v>5.0</v>
      </c>
      <c r="Z67" s="61"/>
      <c r="AA67" s="61"/>
      <c r="AB67" s="66"/>
      <c r="AC67" s="34"/>
      <c r="AD67" s="34"/>
    </row>
    <row r="68" ht="13.5" customHeight="1">
      <c r="A68" s="28">
        <v>62.0</v>
      </c>
      <c r="B68" s="158" t="s">
        <v>1474</v>
      </c>
      <c r="C68" s="158" t="s">
        <v>1475</v>
      </c>
      <c r="D68" s="37"/>
      <c r="E68" s="171"/>
      <c r="F68" s="134"/>
      <c r="G68" s="134"/>
      <c r="H68" s="134"/>
      <c r="I68" s="134"/>
      <c r="J68" s="83"/>
      <c r="K68" s="43"/>
      <c r="L68" s="43"/>
      <c r="M68" s="43"/>
      <c r="N68" s="43">
        <f t="shared" si="1"/>
        <v>0</v>
      </c>
      <c r="O68" s="43"/>
      <c r="P68" s="43"/>
      <c r="Q68" s="43">
        <f t="shared" si="3"/>
        <v>0</v>
      </c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37" t="s">
        <v>1476</v>
      </c>
      <c r="C69" s="37" t="s">
        <v>1477</v>
      </c>
      <c r="D69" s="37" t="s">
        <v>1478</v>
      </c>
      <c r="E69" s="171" t="s">
        <v>338</v>
      </c>
      <c r="F69" s="134">
        <v>31.0</v>
      </c>
      <c r="G69" s="134" t="s">
        <v>339</v>
      </c>
      <c r="H69" s="134" t="s">
        <v>839</v>
      </c>
      <c r="I69" s="134" t="s">
        <v>1479</v>
      </c>
      <c r="J69" s="87">
        <v>26.0</v>
      </c>
      <c r="K69" s="55">
        <v>15.0</v>
      </c>
      <c r="L69" s="55">
        <v>0.0</v>
      </c>
      <c r="M69" s="55">
        <v>0.0</v>
      </c>
      <c r="N69" s="43">
        <f t="shared" si="1"/>
        <v>0</v>
      </c>
      <c r="O69" s="55">
        <v>6.0</v>
      </c>
      <c r="P69" s="55">
        <v>11.0</v>
      </c>
      <c r="Q69" s="43">
        <f t="shared" si="3"/>
        <v>17</v>
      </c>
      <c r="R69" s="43"/>
      <c r="S69" s="55" t="s">
        <v>277</v>
      </c>
      <c r="T69" s="43"/>
      <c r="U69" s="43"/>
      <c r="V69" s="43"/>
      <c r="W69" s="56" t="s">
        <v>46</v>
      </c>
      <c r="Z69" s="61"/>
      <c r="AA69" s="61"/>
      <c r="AB69" s="66"/>
      <c r="AC69" s="34"/>
      <c r="AD69" s="34"/>
    </row>
    <row r="70" ht="13.5" customHeight="1">
      <c r="A70" s="28">
        <v>64.0</v>
      </c>
      <c r="B70" s="37" t="s">
        <v>1480</v>
      </c>
      <c r="C70" s="37" t="s">
        <v>1153</v>
      </c>
      <c r="D70" s="37" t="s">
        <v>1481</v>
      </c>
      <c r="E70" s="171" t="s">
        <v>338</v>
      </c>
      <c r="F70" s="134">
        <v>56.0</v>
      </c>
      <c r="G70" s="134" t="s">
        <v>339</v>
      </c>
      <c r="H70" s="134" t="s">
        <v>833</v>
      </c>
      <c r="I70" s="134" t="s">
        <v>1482</v>
      </c>
      <c r="J70" s="87">
        <v>18.0</v>
      </c>
      <c r="K70" s="55">
        <v>15.0</v>
      </c>
      <c r="L70" s="55">
        <v>0.0</v>
      </c>
      <c r="M70" s="55">
        <v>3.0</v>
      </c>
      <c r="N70" s="43">
        <f t="shared" si="1"/>
        <v>3</v>
      </c>
      <c r="O70" s="55">
        <v>13.0</v>
      </c>
      <c r="P70" s="55">
        <v>0.0</v>
      </c>
      <c r="Q70" s="43">
        <f t="shared" si="3"/>
        <v>16</v>
      </c>
      <c r="R70" s="43"/>
      <c r="S70" s="43"/>
      <c r="T70" s="55" t="s">
        <v>145</v>
      </c>
      <c r="U70" s="43"/>
      <c r="V70" s="43"/>
      <c r="W70" s="56" t="s">
        <v>46</v>
      </c>
      <c r="Z70" s="61"/>
      <c r="AA70" s="61"/>
      <c r="AB70" s="66"/>
      <c r="AC70" s="34"/>
      <c r="AD70" s="34"/>
    </row>
    <row r="71" ht="13.5" customHeight="1">
      <c r="A71" s="28">
        <v>65.0</v>
      </c>
      <c r="B71" s="37" t="s">
        <v>1483</v>
      </c>
      <c r="C71" s="37" t="s">
        <v>1484</v>
      </c>
      <c r="D71" s="37" t="s">
        <v>1485</v>
      </c>
      <c r="E71" s="171" t="s">
        <v>338</v>
      </c>
      <c r="F71" s="134">
        <v>39.0</v>
      </c>
      <c r="G71" s="134" t="s">
        <v>339</v>
      </c>
      <c r="H71" s="134" t="s">
        <v>435</v>
      </c>
      <c r="I71" s="163" t="s">
        <v>1486</v>
      </c>
      <c r="J71" s="87">
        <v>21.0</v>
      </c>
      <c r="K71" s="55">
        <v>19.0</v>
      </c>
      <c r="L71" s="55">
        <v>0.0</v>
      </c>
      <c r="M71" s="55">
        <v>0.0</v>
      </c>
      <c r="N71" s="43">
        <f t="shared" si="1"/>
        <v>0</v>
      </c>
      <c r="O71" s="55">
        <v>11.0</v>
      </c>
      <c r="P71" s="55">
        <v>2.0</v>
      </c>
      <c r="Q71" s="43">
        <f t="shared" si="3"/>
        <v>13</v>
      </c>
      <c r="R71" s="43"/>
      <c r="S71" s="55" t="s">
        <v>88</v>
      </c>
      <c r="T71" s="43"/>
      <c r="U71" s="43"/>
      <c r="V71" s="43"/>
      <c r="W71" s="56" t="s">
        <v>46</v>
      </c>
      <c r="Z71" s="61"/>
      <c r="AA71" s="61"/>
      <c r="AB71" s="66"/>
      <c r="AC71" s="34"/>
      <c r="AD71" s="34"/>
    </row>
    <row r="72" ht="13.5" customHeight="1">
      <c r="A72" s="28">
        <v>66.0</v>
      </c>
      <c r="B72" s="37" t="s">
        <v>1487</v>
      </c>
      <c r="C72" s="37" t="s">
        <v>1488</v>
      </c>
      <c r="D72" s="37" t="s">
        <v>1489</v>
      </c>
      <c r="E72" s="171" t="s">
        <v>338</v>
      </c>
      <c r="F72" s="134">
        <v>45.0</v>
      </c>
      <c r="G72" s="134" t="s">
        <v>339</v>
      </c>
      <c r="H72" s="134" t="s">
        <v>839</v>
      </c>
      <c r="I72" s="134" t="s">
        <v>1490</v>
      </c>
      <c r="J72" s="87">
        <v>25.0</v>
      </c>
      <c r="K72" s="55">
        <v>17.0</v>
      </c>
      <c r="L72" s="55">
        <v>2.0</v>
      </c>
      <c r="M72" s="55">
        <v>2.0</v>
      </c>
      <c r="N72" s="43">
        <f t="shared" si="1"/>
        <v>4</v>
      </c>
      <c r="O72" s="55">
        <v>7.0</v>
      </c>
      <c r="P72" s="55">
        <v>4.0</v>
      </c>
      <c r="Q72" s="43">
        <f t="shared" si="3"/>
        <v>15</v>
      </c>
      <c r="R72" s="43"/>
      <c r="S72" s="55" t="s">
        <v>1491</v>
      </c>
      <c r="T72" s="43"/>
      <c r="U72" s="43"/>
      <c r="V72" s="43"/>
      <c r="W72" s="56" t="s">
        <v>46</v>
      </c>
      <c r="Z72" s="61"/>
      <c r="AA72" s="61"/>
      <c r="AB72" s="66"/>
      <c r="AC72" s="34"/>
      <c r="AD72" s="34"/>
    </row>
    <row r="73" ht="13.5" customHeight="1">
      <c r="A73" s="28">
        <v>67.0</v>
      </c>
      <c r="B73" s="37" t="s">
        <v>1492</v>
      </c>
      <c r="C73" s="37" t="s">
        <v>1493</v>
      </c>
      <c r="D73" s="37" t="s">
        <v>1494</v>
      </c>
      <c r="E73" s="171" t="s">
        <v>338</v>
      </c>
      <c r="F73" s="134">
        <v>59.0</v>
      </c>
      <c r="G73" s="134" t="s">
        <v>339</v>
      </c>
      <c r="H73" s="134" t="s">
        <v>833</v>
      </c>
      <c r="I73" s="134" t="s">
        <v>1495</v>
      </c>
      <c r="J73" s="87">
        <v>10.0</v>
      </c>
      <c r="K73" s="55">
        <v>10.0</v>
      </c>
      <c r="L73" s="55">
        <v>0.0</v>
      </c>
      <c r="M73" s="55">
        <v>0.0</v>
      </c>
      <c r="N73" s="43">
        <f t="shared" si="1"/>
        <v>0</v>
      </c>
      <c r="O73" s="55">
        <v>22.0</v>
      </c>
      <c r="P73" s="55">
        <v>0.0</v>
      </c>
      <c r="Q73" s="43">
        <f t="shared" si="3"/>
        <v>22</v>
      </c>
      <c r="R73" s="43"/>
      <c r="S73" s="55" t="s">
        <v>237</v>
      </c>
      <c r="T73" s="43"/>
      <c r="U73" s="43"/>
      <c r="V73" s="43"/>
      <c r="W73" s="56" t="s">
        <v>46</v>
      </c>
      <c r="Z73" s="61"/>
      <c r="AA73" s="61"/>
      <c r="AB73" s="66"/>
      <c r="AC73" s="34"/>
      <c r="AD73" s="34"/>
    </row>
    <row r="74" ht="13.5" customHeight="1">
      <c r="A74" s="28">
        <v>68.0</v>
      </c>
      <c r="B74" s="37" t="s">
        <v>1496</v>
      </c>
      <c r="C74" s="37" t="s">
        <v>1497</v>
      </c>
      <c r="D74" s="37" t="s">
        <v>112</v>
      </c>
      <c r="E74" s="171" t="s">
        <v>338</v>
      </c>
      <c r="F74" s="134">
        <v>52.0</v>
      </c>
      <c r="G74" s="134" t="s">
        <v>339</v>
      </c>
      <c r="H74" s="134" t="s">
        <v>833</v>
      </c>
      <c r="I74" s="134" t="s">
        <v>1498</v>
      </c>
      <c r="J74" s="87">
        <v>24.0</v>
      </c>
      <c r="K74" s="55">
        <v>13.0</v>
      </c>
      <c r="L74" s="55">
        <v>4.0</v>
      </c>
      <c r="M74" s="55">
        <v>2.0</v>
      </c>
      <c r="N74" s="43">
        <f t="shared" si="1"/>
        <v>6</v>
      </c>
      <c r="O74" s="55">
        <v>8.0</v>
      </c>
      <c r="P74" s="55">
        <v>5.0</v>
      </c>
      <c r="Q74" s="43">
        <f t="shared" si="3"/>
        <v>19</v>
      </c>
      <c r="R74" s="43"/>
      <c r="S74" s="55" t="s">
        <v>237</v>
      </c>
      <c r="T74" s="43"/>
      <c r="U74" s="43"/>
      <c r="V74" s="43"/>
      <c r="W74" s="56" t="s">
        <v>46</v>
      </c>
      <c r="Z74" s="61"/>
      <c r="AA74" s="61"/>
      <c r="AB74" s="66"/>
      <c r="AC74" s="34"/>
      <c r="AD74" s="34"/>
    </row>
    <row r="75" ht="13.5" customHeight="1">
      <c r="A75" s="28">
        <v>69.0</v>
      </c>
      <c r="B75" s="37" t="s">
        <v>1499</v>
      </c>
      <c r="C75" s="37" t="s">
        <v>1500</v>
      </c>
      <c r="D75" s="37" t="s">
        <v>1501</v>
      </c>
      <c r="E75" s="171" t="s">
        <v>338</v>
      </c>
      <c r="F75" s="134">
        <v>38.0</v>
      </c>
      <c r="G75" s="134" t="s">
        <v>339</v>
      </c>
      <c r="H75" s="134" t="s">
        <v>340</v>
      </c>
      <c r="I75" s="134" t="s">
        <v>1502</v>
      </c>
      <c r="J75" s="87">
        <v>31.0</v>
      </c>
      <c r="K75" s="55">
        <v>28.0</v>
      </c>
      <c r="L75" s="55">
        <v>0.0</v>
      </c>
      <c r="M75" s="55">
        <v>1.0</v>
      </c>
      <c r="N75" s="43">
        <f t="shared" si="1"/>
        <v>1</v>
      </c>
      <c r="O75" s="55">
        <v>1.0</v>
      </c>
      <c r="P75" s="55">
        <v>2.0</v>
      </c>
      <c r="Q75" s="43">
        <f t="shared" si="3"/>
        <v>4</v>
      </c>
      <c r="R75" s="43"/>
      <c r="S75" s="43"/>
      <c r="T75" s="43"/>
      <c r="U75" s="43"/>
      <c r="V75" s="43"/>
      <c r="W75" s="56" t="s">
        <v>46</v>
      </c>
      <c r="Z75" s="61"/>
      <c r="AA75" s="61"/>
      <c r="AB75" s="66"/>
      <c r="AC75" s="34"/>
      <c r="AD75" s="34"/>
    </row>
    <row r="76" ht="13.5" customHeight="1">
      <c r="A76" s="28">
        <v>70.0</v>
      </c>
      <c r="B76" s="37" t="s">
        <v>68</v>
      </c>
      <c r="C76" s="37" t="s">
        <v>1503</v>
      </c>
      <c r="D76" s="37" t="s">
        <v>1504</v>
      </c>
      <c r="E76" s="171" t="s">
        <v>338</v>
      </c>
      <c r="F76" s="134">
        <v>36.0</v>
      </c>
      <c r="G76" s="134" t="s">
        <v>339</v>
      </c>
      <c r="H76" s="134" t="s">
        <v>839</v>
      </c>
      <c r="I76" s="134" t="s">
        <v>1505</v>
      </c>
      <c r="J76" s="54">
        <v>28.0</v>
      </c>
      <c r="K76" s="55">
        <v>24.0</v>
      </c>
      <c r="L76" s="55">
        <v>1.0</v>
      </c>
      <c r="M76" s="55">
        <v>0.0</v>
      </c>
      <c r="N76" s="43">
        <f t="shared" si="1"/>
        <v>1</v>
      </c>
      <c r="O76" s="55">
        <v>4.0</v>
      </c>
      <c r="P76" s="55">
        <v>4.0</v>
      </c>
      <c r="Q76" s="43">
        <f t="shared" si="3"/>
        <v>9</v>
      </c>
      <c r="R76" s="43"/>
      <c r="S76" s="43"/>
      <c r="T76" s="43"/>
      <c r="U76" s="43"/>
      <c r="V76" s="43"/>
      <c r="W76" s="56" t="s">
        <v>46</v>
      </c>
      <c r="Z76" s="61"/>
      <c r="AA76" s="61"/>
      <c r="AB76" s="66"/>
      <c r="AC76" s="34"/>
      <c r="AD76" s="34"/>
    </row>
    <row r="77" ht="13.5" customHeight="1">
      <c r="A77" s="28">
        <v>71.0</v>
      </c>
      <c r="B77" s="37" t="s">
        <v>1506</v>
      </c>
      <c r="C77" s="37" t="s">
        <v>1507</v>
      </c>
      <c r="D77" s="37" t="s">
        <v>1508</v>
      </c>
      <c r="E77" s="171" t="s">
        <v>338</v>
      </c>
      <c r="F77" s="134">
        <v>30.0</v>
      </c>
      <c r="G77" s="134" t="s">
        <v>385</v>
      </c>
      <c r="H77" s="134" t="s">
        <v>839</v>
      </c>
      <c r="I77" s="134" t="s">
        <v>1509</v>
      </c>
      <c r="J77" s="54">
        <v>28.0</v>
      </c>
      <c r="K77" s="55">
        <v>23.0</v>
      </c>
      <c r="L77" s="55">
        <v>0.0</v>
      </c>
      <c r="M77" s="55">
        <v>1.0</v>
      </c>
      <c r="N77" s="43">
        <f t="shared" si="1"/>
        <v>1</v>
      </c>
      <c r="O77" s="55">
        <v>1.0</v>
      </c>
      <c r="P77" s="55">
        <v>4.0</v>
      </c>
      <c r="Q77" s="43">
        <f t="shared" si="3"/>
        <v>6</v>
      </c>
      <c r="R77" s="43"/>
      <c r="S77" s="43"/>
      <c r="T77" s="43"/>
      <c r="U77" s="43"/>
      <c r="V77" s="43"/>
      <c r="W77" s="56" t="s">
        <v>46</v>
      </c>
      <c r="Z77" s="61"/>
      <c r="AA77" s="61"/>
      <c r="AB77" s="66"/>
      <c r="AC77" s="34"/>
      <c r="AD77" s="34"/>
    </row>
    <row r="78" ht="13.5" customHeight="1">
      <c r="A78" s="28">
        <v>72.0</v>
      </c>
      <c r="B78" s="37" t="s">
        <v>1510</v>
      </c>
      <c r="C78" s="37" t="s">
        <v>1511</v>
      </c>
      <c r="D78" s="37" t="s">
        <v>1512</v>
      </c>
      <c r="E78" s="171" t="s">
        <v>338</v>
      </c>
      <c r="F78" s="134">
        <v>32.0</v>
      </c>
      <c r="G78" s="134" t="s">
        <v>339</v>
      </c>
      <c r="H78" s="134" t="s">
        <v>340</v>
      </c>
      <c r="I78" s="134" t="s">
        <v>1513</v>
      </c>
      <c r="J78" s="54">
        <v>30.0</v>
      </c>
      <c r="K78" s="55">
        <v>20.0</v>
      </c>
      <c r="L78" s="55">
        <v>0.0</v>
      </c>
      <c r="M78" s="55">
        <v>0.0</v>
      </c>
      <c r="N78" s="43">
        <f t="shared" si="1"/>
        <v>0</v>
      </c>
      <c r="O78" s="55">
        <v>0.0</v>
      </c>
      <c r="P78" s="55">
        <v>10.0</v>
      </c>
      <c r="Q78" s="43">
        <f t="shared" si="3"/>
        <v>10</v>
      </c>
      <c r="R78" s="43"/>
      <c r="S78" s="55" t="s">
        <v>78</v>
      </c>
      <c r="T78" s="43"/>
      <c r="U78" s="43"/>
      <c r="V78" s="43"/>
      <c r="W78" s="56" t="s">
        <v>46</v>
      </c>
      <c r="Z78" s="61"/>
      <c r="AA78" s="61"/>
      <c r="AB78" s="66"/>
      <c r="AC78" s="34"/>
      <c r="AD78" s="34"/>
    </row>
    <row r="79" ht="13.5" customHeight="1">
      <c r="A79" s="28">
        <v>73.0</v>
      </c>
      <c r="B79" s="37" t="s">
        <v>1514</v>
      </c>
      <c r="C79" s="37" t="s">
        <v>1515</v>
      </c>
      <c r="D79" s="37" t="s">
        <v>1516</v>
      </c>
      <c r="E79" s="171" t="s">
        <v>338</v>
      </c>
      <c r="F79" s="134">
        <v>29.0</v>
      </c>
      <c r="G79" s="134" t="s">
        <v>385</v>
      </c>
      <c r="H79" s="134" t="s">
        <v>340</v>
      </c>
      <c r="I79" s="163" t="s">
        <v>1517</v>
      </c>
      <c r="J79" s="42"/>
      <c r="K79" s="43"/>
      <c r="L79" s="43"/>
      <c r="M79" s="43"/>
      <c r="N79" s="43">
        <f t="shared" si="1"/>
        <v>0</v>
      </c>
      <c r="O79" s="43"/>
      <c r="P79" s="43"/>
      <c r="Q79" s="43">
        <f t="shared" si="3"/>
        <v>0</v>
      </c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37" t="s">
        <v>1518</v>
      </c>
      <c r="C80" s="37" t="s">
        <v>1519</v>
      </c>
      <c r="D80" s="37" t="s">
        <v>1471</v>
      </c>
      <c r="E80" s="171" t="s">
        <v>338</v>
      </c>
      <c r="F80" s="134">
        <v>53.0</v>
      </c>
      <c r="G80" s="134" t="s">
        <v>339</v>
      </c>
      <c r="H80" s="134" t="s">
        <v>1321</v>
      </c>
      <c r="I80" s="134" t="s">
        <v>1520</v>
      </c>
      <c r="J80" s="42"/>
      <c r="K80" s="43"/>
      <c r="L80" s="43"/>
      <c r="M80" s="43"/>
      <c r="N80" s="43">
        <f t="shared" si="1"/>
        <v>0</v>
      </c>
      <c r="O80" s="43"/>
      <c r="P80" s="43"/>
      <c r="Q80" s="43">
        <f t="shared" si="3"/>
        <v>0</v>
      </c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37" t="s">
        <v>945</v>
      </c>
      <c r="C81" s="37" t="s">
        <v>1521</v>
      </c>
      <c r="D81" s="37" t="s">
        <v>1522</v>
      </c>
      <c r="E81" s="171" t="s">
        <v>338</v>
      </c>
      <c r="F81" s="134">
        <v>56.0</v>
      </c>
      <c r="G81" s="134" t="s">
        <v>339</v>
      </c>
      <c r="H81" s="134" t="s">
        <v>1308</v>
      </c>
      <c r="I81" s="134" t="s">
        <v>1523</v>
      </c>
      <c r="J81" s="54">
        <v>23.0</v>
      </c>
      <c r="K81" s="55">
        <v>19.0</v>
      </c>
      <c r="L81" s="55">
        <v>0.0</v>
      </c>
      <c r="M81" s="55">
        <v>4.0</v>
      </c>
      <c r="N81" s="43">
        <f t="shared" si="1"/>
        <v>4</v>
      </c>
      <c r="O81" s="55">
        <v>9.0</v>
      </c>
      <c r="P81" s="55">
        <v>0.0</v>
      </c>
      <c r="Q81" s="43">
        <f t="shared" si="3"/>
        <v>13</v>
      </c>
      <c r="R81" s="43"/>
      <c r="S81" s="43"/>
      <c r="T81" s="43"/>
      <c r="U81" s="43"/>
      <c r="V81" s="43"/>
      <c r="W81" s="56" t="s">
        <v>46</v>
      </c>
      <c r="Z81" s="61"/>
      <c r="AA81" s="61"/>
      <c r="AB81" s="66"/>
      <c r="AC81" s="34"/>
      <c r="AD81" s="34"/>
    </row>
    <row r="82" ht="13.5" customHeight="1">
      <c r="A82" s="28">
        <v>76.0</v>
      </c>
      <c r="B82" s="37" t="s">
        <v>1524</v>
      </c>
      <c r="C82" s="37" t="s">
        <v>1525</v>
      </c>
      <c r="D82" s="37" t="s">
        <v>1526</v>
      </c>
      <c r="E82" s="171" t="s">
        <v>338</v>
      </c>
      <c r="F82" s="134">
        <v>54.0</v>
      </c>
      <c r="G82" s="134" t="s">
        <v>339</v>
      </c>
      <c r="H82" s="134" t="s">
        <v>368</v>
      </c>
      <c r="I82" s="134" t="s">
        <v>1527</v>
      </c>
      <c r="J82" s="54">
        <v>10.0</v>
      </c>
      <c r="K82" s="55">
        <v>10.0</v>
      </c>
      <c r="L82" s="55">
        <v>0.0</v>
      </c>
      <c r="M82" s="55">
        <v>0.0</v>
      </c>
      <c r="N82" s="43">
        <f t="shared" si="1"/>
        <v>0</v>
      </c>
      <c r="O82" s="55">
        <v>22.0</v>
      </c>
      <c r="P82" s="55">
        <v>0.0</v>
      </c>
      <c r="Q82" s="43">
        <f t="shared" si="3"/>
        <v>22</v>
      </c>
      <c r="R82" s="43"/>
      <c r="S82" s="55" t="s">
        <v>97</v>
      </c>
      <c r="T82" s="43"/>
      <c r="U82" s="43"/>
      <c r="V82" s="43"/>
      <c r="W82" s="56" t="s">
        <v>46</v>
      </c>
      <c r="Z82" s="61"/>
      <c r="AA82" s="61"/>
      <c r="AB82" s="66"/>
      <c r="AC82" s="34"/>
      <c r="AD82" s="34"/>
    </row>
    <row r="83" ht="13.5" customHeight="1">
      <c r="A83" s="28">
        <v>77.0</v>
      </c>
      <c r="B83" s="37" t="s">
        <v>1528</v>
      </c>
      <c r="C83" s="37" t="s">
        <v>1529</v>
      </c>
      <c r="D83" s="37" t="s">
        <v>1530</v>
      </c>
      <c r="E83" s="171" t="s">
        <v>338</v>
      </c>
      <c r="F83" s="134">
        <v>43.0</v>
      </c>
      <c r="G83" s="134" t="s">
        <v>339</v>
      </c>
      <c r="H83" s="134" t="s">
        <v>1312</v>
      </c>
      <c r="I83" s="134" t="s">
        <v>1531</v>
      </c>
      <c r="J83" s="54">
        <v>29.0</v>
      </c>
      <c r="K83" s="55">
        <v>20.0</v>
      </c>
      <c r="L83" s="55">
        <v>0.0</v>
      </c>
      <c r="M83" s="55">
        <v>1.0</v>
      </c>
      <c r="N83" s="55">
        <v>0.0</v>
      </c>
      <c r="O83" s="55">
        <v>3.0</v>
      </c>
      <c r="P83" s="55">
        <v>8.0</v>
      </c>
      <c r="Q83" s="55">
        <v>11.0</v>
      </c>
      <c r="R83" s="43"/>
      <c r="S83" s="43"/>
      <c r="T83" s="43"/>
      <c r="U83" s="43"/>
      <c r="V83" s="43"/>
      <c r="W83" s="56" t="s">
        <v>46</v>
      </c>
      <c r="Z83" s="61"/>
      <c r="AA83" s="61"/>
      <c r="AB83" s="66"/>
      <c r="AC83" s="34"/>
      <c r="AD83" s="34"/>
    </row>
    <row r="84" ht="13.5" customHeight="1">
      <c r="A84" s="28">
        <v>78.0</v>
      </c>
      <c r="B84" s="37" t="s">
        <v>1532</v>
      </c>
      <c r="C84" s="37" t="s">
        <v>1533</v>
      </c>
      <c r="D84" s="37" t="s">
        <v>1534</v>
      </c>
      <c r="E84" s="171" t="s">
        <v>338</v>
      </c>
      <c r="F84" s="134">
        <v>54.0</v>
      </c>
      <c r="G84" s="134" t="s">
        <v>339</v>
      </c>
      <c r="H84" s="134" t="s">
        <v>1535</v>
      </c>
      <c r="I84" s="134" t="s">
        <v>1536</v>
      </c>
      <c r="J84" s="54">
        <v>24.0</v>
      </c>
      <c r="K84" s="55">
        <v>20.0</v>
      </c>
      <c r="L84" s="55">
        <v>1.0</v>
      </c>
      <c r="M84" s="55">
        <v>2.0</v>
      </c>
      <c r="N84" s="55">
        <v>3.0</v>
      </c>
      <c r="O84" s="55">
        <v>9.0</v>
      </c>
      <c r="P84" s="55">
        <v>0.0</v>
      </c>
      <c r="Q84" s="55">
        <v>12.0</v>
      </c>
      <c r="R84" s="43"/>
      <c r="S84" s="43"/>
      <c r="T84" s="43"/>
      <c r="U84" s="43"/>
      <c r="V84" s="43"/>
      <c r="W84" s="56" t="s">
        <v>46</v>
      </c>
      <c r="Z84" s="61"/>
      <c r="AA84" s="61"/>
      <c r="AB84" s="66"/>
      <c r="AC84" s="34"/>
      <c r="AD84" s="34"/>
    </row>
    <row r="85" ht="13.5" customHeight="1">
      <c r="A85" s="28">
        <v>79.0</v>
      </c>
      <c r="B85" s="37" t="s">
        <v>1537</v>
      </c>
      <c r="C85" s="37" t="s">
        <v>1538</v>
      </c>
      <c r="D85" s="37" t="s">
        <v>1539</v>
      </c>
      <c r="E85" s="171" t="s">
        <v>338</v>
      </c>
      <c r="F85" s="134">
        <v>37.0</v>
      </c>
      <c r="G85" s="134" t="s">
        <v>339</v>
      </c>
      <c r="H85" s="134" t="s">
        <v>340</v>
      </c>
      <c r="I85" s="163" t="s">
        <v>1540</v>
      </c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4">SUM(J7:J156)</f>
        <v>1651</v>
      </c>
      <c r="K157" s="123">
        <f t="shared" si="4"/>
        <v>1296</v>
      </c>
      <c r="L157" s="123">
        <f t="shared" si="4"/>
        <v>50</v>
      </c>
      <c r="M157" s="123">
        <f t="shared" si="4"/>
        <v>110</v>
      </c>
      <c r="N157" s="123">
        <f t="shared" si="4"/>
        <v>159</v>
      </c>
      <c r="O157" s="123">
        <f t="shared" si="4"/>
        <v>496</v>
      </c>
      <c r="P157" s="123">
        <f t="shared" si="4"/>
        <v>181</v>
      </c>
      <c r="Q157" s="123">
        <f t="shared" si="4"/>
        <v>830</v>
      </c>
      <c r="R157" s="124"/>
      <c r="S157" s="124"/>
      <c r="T157" s="125"/>
      <c r="U157" s="145" t="s">
        <v>330</v>
      </c>
      <c r="V157" s="5"/>
      <c r="W157" s="126">
        <f>COUNTIF(W7:W156,"YES")</f>
        <v>68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5.63"/>
    <col customWidth="1" min="3" max="3" width="16.38"/>
    <col customWidth="1" min="4" max="4" width="18.0"/>
    <col customWidth="1" min="5" max="5" width="15.63"/>
    <col customWidth="1" min="6" max="6" width="8.63"/>
    <col customWidth="1" min="7" max="7" width="12.75"/>
    <col customWidth="1" min="8" max="8" width="17.0"/>
    <col customWidth="1" min="9" max="9" width="17.25"/>
    <col customWidth="1" min="10" max="10" width="12.0"/>
    <col customWidth="1" min="11" max="11" width="13.0"/>
    <col customWidth="1" min="12" max="12" width="10.63"/>
    <col customWidth="1" min="13" max="13" width="12.13"/>
    <col customWidth="1" min="14" max="21" width="8.63"/>
    <col customWidth="1" min="22" max="22" width="17.8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7" t="s">
        <v>1541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33.0" customHeight="1">
      <c r="A3" s="6" t="s">
        <v>3</v>
      </c>
      <c r="B3" s="5"/>
      <c r="C3" s="7" t="s">
        <v>1542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7" t="s">
        <v>1543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935</v>
      </c>
      <c r="C7" s="37" t="s">
        <v>1544</v>
      </c>
      <c r="D7" s="37" t="s">
        <v>1545</v>
      </c>
      <c r="E7" s="171" t="s">
        <v>338</v>
      </c>
      <c r="F7" s="134">
        <v>36.0</v>
      </c>
      <c r="G7" s="134" t="s">
        <v>385</v>
      </c>
      <c r="H7" s="134" t="s">
        <v>1546</v>
      </c>
      <c r="I7" s="134">
        <v>9.462684559E9</v>
      </c>
      <c r="J7" s="54">
        <v>30.0</v>
      </c>
      <c r="K7" s="55">
        <v>2.0</v>
      </c>
      <c r="L7" s="55">
        <v>0.0</v>
      </c>
      <c r="M7" s="55">
        <v>1.0</v>
      </c>
      <c r="N7" s="43">
        <f t="shared" ref="N7:N16" si="1">sum(L7,M7)</f>
        <v>1</v>
      </c>
      <c r="O7" s="55">
        <v>2.0</v>
      </c>
      <c r="P7" s="55">
        <v>0.0</v>
      </c>
      <c r="Q7" s="43">
        <f t="shared" ref="Q7:Q16" si="2">sum(N7,O7,P7)</f>
        <v>3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1547</v>
      </c>
      <c r="C8" s="37" t="s">
        <v>1548</v>
      </c>
      <c r="D8" s="37" t="s">
        <v>857</v>
      </c>
      <c r="E8" s="171" t="s">
        <v>338</v>
      </c>
      <c r="F8" s="134">
        <v>44.0</v>
      </c>
      <c r="G8" s="134" t="s">
        <v>339</v>
      </c>
      <c r="H8" s="134" t="s">
        <v>1549</v>
      </c>
      <c r="I8" s="134">
        <v>9.291179051E9</v>
      </c>
      <c r="J8" s="54">
        <v>30.0</v>
      </c>
      <c r="K8" s="55">
        <v>26.0</v>
      </c>
      <c r="L8" s="55">
        <v>0.0</v>
      </c>
      <c r="M8" s="55">
        <v>4.0</v>
      </c>
      <c r="N8" s="43">
        <f t="shared" si="1"/>
        <v>4</v>
      </c>
      <c r="O8" s="55">
        <v>2.0</v>
      </c>
      <c r="P8" s="55">
        <v>0.0</v>
      </c>
      <c r="Q8" s="43">
        <f t="shared" si="2"/>
        <v>6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" t="s">
        <v>1550</v>
      </c>
      <c r="C9" s="37" t="s">
        <v>1551</v>
      </c>
      <c r="D9" s="37" t="s">
        <v>1552</v>
      </c>
      <c r="E9" s="171" t="s">
        <v>338</v>
      </c>
      <c r="F9" s="134">
        <v>29.0</v>
      </c>
      <c r="G9" s="134" t="s">
        <v>339</v>
      </c>
      <c r="H9" s="134" t="s">
        <v>1553</v>
      </c>
      <c r="I9" s="134">
        <v>9.662565368E9</v>
      </c>
      <c r="J9" s="54">
        <v>29.0</v>
      </c>
      <c r="K9" s="55">
        <v>25.0</v>
      </c>
      <c r="L9" s="55">
        <v>0.0</v>
      </c>
      <c r="M9" s="55">
        <v>2.0</v>
      </c>
      <c r="N9" s="43">
        <f t="shared" si="1"/>
        <v>2</v>
      </c>
      <c r="O9" s="55">
        <v>3.0</v>
      </c>
      <c r="P9" s="55">
        <v>2.0</v>
      </c>
      <c r="Q9" s="43">
        <f t="shared" si="2"/>
        <v>7</v>
      </c>
      <c r="R9" s="43"/>
      <c r="S9" s="43"/>
      <c r="T9" s="43"/>
      <c r="U9" s="43"/>
      <c r="V9" s="55" t="s">
        <v>1554</v>
      </c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" t="s">
        <v>475</v>
      </c>
      <c r="C10" s="37" t="s">
        <v>1555</v>
      </c>
      <c r="D10" s="37" t="s">
        <v>1556</v>
      </c>
      <c r="E10" s="171" t="s">
        <v>338</v>
      </c>
      <c r="F10" s="134">
        <v>27.0</v>
      </c>
      <c r="G10" s="134" t="s">
        <v>339</v>
      </c>
      <c r="H10" s="134" t="s">
        <v>998</v>
      </c>
      <c r="I10" s="134">
        <v>9.509704595E9</v>
      </c>
      <c r="J10" s="54">
        <v>32.0</v>
      </c>
      <c r="K10" s="55">
        <v>24.0</v>
      </c>
      <c r="L10" s="55">
        <v>3.0</v>
      </c>
      <c r="M10" s="55">
        <v>5.0</v>
      </c>
      <c r="N10" s="43">
        <f t="shared" si="1"/>
        <v>8</v>
      </c>
      <c r="O10" s="55">
        <v>0.0</v>
      </c>
      <c r="P10" s="55">
        <v>0.0</v>
      </c>
      <c r="Q10" s="43">
        <f t="shared" si="2"/>
        <v>8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" t="s">
        <v>1557</v>
      </c>
      <c r="C11" s="37" t="s">
        <v>1558</v>
      </c>
      <c r="D11" s="37" t="s">
        <v>857</v>
      </c>
      <c r="E11" s="171" t="s">
        <v>338</v>
      </c>
      <c r="F11" s="134">
        <v>46.0</v>
      </c>
      <c r="G11" s="134" t="s">
        <v>339</v>
      </c>
      <c r="H11" s="134" t="s">
        <v>1553</v>
      </c>
      <c r="I11" s="134">
        <v>9.205732102E9</v>
      </c>
      <c r="J11" s="54">
        <v>32.0</v>
      </c>
      <c r="K11" s="55">
        <v>2.0</v>
      </c>
      <c r="L11" s="55">
        <v>0.0</v>
      </c>
      <c r="M11" s="55">
        <v>4.0</v>
      </c>
      <c r="N11" s="43">
        <f t="shared" si="1"/>
        <v>4</v>
      </c>
      <c r="O11" s="55">
        <v>0.0</v>
      </c>
      <c r="P11" s="55">
        <v>0.0</v>
      </c>
      <c r="Q11" s="43">
        <f t="shared" si="2"/>
        <v>4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" t="s">
        <v>1559</v>
      </c>
      <c r="C12" s="37" t="s">
        <v>1560</v>
      </c>
      <c r="D12" s="37" t="s">
        <v>1561</v>
      </c>
      <c r="E12" s="171" t="s">
        <v>338</v>
      </c>
      <c r="F12" s="134">
        <v>31.0</v>
      </c>
      <c r="G12" s="134" t="s">
        <v>385</v>
      </c>
      <c r="H12" s="134" t="s">
        <v>1553</v>
      </c>
      <c r="I12" s="134">
        <v>9.263657869E9</v>
      </c>
      <c r="J12" s="54">
        <v>30.0</v>
      </c>
      <c r="K12" s="55">
        <v>30.0</v>
      </c>
      <c r="L12" s="55">
        <v>0.0</v>
      </c>
      <c r="M12" s="55">
        <v>1.0</v>
      </c>
      <c r="N12" s="43">
        <f t="shared" si="1"/>
        <v>1</v>
      </c>
      <c r="O12" s="55">
        <v>2.0</v>
      </c>
      <c r="P12" s="55">
        <v>0.0</v>
      </c>
      <c r="Q12" s="43">
        <f t="shared" si="2"/>
        <v>3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13</v>
      </c>
    </row>
    <row r="13" ht="13.5" customHeight="1">
      <c r="A13" s="28">
        <v>7.0</v>
      </c>
      <c r="B13" s="37" t="s">
        <v>1562</v>
      </c>
      <c r="C13" s="37" t="s">
        <v>430</v>
      </c>
      <c r="D13" s="37" t="s">
        <v>1563</v>
      </c>
      <c r="E13" s="171" t="s">
        <v>338</v>
      </c>
      <c r="F13" s="134">
        <v>28.0</v>
      </c>
      <c r="G13" s="134" t="s">
        <v>339</v>
      </c>
      <c r="H13" s="134" t="s">
        <v>974</v>
      </c>
      <c r="I13" s="163" t="s">
        <v>1564</v>
      </c>
      <c r="J13" s="42"/>
      <c r="K13" s="43"/>
      <c r="L13" s="43"/>
      <c r="M13" s="43"/>
      <c r="N13" s="43">
        <f t="shared" si="1"/>
        <v>0</v>
      </c>
      <c r="O13" s="43"/>
      <c r="P13" s="43"/>
      <c r="Q13" s="43">
        <f t="shared" si="2"/>
        <v>0</v>
      </c>
      <c r="R13" s="43"/>
      <c r="S13" s="43"/>
      <c r="T13" s="43"/>
      <c r="U13" s="43"/>
      <c r="V13" s="43"/>
      <c r="W13" s="44"/>
      <c r="Z13" s="34"/>
      <c r="AA13" s="34"/>
      <c r="AB13" s="34"/>
      <c r="AC13" s="34"/>
      <c r="AD13" s="34"/>
    </row>
    <row r="14" ht="13.5" customHeight="1">
      <c r="A14" s="28">
        <v>8.0</v>
      </c>
      <c r="B14" s="37" t="s">
        <v>1565</v>
      </c>
      <c r="C14" s="37" t="s">
        <v>1566</v>
      </c>
      <c r="D14" s="37" t="s">
        <v>1567</v>
      </c>
      <c r="E14" s="171" t="s">
        <v>338</v>
      </c>
      <c r="F14" s="134">
        <v>29.0</v>
      </c>
      <c r="G14" s="134" t="s">
        <v>339</v>
      </c>
      <c r="H14" s="134" t="s">
        <v>970</v>
      </c>
      <c r="I14" s="134">
        <v>9.17477325E8</v>
      </c>
      <c r="J14" s="54">
        <v>30.0</v>
      </c>
      <c r="K14" s="55">
        <v>25.0</v>
      </c>
      <c r="L14" s="55">
        <v>3.0</v>
      </c>
      <c r="M14" s="55">
        <v>2.0</v>
      </c>
      <c r="N14" s="43">
        <f t="shared" si="1"/>
        <v>5</v>
      </c>
      <c r="O14" s="55">
        <v>0.0</v>
      </c>
      <c r="P14" s="55">
        <v>0.0</v>
      </c>
      <c r="Q14" s="43">
        <f t="shared" si="2"/>
        <v>5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" t="s">
        <v>1568</v>
      </c>
      <c r="C15" s="37" t="s">
        <v>1569</v>
      </c>
      <c r="D15" s="37" t="s">
        <v>1570</v>
      </c>
      <c r="E15" s="171" t="s">
        <v>338</v>
      </c>
      <c r="F15" s="134">
        <v>49.0</v>
      </c>
      <c r="G15" s="134" t="s">
        <v>339</v>
      </c>
      <c r="H15" s="134" t="s">
        <v>1549</v>
      </c>
      <c r="I15" s="134">
        <v>9.459929006E9</v>
      </c>
      <c r="J15" s="54">
        <v>26.0</v>
      </c>
      <c r="K15" s="55">
        <v>14.0</v>
      </c>
      <c r="L15" s="55">
        <v>5.0</v>
      </c>
      <c r="M15" s="55">
        <v>7.0</v>
      </c>
      <c r="N15" s="43">
        <f t="shared" si="1"/>
        <v>12</v>
      </c>
      <c r="O15" s="55">
        <v>6.0</v>
      </c>
      <c r="P15" s="55">
        <v>0.0</v>
      </c>
      <c r="Q15" s="43">
        <f t="shared" si="2"/>
        <v>18</v>
      </c>
      <c r="R15" s="43"/>
      <c r="S15" s="43"/>
      <c r="T15" s="43"/>
      <c r="U15" s="43"/>
      <c r="V15" s="55" t="s">
        <v>1571</v>
      </c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37" t="s">
        <v>1572</v>
      </c>
      <c r="C16" s="37" t="s">
        <v>1573</v>
      </c>
      <c r="D16" s="37" t="s">
        <v>1574</v>
      </c>
      <c r="E16" s="171" t="s">
        <v>338</v>
      </c>
      <c r="F16" s="134">
        <v>27.0</v>
      </c>
      <c r="G16" s="134" t="s">
        <v>339</v>
      </c>
      <c r="H16" s="134" t="s">
        <v>974</v>
      </c>
      <c r="I16" s="134">
        <v>9.65283618E9</v>
      </c>
      <c r="J16" s="54">
        <v>31.0</v>
      </c>
      <c r="K16" s="55">
        <v>29.0</v>
      </c>
      <c r="L16" s="55">
        <v>0.0</v>
      </c>
      <c r="M16" s="55">
        <v>1.0</v>
      </c>
      <c r="N16" s="43">
        <f t="shared" si="1"/>
        <v>1</v>
      </c>
      <c r="O16" s="55">
        <v>1.0</v>
      </c>
      <c r="P16" s="55">
        <v>1.0</v>
      </c>
      <c r="Q16" s="43">
        <f t="shared" si="2"/>
        <v>3</v>
      </c>
      <c r="R16" s="43"/>
      <c r="S16" s="43"/>
      <c r="T16" s="43"/>
      <c r="U16" s="43"/>
      <c r="V16" s="55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37" t="s">
        <v>1468</v>
      </c>
      <c r="C17" s="37" t="s">
        <v>1575</v>
      </c>
      <c r="D17" s="37" t="s">
        <v>1576</v>
      </c>
      <c r="E17" s="171" t="s">
        <v>338</v>
      </c>
      <c r="F17" s="134">
        <v>28.0</v>
      </c>
      <c r="G17" s="134" t="s">
        <v>339</v>
      </c>
      <c r="H17" s="134" t="s">
        <v>1577</v>
      </c>
      <c r="I17" s="134">
        <v>9.957513524E9</v>
      </c>
      <c r="J17" s="54">
        <v>27.0</v>
      </c>
      <c r="K17" s="55">
        <v>24.0</v>
      </c>
      <c r="L17" s="55">
        <v>0.0</v>
      </c>
      <c r="M17" s="55">
        <v>3.0</v>
      </c>
      <c r="N17" s="43">
        <v>0.0</v>
      </c>
      <c r="O17" s="55">
        <v>5.0</v>
      </c>
      <c r="P17" s="55">
        <v>0.0</v>
      </c>
      <c r="Q17" s="43">
        <v>0.0</v>
      </c>
      <c r="R17" s="43"/>
      <c r="S17" s="43"/>
      <c r="T17" s="43"/>
      <c r="U17" s="43"/>
      <c r="V17" s="55" t="s">
        <v>1578</v>
      </c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" t="s">
        <v>1579</v>
      </c>
      <c r="C18" s="37" t="s">
        <v>1347</v>
      </c>
      <c r="D18" s="37" t="s">
        <v>1424</v>
      </c>
      <c r="E18" s="171" t="s">
        <v>338</v>
      </c>
      <c r="F18" s="134">
        <v>32.0</v>
      </c>
      <c r="G18" s="134" t="s">
        <v>339</v>
      </c>
      <c r="H18" s="134" t="s">
        <v>998</v>
      </c>
      <c r="I18" s="134">
        <v>9.859736043E9</v>
      </c>
      <c r="J18" s="42"/>
      <c r="K18" s="43"/>
      <c r="L18" s="43"/>
      <c r="M18" s="43"/>
      <c r="N18" s="43">
        <f t="shared" ref="N18:N22" si="3">sum(L18,M18)</f>
        <v>0</v>
      </c>
      <c r="O18" s="43"/>
      <c r="P18" s="43"/>
      <c r="Q18" s="43">
        <f t="shared" ref="Q18:Q22" si="4">sum(N18,O18,P18)</f>
        <v>0</v>
      </c>
      <c r="R18" s="43"/>
      <c r="S18" s="43"/>
      <c r="T18" s="43"/>
      <c r="U18" s="43"/>
      <c r="V18" s="43"/>
      <c r="W18" s="44"/>
      <c r="Z18" s="34"/>
      <c r="AA18" s="61" t="s">
        <v>88</v>
      </c>
      <c r="AB18" s="66">
        <f>COUNTIF(S7:S157, "RPDU")</f>
        <v>0</v>
      </c>
      <c r="AC18" s="34"/>
      <c r="AD18" s="34"/>
    </row>
    <row r="19" ht="13.5" customHeight="1">
      <c r="A19" s="28">
        <v>13.0</v>
      </c>
      <c r="B19" s="37" t="s">
        <v>1580</v>
      </c>
      <c r="C19" s="37" t="s">
        <v>1581</v>
      </c>
      <c r="D19" s="37" t="s">
        <v>1582</v>
      </c>
      <c r="E19" s="171" t="s">
        <v>338</v>
      </c>
      <c r="F19" s="134">
        <v>27.0</v>
      </c>
      <c r="G19" s="134" t="s">
        <v>339</v>
      </c>
      <c r="H19" s="134" t="s">
        <v>1577</v>
      </c>
      <c r="I19" s="134">
        <v>9.196326784E9</v>
      </c>
      <c r="J19" s="54">
        <v>29.0</v>
      </c>
      <c r="K19" s="55">
        <v>26.0</v>
      </c>
      <c r="L19" s="55">
        <v>0.0</v>
      </c>
      <c r="M19" s="55">
        <v>0.0</v>
      </c>
      <c r="N19" s="43">
        <f t="shared" si="3"/>
        <v>0</v>
      </c>
      <c r="O19" s="55">
        <v>2.0</v>
      </c>
      <c r="P19" s="55">
        <v>3.0</v>
      </c>
      <c r="Q19" s="43">
        <f t="shared" si="4"/>
        <v>5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" t="s">
        <v>1583</v>
      </c>
      <c r="C20" s="37" t="s">
        <v>1584</v>
      </c>
      <c r="D20" s="37" t="s">
        <v>1585</v>
      </c>
      <c r="E20" s="171" t="s">
        <v>338</v>
      </c>
      <c r="F20" s="134">
        <v>28.0</v>
      </c>
      <c r="G20" s="134" t="s">
        <v>339</v>
      </c>
      <c r="H20" s="134" t="s">
        <v>1577</v>
      </c>
      <c r="I20" s="134">
        <v>9.517593239E9</v>
      </c>
      <c r="J20" s="54">
        <v>30.0</v>
      </c>
      <c r="K20" s="55">
        <v>30.0</v>
      </c>
      <c r="L20" s="55">
        <v>0.0</v>
      </c>
      <c r="M20" s="55">
        <v>0.0</v>
      </c>
      <c r="N20" s="43">
        <f t="shared" si="3"/>
        <v>0</v>
      </c>
      <c r="O20" s="55">
        <v>2.0</v>
      </c>
      <c r="P20" s="55">
        <v>0.0</v>
      </c>
      <c r="Q20" s="43">
        <f t="shared" si="4"/>
        <v>2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37" t="s">
        <v>1586</v>
      </c>
      <c r="C21" s="37" t="s">
        <v>1587</v>
      </c>
      <c r="D21" s="37" t="s">
        <v>1588</v>
      </c>
      <c r="E21" s="171" t="s">
        <v>338</v>
      </c>
      <c r="F21" s="134">
        <v>32.0</v>
      </c>
      <c r="G21" s="134" t="s">
        <v>385</v>
      </c>
      <c r="H21" s="134" t="s">
        <v>998</v>
      </c>
      <c r="I21" s="134">
        <v>9.158788046E9</v>
      </c>
      <c r="J21" s="54">
        <v>32.0</v>
      </c>
      <c r="K21" s="55">
        <v>32.0</v>
      </c>
      <c r="L21" s="55">
        <v>0.0</v>
      </c>
      <c r="M21" s="55">
        <v>0.0</v>
      </c>
      <c r="N21" s="43">
        <f t="shared" si="3"/>
        <v>0</v>
      </c>
      <c r="O21" s="55">
        <v>0.0</v>
      </c>
      <c r="P21" s="55">
        <v>0.0</v>
      </c>
      <c r="Q21" s="43">
        <f t="shared" si="4"/>
        <v>0</v>
      </c>
      <c r="R21" s="43"/>
      <c r="S21" s="43"/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37" t="s">
        <v>1589</v>
      </c>
      <c r="C22" s="37" t="s">
        <v>1590</v>
      </c>
      <c r="D22" s="37" t="s">
        <v>1591</v>
      </c>
      <c r="E22" s="171" t="s">
        <v>338</v>
      </c>
      <c r="F22" s="134">
        <v>27.0</v>
      </c>
      <c r="G22" s="134" t="s">
        <v>339</v>
      </c>
      <c r="H22" s="134" t="s">
        <v>998</v>
      </c>
      <c r="I22" s="134">
        <v>9.67841204E8</v>
      </c>
      <c r="J22" s="42"/>
      <c r="K22" s="43"/>
      <c r="L22" s="43"/>
      <c r="M22" s="43"/>
      <c r="N22" s="43">
        <f t="shared" si="3"/>
        <v>0</v>
      </c>
      <c r="O22" s="43"/>
      <c r="P22" s="43"/>
      <c r="Q22" s="43">
        <f t="shared" si="4"/>
        <v>0</v>
      </c>
      <c r="R22" s="43"/>
      <c r="S22" s="43"/>
      <c r="T22" s="43"/>
      <c r="U22" s="43"/>
      <c r="V22" s="43"/>
      <c r="W22" s="44"/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203"/>
      <c r="C23" s="106"/>
      <c r="D23" s="106"/>
      <c r="E23" s="109"/>
      <c r="F23" s="53"/>
      <c r="G23" s="82"/>
      <c r="H23" s="53"/>
      <c r="I23" s="53"/>
      <c r="J23" s="42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4"/>
      <c r="Z23" s="34"/>
      <c r="AA23" s="61" t="s">
        <v>109</v>
      </c>
      <c r="AB23" s="66">
        <f>COUNTIF(S7:S157, "Ortho")</f>
        <v>0</v>
      </c>
      <c r="AC23" s="34"/>
      <c r="AD23" s="34"/>
    </row>
    <row r="24" ht="13.5" customHeight="1">
      <c r="A24" s="28">
        <v>18.0</v>
      </c>
      <c r="B24" s="203"/>
      <c r="C24" s="106"/>
      <c r="D24" s="106"/>
      <c r="E24" s="109"/>
      <c r="F24" s="53"/>
      <c r="G24" s="82"/>
      <c r="H24" s="53"/>
      <c r="I24" s="41"/>
      <c r="J24" s="42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4"/>
      <c r="Z24" s="34"/>
      <c r="AA24" s="34"/>
      <c r="AB24" s="34"/>
      <c r="AC24" s="34"/>
      <c r="AD24" s="34"/>
    </row>
    <row r="25" ht="13.5" customHeight="1">
      <c r="A25" s="28">
        <v>19.0</v>
      </c>
      <c r="B25" s="203"/>
      <c r="C25" s="106"/>
      <c r="D25" s="106"/>
      <c r="E25" s="109"/>
      <c r="F25" s="53"/>
      <c r="G25" s="82"/>
      <c r="H25" s="53"/>
      <c r="I25" s="41"/>
      <c r="J25" s="42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4"/>
      <c r="Z25" s="34"/>
      <c r="AA25" s="34"/>
      <c r="AB25" s="34"/>
      <c r="AC25" s="34"/>
      <c r="AD25" s="34"/>
    </row>
    <row r="26" ht="13.5" customHeight="1">
      <c r="A26" s="28">
        <v>20.0</v>
      </c>
      <c r="B26" s="203"/>
      <c r="C26" s="106"/>
      <c r="D26" s="106"/>
      <c r="E26" s="109"/>
      <c r="F26" s="53"/>
      <c r="G26" s="82"/>
      <c r="H26" s="53"/>
      <c r="I26" s="41"/>
      <c r="J26" s="42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  <c r="Z26" s="34"/>
      <c r="AA26" s="34"/>
      <c r="AB26" s="34"/>
      <c r="AC26" s="34"/>
      <c r="AD26" s="34"/>
    </row>
    <row r="27" ht="13.5" customHeight="1">
      <c r="A27" s="28">
        <v>21.0</v>
      </c>
      <c r="B27" s="203"/>
      <c r="C27" s="106"/>
      <c r="D27" s="106"/>
      <c r="E27" s="109"/>
      <c r="F27" s="53"/>
      <c r="G27" s="82"/>
      <c r="H27" s="53"/>
      <c r="I27" s="53"/>
      <c r="J27" s="42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4"/>
      <c r="Z27" s="34"/>
      <c r="AA27" s="34"/>
      <c r="AB27" s="34"/>
      <c r="AC27" s="34"/>
      <c r="AD27" s="34"/>
    </row>
    <row r="28" ht="13.5" customHeight="1">
      <c r="A28" s="28">
        <v>22.0</v>
      </c>
      <c r="B28" s="203"/>
      <c r="C28" s="106"/>
      <c r="D28" s="106"/>
      <c r="E28" s="109"/>
      <c r="F28" s="53"/>
      <c r="G28" s="82"/>
      <c r="H28" s="53"/>
      <c r="I28" s="53"/>
      <c r="J28" s="42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203"/>
      <c r="C29" s="106"/>
      <c r="D29" s="106"/>
      <c r="E29" s="109"/>
      <c r="F29" s="53"/>
      <c r="G29" s="82"/>
      <c r="H29" s="53"/>
      <c r="I29" s="53"/>
      <c r="J29" s="42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  <c r="Z29" s="34"/>
      <c r="AA29" s="34"/>
      <c r="AB29" s="34"/>
      <c r="AC29" s="34"/>
      <c r="AD29" s="34"/>
    </row>
    <row r="30" ht="13.5" customHeight="1">
      <c r="A30" s="28">
        <v>24.0</v>
      </c>
      <c r="B30" s="203"/>
      <c r="C30" s="203"/>
      <c r="D30" s="203"/>
      <c r="E30" s="109"/>
      <c r="F30" s="53"/>
      <c r="G30" s="82"/>
      <c r="H30" s="53"/>
      <c r="I30" s="76"/>
      <c r="J30" s="42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4"/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203"/>
      <c r="C31" s="106"/>
      <c r="D31" s="106"/>
      <c r="E31" s="109"/>
      <c r="F31" s="53"/>
      <c r="G31" s="82"/>
      <c r="H31" s="53"/>
      <c r="I31" s="53"/>
      <c r="J31" s="42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203"/>
      <c r="C32" s="112"/>
      <c r="D32" s="112"/>
      <c r="E32" s="53"/>
      <c r="F32" s="53"/>
      <c r="G32" s="53"/>
      <c r="H32" s="90"/>
      <c r="I32" s="79"/>
      <c r="J32" s="42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203"/>
      <c r="C33" s="106"/>
      <c r="D33" s="106"/>
      <c r="E33" s="53"/>
      <c r="F33" s="53"/>
      <c r="G33" s="53"/>
      <c r="H33" s="206"/>
      <c r="I33" s="80"/>
      <c r="J33" s="42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4"/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03"/>
      <c r="C34" s="106"/>
      <c r="D34" s="106"/>
      <c r="E34" s="53"/>
      <c r="F34" s="53"/>
      <c r="G34" s="82"/>
      <c r="H34" s="53"/>
      <c r="I34" s="53"/>
      <c r="J34" s="42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4"/>
      <c r="Z34" s="61"/>
      <c r="AA34" s="61"/>
      <c r="AB34" s="66"/>
      <c r="AC34" s="34"/>
      <c r="AD34" s="34"/>
    </row>
    <row r="35" ht="13.5" customHeight="1">
      <c r="A35" s="28">
        <v>29.0</v>
      </c>
      <c r="B35" s="203"/>
      <c r="C35" s="106"/>
      <c r="D35" s="106"/>
      <c r="E35" s="53"/>
      <c r="F35" s="53"/>
      <c r="G35" s="82"/>
      <c r="H35" s="53"/>
      <c r="I35" s="53"/>
      <c r="J35" s="81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4"/>
      <c r="Z35" s="61"/>
      <c r="AA35" s="61"/>
      <c r="AB35" s="66"/>
      <c r="AC35" s="34"/>
      <c r="AD35" s="34"/>
    </row>
    <row r="36" ht="13.5" customHeight="1">
      <c r="A36" s="28">
        <v>30.0</v>
      </c>
      <c r="B36" s="106"/>
      <c r="C36" s="106"/>
      <c r="D36" s="106"/>
      <c r="E36" s="53"/>
      <c r="F36" s="53"/>
      <c r="G36" s="82"/>
      <c r="H36" s="53"/>
      <c r="I36" s="82"/>
      <c r="J36" s="8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4"/>
      <c r="Z36" s="61"/>
      <c r="AA36" s="61"/>
      <c r="AB36" s="66"/>
      <c r="AC36" s="34"/>
      <c r="AD36" s="34"/>
    </row>
    <row r="37" ht="13.5" customHeight="1">
      <c r="A37" s="28">
        <v>31.0</v>
      </c>
      <c r="B37" s="106"/>
      <c r="C37" s="106"/>
      <c r="D37" s="106"/>
      <c r="E37" s="53"/>
      <c r="F37" s="53"/>
      <c r="G37" s="82"/>
      <c r="H37" s="53"/>
      <c r="I37" s="82"/>
      <c r="J37" s="8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106"/>
      <c r="C38" s="106"/>
      <c r="D38" s="106"/>
      <c r="E38" s="53"/>
      <c r="F38" s="53"/>
      <c r="G38" s="82"/>
      <c r="H38" s="53"/>
      <c r="I38" s="82"/>
      <c r="J38" s="8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106"/>
      <c r="C39" s="106"/>
      <c r="D39" s="106"/>
      <c r="E39" s="53"/>
      <c r="F39" s="53"/>
      <c r="G39" s="82"/>
      <c r="H39" s="53"/>
      <c r="I39" s="88"/>
      <c r="J39" s="8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  <c r="Z39" s="61"/>
      <c r="AA39" s="61"/>
      <c r="AB39" s="66"/>
      <c r="AC39" s="34"/>
      <c r="AD39" s="34"/>
    </row>
    <row r="40" ht="13.5" customHeight="1">
      <c r="A40" s="28">
        <v>34.0</v>
      </c>
      <c r="B40" s="106"/>
      <c r="C40" s="106"/>
      <c r="D40" s="106"/>
      <c r="E40" s="53"/>
      <c r="F40" s="53"/>
      <c r="G40" s="82"/>
      <c r="H40" s="53"/>
      <c r="I40" s="88"/>
      <c r="J40" s="8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4"/>
      <c r="Z40" s="61"/>
      <c r="AA40" s="61"/>
      <c r="AB40" s="66"/>
      <c r="AC40" s="34"/>
      <c r="AD40" s="34"/>
    </row>
    <row r="41" ht="13.5" customHeight="1">
      <c r="A41" s="28">
        <v>35.0</v>
      </c>
      <c r="B41" s="107"/>
      <c r="C41" s="107"/>
      <c r="D41" s="107"/>
      <c r="E41" s="53"/>
      <c r="F41" s="53"/>
      <c r="G41" s="82"/>
      <c r="H41" s="53"/>
      <c r="I41" s="89"/>
      <c r="J41" s="8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106"/>
      <c r="C42" s="106"/>
      <c r="D42" s="106"/>
      <c r="E42" s="109"/>
      <c r="F42" s="53"/>
      <c r="G42" s="82"/>
      <c r="H42" s="53"/>
      <c r="I42" s="89"/>
      <c r="J42" s="8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203"/>
      <c r="C43" s="203"/>
      <c r="D43" s="203"/>
      <c r="E43" s="109"/>
      <c r="F43" s="53"/>
      <c r="G43" s="82"/>
      <c r="H43" s="53"/>
      <c r="I43" s="82"/>
      <c r="J43" s="8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06"/>
      <c r="C44" s="106"/>
      <c r="D44" s="106"/>
      <c r="E44" s="109"/>
      <c r="F44" s="53"/>
      <c r="G44" s="82"/>
      <c r="H44" s="53"/>
      <c r="I44" s="82"/>
      <c r="J44" s="8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5">SUM(J7:J156)</f>
        <v>388</v>
      </c>
      <c r="K157" s="123">
        <f t="shared" si="5"/>
        <v>289</v>
      </c>
      <c r="L157" s="123">
        <f t="shared" si="5"/>
        <v>11</v>
      </c>
      <c r="M157" s="123">
        <f t="shared" si="5"/>
        <v>30</v>
      </c>
      <c r="N157" s="123">
        <f t="shared" si="5"/>
        <v>38</v>
      </c>
      <c r="O157" s="123">
        <f t="shared" si="5"/>
        <v>25</v>
      </c>
      <c r="P157" s="123">
        <f t="shared" si="5"/>
        <v>6</v>
      </c>
      <c r="Q157" s="123">
        <f t="shared" si="5"/>
        <v>64</v>
      </c>
      <c r="R157" s="124"/>
      <c r="S157" s="124"/>
      <c r="T157" s="125"/>
      <c r="U157" s="145" t="s">
        <v>330</v>
      </c>
      <c r="V157" s="5"/>
      <c r="W157" s="126">
        <f>COUNTIF(W7:W21,"YES")</f>
        <v>13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6.0"/>
    <col customWidth="1" min="3" max="3" width="16.38"/>
    <col customWidth="1" min="4" max="4" width="16.13"/>
    <col customWidth="1" min="5" max="5" width="14.75"/>
    <col customWidth="1" min="6" max="6" width="8.63"/>
    <col customWidth="1" min="7" max="7" width="13.63"/>
    <col customWidth="1" min="8" max="8" width="16.13"/>
    <col customWidth="1" min="9" max="9" width="15.38"/>
    <col customWidth="1" min="10" max="10" width="12.5"/>
    <col customWidth="1" min="11" max="11" width="11.63"/>
    <col customWidth="1" min="12" max="12" width="11.38"/>
    <col customWidth="1" min="13" max="13" width="11.75"/>
    <col customWidth="1" min="14" max="19" width="8.63"/>
    <col customWidth="1" min="20" max="20" width="14.13"/>
    <col customWidth="1" min="21" max="21" width="8.75"/>
    <col customWidth="1" min="22" max="22" width="15.5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5.75" customHeight="1">
      <c r="A2" s="6" t="s">
        <v>1</v>
      </c>
      <c r="B2" s="5"/>
      <c r="C2" s="207" t="s">
        <v>1592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24.75" customHeight="1">
      <c r="A3" s="6" t="s">
        <v>3</v>
      </c>
      <c r="B3" s="5"/>
      <c r="C3" s="207" t="s">
        <v>1593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207" t="s">
        <v>1594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1595</v>
      </c>
      <c r="C7" s="37" t="s">
        <v>1596</v>
      </c>
      <c r="D7" s="37" t="s">
        <v>1597</v>
      </c>
      <c r="E7" s="133" t="s">
        <v>338</v>
      </c>
      <c r="F7" s="134">
        <v>37.0</v>
      </c>
      <c r="G7" s="134" t="s">
        <v>476</v>
      </c>
      <c r="H7" s="134" t="s">
        <v>636</v>
      </c>
      <c r="I7" s="134">
        <v>9.465557343E9</v>
      </c>
      <c r="J7" s="54">
        <v>26.0</v>
      </c>
      <c r="K7" s="55">
        <v>18.0</v>
      </c>
      <c r="L7" s="55">
        <v>0.0</v>
      </c>
      <c r="M7" s="55">
        <v>0.0</v>
      </c>
      <c r="N7" s="43">
        <f t="shared" ref="N7:N24" si="1">SUM(L7,M7)</f>
        <v>0</v>
      </c>
      <c r="O7" s="55">
        <v>6.0</v>
      </c>
      <c r="P7" s="55">
        <v>8.0</v>
      </c>
      <c r="Q7" s="43">
        <f t="shared" ref="Q7:Q24" si="2">SUM(N7,O7,P7)</f>
        <v>14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1598</v>
      </c>
      <c r="C8" s="37" t="s">
        <v>1599</v>
      </c>
      <c r="D8" s="37" t="s">
        <v>1600</v>
      </c>
      <c r="E8" s="133" t="s">
        <v>338</v>
      </c>
      <c r="F8" s="134">
        <v>41.0</v>
      </c>
      <c r="G8" s="134" t="s">
        <v>476</v>
      </c>
      <c r="H8" s="134" t="s">
        <v>646</v>
      </c>
      <c r="I8" s="134">
        <v>9.665270125E9</v>
      </c>
      <c r="J8" s="54">
        <v>27.0</v>
      </c>
      <c r="K8" s="55">
        <v>20.0</v>
      </c>
      <c r="L8" s="55">
        <v>1.0</v>
      </c>
      <c r="M8" s="55">
        <v>1.0</v>
      </c>
      <c r="N8" s="43">
        <f t="shared" si="1"/>
        <v>2</v>
      </c>
      <c r="O8" s="55">
        <v>5.0</v>
      </c>
      <c r="P8" s="55">
        <v>7.0</v>
      </c>
      <c r="Q8" s="43">
        <f t="shared" si="2"/>
        <v>14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" t="s">
        <v>1601</v>
      </c>
      <c r="C9" s="37" t="s">
        <v>650</v>
      </c>
      <c r="D9" s="37" t="s">
        <v>1602</v>
      </c>
      <c r="E9" s="133" t="s">
        <v>338</v>
      </c>
      <c r="F9" s="134">
        <v>30.0</v>
      </c>
      <c r="G9" s="134" t="s">
        <v>476</v>
      </c>
      <c r="H9" s="134" t="s">
        <v>435</v>
      </c>
      <c r="I9" s="134">
        <v>9.199133094E9</v>
      </c>
      <c r="J9" s="54">
        <v>28.0</v>
      </c>
      <c r="K9" s="55">
        <v>22.0</v>
      </c>
      <c r="L9" s="55">
        <v>0.0</v>
      </c>
      <c r="M9" s="55">
        <v>0.0</v>
      </c>
      <c r="N9" s="43">
        <f t="shared" si="1"/>
        <v>0</v>
      </c>
      <c r="O9" s="55">
        <v>4.0</v>
      </c>
      <c r="P9" s="55">
        <v>6.0</v>
      </c>
      <c r="Q9" s="43">
        <f t="shared" si="2"/>
        <v>10</v>
      </c>
      <c r="R9" s="43"/>
      <c r="S9" s="43"/>
      <c r="T9" s="43"/>
      <c r="U9" s="43"/>
      <c r="V9" s="55" t="s">
        <v>1554</v>
      </c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" t="s">
        <v>1603</v>
      </c>
      <c r="C10" s="37" t="s">
        <v>1604</v>
      </c>
      <c r="D10" s="37" t="s">
        <v>1605</v>
      </c>
      <c r="E10" s="133" t="s">
        <v>338</v>
      </c>
      <c r="F10" s="134">
        <v>33.0</v>
      </c>
      <c r="G10" s="134" t="s">
        <v>476</v>
      </c>
      <c r="H10" s="134" t="s">
        <v>435</v>
      </c>
      <c r="I10" s="134">
        <v>9.183778919E9</v>
      </c>
      <c r="J10" s="54">
        <v>31.0</v>
      </c>
      <c r="K10" s="55">
        <v>28.0</v>
      </c>
      <c r="L10" s="55">
        <v>0.0</v>
      </c>
      <c r="M10" s="55">
        <v>1.0</v>
      </c>
      <c r="N10" s="43">
        <f t="shared" si="1"/>
        <v>1</v>
      </c>
      <c r="O10" s="55">
        <v>1.0</v>
      </c>
      <c r="P10" s="55">
        <v>2.0</v>
      </c>
      <c r="Q10" s="43">
        <f t="shared" si="2"/>
        <v>4</v>
      </c>
      <c r="R10" s="43"/>
      <c r="S10" s="43"/>
      <c r="T10" s="43"/>
      <c r="U10" s="43"/>
      <c r="V10" s="55" t="s">
        <v>1554</v>
      </c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" t="s">
        <v>531</v>
      </c>
      <c r="C11" s="37" t="s">
        <v>1606</v>
      </c>
      <c r="D11" s="37" t="s">
        <v>1607</v>
      </c>
      <c r="E11" s="133" t="s">
        <v>338</v>
      </c>
      <c r="F11" s="134">
        <v>31.0</v>
      </c>
      <c r="G11" s="134" t="s">
        <v>476</v>
      </c>
      <c r="H11" s="134" t="s">
        <v>641</v>
      </c>
      <c r="I11" s="134">
        <v>9.453445248E9</v>
      </c>
      <c r="J11" s="54">
        <v>29.0</v>
      </c>
      <c r="K11" s="55">
        <v>26.0</v>
      </c>
      <c r="L11" s="55">
        <v>0.0</v>
      </c>
      <c r="M11" s="55">
        <v>3.0</v>
      </c>
      <c r="N11" s="43">
        <f t="shared" si="1"/>
        <v>3</v>
      </c>
      <c r="O11" s="55">
        <v>3.0</v>
      </c>
      <c r="P11" s="55">
        <v>0.0</v>
      </c>
      <c r="Q11" s="43">
        <f t="shared" si="2"/>
        <v>6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" t="s">
        <v>1608</v>
      </c>
      <c r="C12" s="37" t="s">
        <v>1609</v>
      </c>
      <c r="D12" s="37" t="s">
        <v>1610</v>
      </c>
      <c r="E12" s="133" t="s">
        <v>338</v>
      </c>
      <c r="F12" s="134">
        <v>25.0</v>
      </c>
      <c r="G12" s="134" t="s">
        <v>476</v>
      </c>
      <c r="H12" s="134" t="s">
        <v>435</v>
      </c>
      <c r="I12" s="134">
        <v>9.755562195E9</v>
      </c>
      <c r="J12" s="42"/>
      <c r="K12" s="43"/>
      <c r="L12" s="43"/>
      <c r="M12" s="43"/>
      <c r="N12" s="43">
        <f t="shared" si="1"/>
        <v>0</v>
      </c>
      <c r="O12" s="43"/>
      <c r="P12" s="43"/>
      <c r="Q12" s="43">
        <f t="shared" si="2"/>
        <v>0</v>
      </c>
      <c r="R12" s="43"/>
      <c r="S12" s="43"/>
      <c r="T12" s="43"/>
      <c r="U12" s="43"/>
      <c r="V12" s="43"/>
      <c r="W12" s="44"/>
      <c r="Z12" s="34"/>
      <c r="AA12" s="60" t="s">
        <v>62</v>
      </c>
      <c r="AB12" s="58"/>
      <c r="AC12" s="58"/>
      <c r="AD12" s="46">
        <f>W157</f>
        <v>15</v>
      </c>
    </row>
    <row r="13" ht="13.5" customHeight="1">
      <c r="A13" s="28">
        <v>7.0</v>
      </c>
      <c r="B13" s="37" t="s">
        <v>1611</v>
      </c>
      <c r="C13" s="37" t="s">
        <v>1612</v>
      </c>
      <c r="D13" s="37" t="s">
        <v>1613</v>
      </c>
      <c r="E13" s="133" t="s">
        <v>338</v>
      </c>
      <c r="F13" s="134">
        <v>39.0</v>
      </c>
      <c r="G13" s="134" t="s">
        <v>476</v>
      </c>
      <c r="H13" s="134" t="s">
        <v>435</v>
      </c>
      <c r="I13" s="134">
        <v>9.479687614E9</v>
      </c>
      <c r="J13" s="54">
        <v>30.0</v>
      </c>
      <c r="K13" s="55">
        <v>29.0</v>
      </c>
      <c r="L13" s="55">
        <v>0.0</v>
      </c>
      <c r="M13" s="55">
        <v>0.0</v>
      </c>
      <c r="N13" s="43">
        <f t="shared" si="1"/>
        <v>0</v>
      </c>
      <c r="O13" s="55">
        <v>2.0</v>
      </c>
      <c r="P13" s="55">
        <v>1.0</v>
      </c>
      <c r="Q13" s="43">
        <f t="shared" si="2"/>
        <v>3</v>
      </c>
      <c r="R13" s="43"/>
      <c r="S13" s="43"/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37" t="s">
        <v>1614</v>
      </c>
      <c r="C14" s="37" t="s">
        <v>1615</v>
      </c>
      <c r="D14" s="37" t="s">
        <v>1616</v>
      </c>
      <c r="E14" s="133" t="s">
        <v>338</v>
      </c>
      <c r="F14" s="208">
        <v>38.0</v>
      </c>
      <c r="G14" s="208" t="s">
        <v>476</v>
      </c>
      <c r="H14" s="208" t="s">
        <v>646</v>
      </c>
      <c r="I14" s="208">
        <v>9.989136084E9</v>
      </c>
      <c r="J14" s="54">
        <v>32.0</v>
      </c>
      <c r="K14" s="55">
        <v>30.0</v>
      </c>
      <c r="L14" s="55">
        <v>0.0</v>
      </c>
      <c r="M14" s="55">
        <v>0.0</v>
      </c>
      <c r="N14" s="43">
        <f t="shared" si="1"/>
        <v>0</v>
      </c>
      <c r="O14" s="55">
        <v>0.0</v>
      </c>
      <c r="P14" s="55">
        <v>2.0</v>
      </c>
      <c r="Q14" s="43">
        <f t="shared" si="2"/>
        <v>2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" t="s">
        <v>1617</v>
      </c>
      <c r="C15" s="37" t="s">
        <v>1618</v>
      </c>
      <c r="D15" s="37" t="s">
        <v>1619</v>
      </c>
      <c r="E15" s="133" t="s">
        <v>338</v>
      </c>
      <c r="F15" s="134">
        <v>30.0</v>
      </c>
      <c r="G15" s="134" t="s">
        <v>476</v>
      </c>
      <c r="H15" s="134" t="s">
        <v>435</v>
      </c>
      <c r="I15" s="134">
        <v>9.099663371E9</v>
      </c>
      <c r="J15" s="54">
        <v>31.0</v>
      </c>
      <c r="K15" s="55">
        <v>28.0</v>
      </c>
      <c r="L15" s="55">
        <v>0.0</v>
      </c>
      <c r="M15" s="55">
        <v>3.0</v>
      </c>
      <c r="N15" s="43">
        <f t="shared" si="1"/>
        <v>3</v>
      </c>
      <c r="O15" s="55">
        <v>0.0</v>
      </c>
      <c r="P15" s="55">
        <v>0.0</v>
      </c>
      <c r="Q15" s="43">
        <f t="shared" si="2"/>
        <v>3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37" t="s">
        <v>1620</v>
      </c>
      <c r="C16" s="37" t="s">
        <v>1621</v>
      </c>
      <c r="D16" s="37" t="s">
        <v>1622</v>
      </c>
      <c r="E16" s="133" t="s">
        <v>338</v>
      </c>
      <c r="F16" s="134">
        <v>32.0</v>
      </c>
      <c r="G16" s="134" t="s">
        <v>476</v>
      </c>
      <c r="H16" s="134" t="s">
        <v>646</v>
      </c>
      <c r="I16" s="208">
        <v>9.391513663E9</v>
      </c>
      <c r="J16" s="54">
        <v>29.0</v>
      </c>
      <c r="K16" s="55">
        <v>29.0</v>
      </c>
      <c r="L16" s="55">
        <v>0.0</v>
      </c>
      <c r="M16" s="55">
        <v>0.0</v>
      </c>
      <c r="N16" s="43">
        <f t="shared" si="1"/>
        <v>0</v>
      </c>
      <c r="O16" s="55">
        <v>3.0</v>
      </c>
      <c r="P16" s="55">
        <v>0.0</v>
      </c>
      <c r="Q16" s="43">
        <f t="shared" si="2"/>
        <v>3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37" t="s">
        <v>1623</v>
      </c>
      <c r="C17" s="37" t="s">
        <v>1624</v>
      </c>
      <c r="D17" s="37" t="s">
        <v>1625</v>
      </c>
      <c r="E17" s="133" t="s">
        <v>338</v>
      </c>
      <c r="F17" s="134">
        <v>49.0</v>
      </c>
      <c r="G17" s="134" t="s">
        <v>476</v>
      </c>
      <c r="H17" s="134" t="s">
        <v>646</v>
      </c>
      <c r="I17" s="134">
        <v>9.152892876E9</v>
      </c>
      <c r="J17" s="54">
        <v>29.0</v>
      </c>
      <c r="K17" s="55">
        <v>20.0</v>
      </c>
      <c r="L17" s="55">
        <v>3.0</v>
      </c>
      <c r="M17" s="55">
        <v>5.0</v>
      </c>
      <c r="N17" s="43">
        <f t="shared" si="1"/>
        <v>8</v>
      </c>
      <c r="O17" s="55">
        <v>3.0</v>
      </c>
      <c r="P17" s="55">
        <v>1.0</v>
      </c>
      <c r="Q17" s="43">
        <f t="shared" si="2"/>
        <v>12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" t="s">
        <v>1626</v>
      </c>
      <c r="C18" s="37" t="s">
        <v>1627</v>
      </c>
      <c r="D18" s="37" t="s">
        <v>1628</v>
      </c>
      <c r="E18" s="133" t="s">
        <v>338</v>
      </c>
      <c r="F18" s="134">
        <v>26.0</v>
      </c>
      <c r="G18" s="134" t="s">
        <v>476</v>
      </c>
      <c r="H18" s="134" t="s">
        <v>435</v>
      </c>
      <c r="I18" s="134">
        <v>9.065797078E9</v>
      </c>
      <c r="J18" s="42"/>
      <c r="K18" s="43"/>
      <c r="L18" s="43"/>
      <c r="M18" s="43"/>
      <c r="N18" s="43">
        <f t="shared" si="1"/>
        <v>0</v>
      </c>
      <c r="O18" s="43"/>
      <c r="P18" s="43"/>
      <c r="Q18" s="43">
        <f t="shared" si="2"/>
        <v>0</v>
      </c>
      <c r="R18" s="43"/>
      <c r="S18" s="43"/>
      <c r="T18" s="43"/>
      <c r="U18" s="43"/>
      <c r="V18" s="43"/>
      <c r="W18" s="44"/>
      <c r="Z18" s="34"/>
      <c r="AA18" s="61" t="s">
        <v>88</v>
      </c>
      <c r="AB18" s="66">
        <f>COUNTIF(S7:S157, "RPDU")</f>
        <v>0</v>
      </c>
      <c r="AC18" s="34"/>
      <c r="AD18" s="34"/>
    </row>
    <row r="19" ht="13.5" customHeight="1">
      <c r="A19" s="28">
        <v>13.0</v>
      </c>
      <c r="B19" s="37" t="s">
        <v>1629</v>
      </c>
      <c r="C19" s="37" t="s">
        <v>1630</v>
      </c>
      <c r="D19" s="37" t="s">
        <v>1631</v>
      </c>
      <c r="E19" s="133" t="s">
        <v>338</v>
      </c>
      <c r="F19" s="134">
        <v>57.0</v>
      </c>
      <c r="G19" s="134" t="s">
        <v>584</v>
      </c>
      <c r="H19" s="134" t="s">
        <v>646</v>
      </c>
      <c r="I19" s="134">
        <v>9.86499283E9</v>
      </c>
      <c r="J19" s="54">
        <v>24.0</v>
      </c>
      <c r="K19" s="55">
        <v>20.0</v>
      </c>
      <c r="L19" s="55">
        <v>0.0</v>
      </c>
      <c r="M19" s="55">
        <v>1.0</v>
      </c>
      <c r="N19" s="43">
        <f t="shared" si="1"/>
        <v>1</v>
      </c>
      <c r="O19" s="55">
        <v>8.0</v>
      </c>
      <c r="P19" s="55">
        <v>3.0</v>
      </c>
      <c r="Q19" s="43">
        <f t="shared" si="2"/>
        <v>12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" t="s">
        <v>1629</v>
      </c>
      <c r="C20" s="37" t="s">
        <v>1632</v>
      </c>
      <c r="D20" s="37" t="s">
        <v>1633</v>
      </c>
      <c r="E20" s="133" t="s">
        <v>338</v>
      </c>
      <c r="F20" s="134">
        <v>55.0</v>
      </c>
      <c r="G20" s="134" t="s">
        <v>476</v>
      </c>
      <c r="H20" s="134" t="s">
        <v>435</v>
      </c>
      <c r="I20" s="134">
        <v>9.989269509E9</v>
      </c>
      <c r="J20" s="54">
        <v>21.0</v>
      </c>
      <c r="K20" s="55">
        <v>16.0</v>
      </c>
      <c r="L20" s="55">
        <v>0.0</v>
      </c>
      <c r="M20" s="55">
        <v>5.0</v>
      </c>
      <c r="N20" s="43">
        <f t="shared" si="1"/>
        <v>5</v>
      </c>
      <c r="O20" s="55">
        <v>11.0</v>
      </c>
      <c r="P20" s="55">
        <v>0.0</v>
      </c>
      <c r="Q20" s="43">
        <f t="shared" si="2"/>
        <v>16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37" t="s">
        <v>1634</v>
      </c>
      <c r="C21" s="37" t="s">
        <v>1635</v>
      </c>
      <c r="D21" s="37" t="s">
        <v>1636</v>
      </c>
      <c r="E21" s="133" t="s">
        <v>338</v>
      </c>
      <c r="F21" s="134">
        <v>28.0</v>
      </c>
      <c r="G21" s="134" t="s">
        <v>476</v>
      </c>
      <c r="H21" s="134" t="s">
        <v>435</v>
      </c>
      <c r="I21" s="134">
        <v>9.124945163E9</v>
      </c>
      <c r="J21" s="42"/>
      <c r="K21" s="43"/>
      <c r="L21" s="43"/>
      <c r="M21" s="43"/>
      <c r="N21" s="43">
        <f t="shared" si="1"/>
        <v>0</v>
      </c>
      <c r="O21" s="43"/>
      <c r="P21" s="43"/>
      <c r="Q21" s="43">
        <f t="shared" si="2"/>
        <v>0</v>
      </c>
      <c r="R21" s="43"/>
      <c r="S21" s="43"/>
      <c r="T21" s="43"/>
      <c r="U21" s="43"/>
      <c r="V21" s="43"/>
      <c r="W21" s="44"/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37" t="s">
        <v>1637</v>
      </c>
      <c r="C22" s="37" t="s">
        <v>1638</v>
      </c>
      <c r="D22" s="37" t="s">
        <v>1639</v>
      </c>
      <c r="E22" s="133" t="s">
        <v>338</v>
      </c>
      <c r="F22" s="208">
        <v>31.0</v>
      </c>
      <c r="G22" s="208" t="s">
        <v>476</v>
      </c>
      <c r="H22" s="208" t="s">
        <v>480</v>
      </c>
      <c r="I22" s="208">
        <v>9.052402801E9</v>
      </c>
      <c r="J22" s="54">
        <v>28.0</v>
      </c>
      <c r="K22" s="55">
        <v>22.0</v>
      </c>
      <c r="L22" s="55">
        <v>0.0</v>
      </c>
      <c r="M22" s="55">
        <v>0.0</v>
      </c>
      <c r="N22" s="43">
        <f t="shared" si="1"/>
        <v>0</v>
      </c>
      <c r="O22" s="55">
        <v>4.0</v>
      </c>
      <c r="P22" s="55">
        <v>6.0</v>
      </c>
      <c r="Q22" s="43">
        <f t="shared" si="2"/>
        <v>10</v>
      </c>
      <c r="R22" s="43"/>
      <c r="S22" s="43"/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37" t="s">
        <v>1640</v>
      </c>
      <c r="C23" s="37" t="s">
        <v>1641</v>
      </c>
      <c r="D23" s="37" t="s">
        <v>1642</v>
      </c>
      <c r="E23" s="133" t="s">
        <v>338</v>
      </c>
      <c r="F23" s="134">
        <v>45.0</v>
      </c>
      <c r="G23" s="134" t="s">
        <v>476</v>
      </c>
      <c r="H23" s="134" t="s">
        <v>480</v>
      </c>
      <c r="I23" s="134">
        <v>9.672058195E9</v>
      </c>
      <c r="J23" s="54">
        <v>21.0</v>
      </c>
      <c r="K23" s="55">
        <v>17.0</v>
      </c>
      <c r="L23" s="55">
        <v>0.0</v>
      </c>
      <c r="M23" s="55">
        <v>1.0</v>
      </c>
      <c r="N23" s="43">
        <f t="shared" si="1"/>
        <v>1</v>
      </c>
      <c r="O23" s="55">
        <v>11.0</v>
      </c>
      <c r="P23" s="55">
        <v>3.0</v>
      </c>
      <c r="Q23" s="43">
        <f t="shared" si="2"/>
        <v>15</v>
      </c>
      <c r="R23" s="43"/>
      <c r="S23" s="43"/>
      <c r="T23" s="43"/>
      <c r="U23" s="43"/>
      <c r="V23" s="55" t="s">
        <v>1643</v>
      </c>
      <c r="W23" s="56" t="s">
        <v>46</v>
      </c>
      <c r="Z23" s="34"/>
      <c r="AA23" s="61" t="s">
        <v>109</v>
      </c>
      <c r="AB23" s="66">
        <f>COUNTIF(S7:S157, "Ortho")</f>
        <v>0</v>
      </c>
      <c r="AC23" s="34"/>
      <c r="AD23" s="34"/>
    </row>
    <row r="24" ht="13.5" customHeight="1">
      <c r="A24" s="28">
        <v>18.0</v>
      </c>
      <c r="B24" s="37" t="s">
        <v>1644</v>
      </c>
      <c r="C24" s="37" t="s">
        <v>1645</v>
      </c>
      <c r="D24" s="37" t="s">
        <v>1646</v>
      </c>
      <c r="E24" s="133" t="s">
        <v>338</v>
      </c>
      <c r="F24" s="134">
        <v>48.0</v>
      </c>
      <c r="G24" s="134" t="s">
        <v>584</v>
      </c>
      <c r="H24" s="134" t="s">
        <v>404</v>
      </c>
      <c r="I24" s="134">
        <v>9.66862622E9</v>
      </c>
      <c r="J24" s="87">
        <v>17.0</v>
      </c>
      <c r="K24" s="55">
        <v>9.0</v>
      </c>
      <c r="L24" s="55">
        <v>2.0</v>
      </c>
      <c r="M24" s="55">
        <v>6.0</v>
      </c>
      <c r="N24" s="43">
        <f t="shared" si="1"/>
        <v>8</v>
      </c>
      <c r="O24" s="55">
        <v>15.0</v>
      </c>
      <c r="P24" s="55">
        <v>0.0</v>
      </c>
      <c r="Q24" s="43">
        <f t="shared" si="2"/>
        <v>23</v>
      </c>
      <c r="R24" s="43"/>
      <c r="S24" s="43"/>
      <c r="T24" s="43"/>
      <c r="U24" s="43"/>
      <c r="V24" s="55" t="s">
        <v>648</v>
      </c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203"/>
      <c r="C25" s="106"/>
      <c r="D25" s="106"/>
      <c r="E25" s="109"/>
      <c r="F25" s="53"/>
      <c r="G25" s="82"/>
      <c r="H25" s="53"/>
      <c r="I25" s="41"/>
      <c r="J25" s="42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4"/>
      <c r="Z25" s="34"/>
      <c r="AA25" s="34"/>
      <c r="AB25" s="34"/>
      <c r="AC25" s="34"/>
      <c r="AD25" s="34"/>
    </row>
    <row r="26" ht="13.5" customHeight="1">
      <c r="A26" s="28">
        <v>20.0</v>
      </c>
      <c r="B26" s="203"/>
      <c r="C26" s="106"/>
      <c r="D26" s="106"/>
      <c r="E26" s="109"/>
      <c r="F26" s="53"/>
      <c r="G26" s="82"/>
      <c r="H26" s="53"/>
      <c r="I26" s="41"/>
      <c r="J26" s="42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  <c r="Z26" s="34"/>
      <c r="AA26" s="34"/>
      <c r="AB26" s="34"/>
      <c r="AC26" s="34"/>
      <c r="AD26" s="34"/>
    </row>
    <row r="27" ht="13.5" customHeight="1">
      <c r="A27" s="28">
        <v>21.0</v>
      </c>
      <c r="B27" s="203"/>
      <c r="C27" s="106"/>
      <c r="D27" s="106"/>
      <c r="E27" s="109"/>
      <c r="F27" s="53"/>
      <c r="G27" s="82"/>
      <c r="H27" s="53"/>
      <c r="I27" s="53"/>
      <c r="J27" s="42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4"/>
      <c r="Z27" s="34"/>
      <c r="AA27" s="34"/>
      <c r="AB27" s="34"/>
      <c r="AC27" s="34"/>
      <c r="AD27" s="34"/>
    </row>
    <row r="28" ht="13.5" customHeight="1">
      <c r="A28" s="28">
        <v>22.0</v>
      </c>
      <c r="B28" s="203"/>
      <c r="C28" s="106"/>
      <c r="D28" s="106"/>
      <c r="E28" s="109"/>
      <c r="F28" s="53"/>
      <c r="G28" s="82"/>
      <c r="H28" s="53"/>
      <c r="I28" s="53"/>
      <c r="J28" s="42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203"/>
      <c r="C29" s="106"/>
      <c r="D29" s="106"/>
      <c r="E29" s="109"/>
      <c r="F29" s="53"/>
      <c r="G29" s="82"/>
      <c r="H29" s="53"/>
      <c r="I29" s="53"/>
      <c r="J29" s="42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  <c r="Z29" s="34"/>
      <c r="AA29" s="34"/>
      <c r="AB29" s="34"/>
      <c r="AC29" s="34"/>
      <c r="AD29" s="34"/>
    </row>
    <row r="30" ht="13.5" customHeight="1">
      <c r="A30" s="28">
        <v>24.0</v>
      </c>
      <c r="B30" s="203"/>
      <c r="C30" s="203"/>
      <c r="D30" s="203"/>
      <c r="E30" s="109"/>
      <c r="F30" s="53"/>
      <c r="G30" s="82"/>
      <c r="H30" s="53"/>
      <c r="I30" s="76"/>
      <c r="J30" s="42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4"/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203"/>
      <c r="C31" s="106"/>
      <c r="D31" s="106"/>
      <c r="E31" s="109"/>
      <c r="F31" s="53"/>
      <c r="G31" s="82"/>
      <c r="H31" s="53"/>
      <c r="I31" s="53"/>
      <c r="J31" s="42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203"/>
      <c r="C32" s="112"/>
      <c r="D32" s="112"/>
      <c r="E32" s="53"/>
      <c r="F32" s="53"/>
      <c r="G32" s="53"/>
      <c r="H32" s="90"/>
      <c r="I32" s="79"/>
      <c r="J32" s="42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203"/>
      <c r="C33" s="106"/>
      <c r="D33" s="106"/>
      <c r="E33" s="53"/>
      <c r="F33" s="53"/>
      <c r="G33" s="53"/>
      <c r="H33" s="206"/>
      <c r="I33" s="80"/>
      <c r="J33" s="42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4"/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03"/>
      <c r="C34" s="106"/>
      <c r="D34" s="106"/>
      <c r="E34" s="53"/>
      <c r="F34" s="53"/>
      <c r="G34" s="82"/>
      <c r="H34" s="53"/>
      <c r="I34" s="53"/>
      <c r="J34" s="42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4"/>
      <c r="Z34" s="61"/>
      <c r="AA34" s="61"/>
      <c r="AB34" s="66"/>
      <c r="AC34" s="34"/>
      <c r="AD34" s="34"/>
    </row>
    <row r="35" ht="13.5" customHeight="1">
      <c r="A35" s="28">
        <v>29.0</v>
      </c>
      <c r="B35" s="203"/>
      <c r="C35" s="106"/>
      <c r="D35" s="106"/>
      <c r="E35" s="53"/>
      <c r="F35" s="53"/>
      <c r="G35" s="82"/>
      <c r="H35" s="53"/>
      <c r="I35" s="53"/>
      <c r="J35" s="81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4"/>
      <c r="Z35" s="61"/>
      <c r="AA35" s="61"/>
      <c r="AB35" s="66"/>
      <c r="AC35" s="34"/>
      <c r="AD35" s="34"/>
    </row>
    <row r="36" ht="13.5" customHeight="1">
      <c r="A36" s="28">
        <v>30.0</v>
      </c>
      <c r="B36" s="106"/>
      <c r="C36" s="106"/>
      <c r="D36" s="106"/>
      <c r="E36" s="53"/>
      <c r="F36" s="53"/>
      <c r="G36" s="82"/>
      <c r="H36" s="53"/>
      <c r="I36" s="82"/>
      <c r="J36" s="8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4"/>
      <c r="Z36" s="61"/>
      <c r="AA36" s="61"/>
      <c r="AB36" s="66"/>
      <c r="AC36" s="34"/>
      <c r="AD36" s="34"/>
    </row>
    <row r="37" ht="13.5" customHeight="1">
      <c r="A37" s="28">
        <v>31.0</v>
      </c>
      <c r="B37" s="106"/>
      <c r="C37" s="106"/>
      <c r="D37" s="106"/>
      <c r="E37" s="53"/>
      <c r="F37" s="53"/>
      <c r="G37" s="82"/>
      <c r="H37" s="53"/>
      <c r="I37" s="82"/>
      <c r="J37" s="8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106"/>
      <c r="C38" s="106"/>
      <c r="D38" s="106"/>
      <c r="E38" s="53"/>
      <c r="F38" s="53"/>
      <c r="G38" s="82"/>
      <c r="H38" s="53"/>
      <c r="I38" s="82"/>
      <c r="J38" s="8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106"/>
      <c r="C39" s="106"/>
      <c r="D39" s="106"/>
      <c r="E39" s="53"/>
      <c r="F39" s="53"/>
      <c r="G39" s="82"/>
      <c r="H39" s="53"/>
      <c r="I39" s="88"/>
      <c r="J39" s="8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  <c r="Z39" s="61"/>
      <c r="AA39" s="61"/>
      <c r="AB39" s="66"/>
      <c r="AC39" s="34"/>
      <c r="AD39" s="34"/>
    </row>
    <row r="40" ht="13.5" customHeight="1">
      <c r="A40" s="28">
        <v>34.0</v>
      </c>
      <c r="B40" s="106"/>
      <c r="C40" s="106"/>
      <c r="D40" s="106"/>
      <c r="E40" s="53"/>
      <c r="F40" s="53"/>
      <c r="G40" s="82"/>
      <c r="H40" s="53"/>
      <c r="I40" s="88"/>
      <c r="J40" s="8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4"/>
      <c r="Z40" s="61"/>
      <c r="AA40" s="61"/>
      <c r="AB40" s="66"/>
      <c r="AC40" s="34"/>
      <c r="AD40" s="34"/>
    </row>
    <row r="41" ht="13.5" customHeight="1">
      <c r="A41" s="28">
        <v>35.0</v>
      </c>
      <c r="B41" s="107"/>
      <c r="C41" s="107"/>
      <c r="D41" s="107"/>
      <c r="E41" s="53"/>
      <c r="F41" s="53"/>
      <c r="G41" s="82"/>
      <c r="H41" s="53"/>
      <c r="I41" s="89"/>
      <c r="J41" s="8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106"/>
      <c r="C42" s="106"/>
      <c r="D42" s="106"/>
      <c r="E42" s="109"/>
      <c r="F42" s="53"/>
      <c r="G42" s="82"/>
      <c r="H42" s="53"/>
      <c r="I42" s="89"/>
      <c r="J42" s="8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203"/>
      <c r="C43" s="203"/>
      <c r="D43" s="203"/>
      <c r="E43" s="109"/>
      <c r="F43" s="53"/>
      <c r="G43" s="82"/>
      <c r="H43" s="53"/>
      <c r="I43" s="82"/>
      <c r="J43" s="8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06"/>
      <c r="C44" s="106"/>
      <c r="D44" s="106"/>
      <c r="E44" s="109"/>
      <c r="F44" s="53"/>
      <c r="G44" s="82"/>
      <c r="H44" s="53"/>
      <c r="I44" s="82"/>
      <c r="J44" s="8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3">SUM(J7:J156)</f>
        <v>403</v>
      </c>
      <c r="K157" s="123">
        <f t="shared" si="3"/>
        <v>334</v>
      </c>
      <c r="L157" s="123">
        <f t="shared" si="3"/>
        <v>6</v>
      </c>
      <c r="M157" s="123">
        <f t="shared" si="3"/>
        <v>26</v>
      </c>
      <c r="N157" s="123">
        <f t="shared" si="3"/>
        <v>32</v>
      </c>
      <c r="O157" s="123">
        <f t="shared" si="3"/>
        <v>76</v>
      </c>
      <c r="P157" s="123">
        <f t="shared" si="3"/>
        <v>39</v>
      </c>
      <c r="Q157" s="123">
        <f t="shared" si="3"/>
        <v>147</v>
      </c>
      <c r="R157" s="124"/>
      <c r="S157" s="124"/>
      <c r="T157" s="125"/>
      <c r="U157" s="145" t="s">
        <v>330</v>
      </c>
      <c r="V157" s="5"/>
      <c r="W157" s="126">
        <f>COUNTIF(W7:W26,"yes")</f>
        <v>15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7.5"/>
    <col customWidth="1" min="3" max="3" width="17.38"/>
    <col customWidth="1" min="4" max="5" width="16.88"/>
    <col customWidth="1" min="6" max="6" width="8.63"/>
    <col customWidth="1" min="7" max="7" width="16.0"/>
    <col customWidth="1" min="8" max="8" width="14.63"/>
    <col customWidth="1" min="9" max="9" width="16.25"/>
    <col customWidth="1" min="10" max="10" width="12.13"/>
    <col customWidth="1" min="11" max="11" width="11.88"/>
    <col customWidth="1" min="12" max="12" width="12.0"/>
    <col customWidth="1" min="13" max="13" width="11.88"/>
    <col customWidth="1" min="14" max="19" width="8.63"/>
    <col customWidth="1" min="20" max="20" width="13.5"/>
    <col customWidth="1" min="21" max="21" width="11.63"/>
    <col customWidth="1" min="22" max="22" width="16.63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209"/>
      <c r="D1" s="209"/>
      <c r="E1" s="209"/>
      <c r="F1" s="209"/>
      <c r="G1" s="209"/>
      <c r="H1" s="209"/>
      <c r="I1" s="20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210" t="s">
        <v>1647</v>
      </c>
      <c r="D2" s="18"/>
      <c r="E2" s="18"/>
      <c r="F2" s="18"/>
      <c r="G2" s="18"/>
      <c r="H2" s="18"/>
      <c r="I2" s="18"/>
      <c r="J2" s="2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33.0" customHeight="1">
      <c r="A3" s="6" t="s">
        <v>3</v>
      </c>
      <c r="B3" s="5"/>
      <c r="C3" s="212" t="s">
        <v>1648</v>
      </c>
      <c r="D3" s="177"/>
      <c r="E3" s="177"/>
      <c r="F3" s="177"/>
      <c r="G3" s="177"/>
      <c r="H3" s="177"/>
      <c r="I3" s="177"/>
      <c r="J3" s="2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214">
        <v>9.286392216E9</v>
      </c>
      <c r="D4" s="215"/>
      <c r="E4" s="215"/>
      <c r="F4" s="215"/>
      <c r="G4" s="215"/>
      <c r="H4" s="215"/>
      <c r="I4" s="215"/>
      <c r="J4" s="216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217" t="s">
        <v>7</v>
      </c>
      <c r="F5" s="217" t="s">
        <v>8</v>
      </c>
      <c r="G5" s="217" t="s">
        <v>9</v>
      </c>
      <c r="H5" s="217" t="s">
        <v>10</v>
      </c>
      <c r="I5" s="218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219" t="s">
        <v>1649</v>
      </c>
      <c r="C7" s="220" t="s">
        <v>1650</v>
      </c>
      <c r="D7" s="220" t="s">
        <v>219</v>
      </c>
      <c r="E7" s="221" t="s">
        <v>338</v>
      </c>
      <c r="F7" s="134">
        <v>42.0</v>
      </c>
      <c r="G7" s="134" t="s">
        <v>476</v>
      </c>
      <c r="H7" s="134" t="s">
        <v>1651</v>
      </c>
      <c r="I7" s="134">
        <v>9.17912391E9</v>
      </c>
      <c r="J7" s="54">
        <v>28.0</v>
      </c>
      <c r="K7" s="55">
        <v>28.0</v>
      </c>
      <c r="L7" s="55">
        <v>0.0</v>
      </c>
      <c r="M7" s="55">
        <v>0.0</v>
      </c>
      <c r="N7" s="43">
        <f t="shared" ref="N7:N41" si="1">sum(L7,M7)</f>
        <v>0</v>
      </c>
      <c r="O7" s="55">
        <v>4.0</v>
      </c>
      <c r="P7" s="55">
        <v>0.0</v>
      </c>
      <c r="Q7" s="43">
        <f t="shared" ref="Q7:Q41" si="2">sum(N7:P7)</f>
        <v>4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219" t="s">
        <v>1652</v>
      </c>
      <c r="C8" s="220" t="s">
        <v>1653</v>
      </c>
      <c r="D8" s="220" t="s">
        <v>1654</v>
      </c>
      <c r="E8" s="221" t="s">
        <v>338</v>
      </c>
      <c r="F8" s="134">
        <v>27.0</v>
      </c>
      <c r="G8" s="134" t="s">
        <v>584</v>
      </c>
      <c r="H8" s="134" t="s">
        <v>1655</v>
      </c>
      <c r="I8" s="134">
        <v>9.38571383E9</v>
      </c>
      <c r="J8" s="54">
        <v>30.0</v>
      </c>
      <c r="K8" s="55">
        <v>28.0</v>
      </c>
      <c r="L8" s="55">
        <v>0.0</v>
      </c>
      <c r="M8" s="55">
        <v>1.0</v>
      </c>
      <c r="N8" s="43">
        <f t="shared" si="1"/>
        <v>1</v>
      </c>
      <c r="O8" s="55">
        <v>2.0</v>
      </c>
      <c r="P8" s="55">
        <v>1.0</v>
      </c>
      <c r="Q8" s="43">
        <f t="shared" si="2"/>
        <v>4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219" t="s">
        <v>1656</v>
      </c>
      <c r="C9" s="220" t="s">
        <v>1657</v>
      </c>
      <c r="D9" s="220" t="s">
        <v>250</v>
      </c>
      <c r="E9" s="221" t="s">
        <v>338</v>
      </c>
      <c r="F9" s="134">
        <v>30.0</v>
      </c>
      <c r="G9" s="134" t="s">
        <v>476</v>
      </c>
      <c r="H9" s="134" t="s">
        <v>435</v>
      </c>
      <c r="I9" s="134">
        <v>9.094132485E9</v>
      </c>
      <c r="J9" s="87">
        <v>22.0</v>
      </c>
      <c r="K9" s="55">
        <v>14.0</v>
      </c>
      <c r="L9" s="55">
        <v>5.0</v>
      </c>
      <c r="M9" s="55">
        <v>3.0</v>
      </c>
      <c r="N9" s="43">
        <f t="shared" si="1"/>
        <v>8</v>
      </c>
      <c r="O9" s="55">
        <v>10.0</v>
      </c>
      <c r="P9" s="55">
        <v>0.0</v>
      </c>
      <c r="Q9" s="43">
        <f t="shared" si="2"/>
        <v>18</v>
      </c>
      <c r="R9" s="43"/>
      <c r="S9" s="43"/>
      <c r="T9" s="43"/>
      <c r="U9" s="43"/>
      <c r="V9" s="55" t="s">
        <v>1658</v>
      </c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219" t="s">
        <v>1659</v>
      </c>
      <c r="C10" s="220" t="s">
        <v>1660</v>
      </c>
      <c r="D10" s="220" t="s">
        <v>1661</v>
      </c>
      <c r="E10" s="221" t="s">
        <v>338</v>
      </c>
      <c r="F10" s="134">
        <v>40.0</v>
      </c>
      <c r="G10" s="134" t="s">
        <v>476</v>
      </c>
      <c r="H10" s="134" t="s">
        <v>480</v>
      </c>
      <c r="I10" s="134">
        <v>9.206654492E9</v>
      </c>
      <c r="J10" s="54">
        <v>20.0</v>
      </c>
      <c r="K10" s="55">
        <v>13.0</v>
      </c>
      <c r="L10" s="55">
        <v>0.0</v>
      </c>
      <c r="M10" s="55">
        <v>5.0</v>
      </c>
      <c r="N10" s="43">
        <f t="shared" si="1"/>
        <v>5</v>
      </c>
      <c r="O10" s="55">
        <v>10.0</v>
      </c>
      <c r="P10" s="55">
        <v>2.0</v>
      </c>
      <c r="Q10" s="43">
        <f t="shared" si="2"/>
        <v>17</v>
      </c>
      <c r="R10" s="43"/>
      <c r="S10" s="43"/>
      <c r="T10" s="43"/>
      <c r="U10" s="43"/>
      <c r="V10" s="55" t="s">
        <v>1662</v>
      </c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219" t="s">
        <v>1663</v>
      </c>
      <c r="C11" s="220" t="s">
        <v>1664</v>
      </c>
      <c r="D11" s="220" t="s">
        <v>1665</v>
      </c>
      <c r="E11" s="221" t="s">
        <v>338</v>
      </c>
      <c r="F11" s="134">
        <v>26.0</v>
      </c>
      <c r="G11" s="134" t="s">
        <v>476</v>
      </c>
      <c r="H11" s="134" t="s">
        <v>435</v>
      </c>
      <c r="I11" s="134">
        <v>9.953848541E9</v>
      </c>
      <c r="J11" s="42"/>
      <c r="K11" s="43"/>
      <c r="L11" s="43"/>
      <c r="M11" s="43"/>
      <c r="N11" s="43">
        <f t="shared" si="1"/>
        <v>0</v>
      </c>
      <c r="O11" s="43"/>
      <c r="P11" s="43"/>
      <c r="Q11" s="43">
        <f t="shared" si="2"/>
        <v>0</v>
      </c>
      <c r="R11" s="43"/>
      <c r="S11" s="43"/>
      <c r="T11" s="43"/>
      <c r="U11" s="43"/>
      <c r="V11" s="43"/>
      <c r="W11" s="44"/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219" t="s">
        <v>1666</v>
      </c>
      <c r="C12" s="220" t="s">
        <v>1667</v>
      </c>
      <c r="D12" s="220" t="s">
        <v>1668</v>
      </c>
      <c r="E12" s="221" t="s">
        <v>338</v>
      </c>
      <c r="F12" s="134">
        <v>29.0</v>
      </c>
      <c r="G12" s="134" t="s">
        <v>476</v>
      </c>
      <c r="H12" s="134" t="s">
        <v>435</v>
      </c>
      <c r="I12" s="134">
        <v>9.357607471E9</v>
      </c>
      <c r="J12" s="54">
        <v>31.0</v>
      </c>
      <c r="K12" s="55">
        <v>26.0</v>
      </c>
      <c r="L12" s="55">
        <v>0.0</v>
      </c>
      <c r="M12" s="55">
        <v>4.0</v>
      </c>
      <c r="N12" s="43">
        <f t="shared" si="1"/>
        <v>4</v>
      </c>
      <c r="O12" s="55">
        <v>1.0</v>
      </c>
      <c r="P12" s="55">
        <v>1.0</v>
      </c>
      <c r="Q12" s="43">
        <f t="shared" si="2"/>
        <v>6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29</v>
      </c>
    </row>
    <row r="13" ht="13.5" customHeight="1">
      <c r="A13" s="28">
        <v>7.0</v>
      </c>
      <c r="B13" s="219" t="s">
        <v>1669</v>
      </c>
      <c r="C13" s="220" t="s">
        <v>1670</v>
      </c>
      <c r="D13" s="220" t="s">
        <v>1671</v>
      </c>
      <c r="E13" s="221" t="s">
        <v>338</v>
      </c>
      <c r="F13" s="134">
        <v>33.0</v>
      </c>
      <c r="G13" s="134" t="s">
        <v>584</v>
      </c>
      <c r="H13" s="134" t="s">
        <v>646</v>
      </c>
      <c r="I13" s="134">
        <v>9.071104416E9</v>
      </c>
      <c r="J13" s="54">
        <v>28.0</v>
      </c>
      <c r="K13" s="55">
        <v>24.0</v>
      </c>
      <c r="L13" s="55">
        <v>0.0</v>
      </c>
      <c r="M13" s="55">
        <v>4.0</v>
      </c>
      <c r="N13" s="43">
        <f t="shared" si="1"/>
        <v>4</v>
      </c>
      <c r="O13" s="55">
        <v>4.0</v>
      </c>
      <c r="P13" s="55">
        <v>0.0</v>
      </c>
      <c r="Q13" s="43">
        <f t="shared" si="2"/>
        <v>8</v>
      </c>
      <c r="R13" s="43"/>
      <c r="S13" s="43"/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219" t="s">
        <v>1672</v>
      </c>
      <c r="C14" s="220" t="s">
        <v>1673</v>
      </c>
      <c r="D14" s="220" t="s">
        <v>1674</v>
      </c>
      <c r="E14" s="221" t="s">
        <v>338</v>
      </c>
      <c r="F14" s="134">
        <v>51.0</v>
      </c>
      <c r="G14" s="134" t="s">
        <v>476</v>
      </c>
      <c r="H14" s="134" t="s">
        <v>646</v>
      </c>
      <c r="I14" s="134">
        <v>9.605314703E9</v>
      </c>
      <c r="J14" s="54">
        <v>30.0</v>
      </c>
      <c r="K14" s="55">
        <v>28.0</v>
      </c>
      <c r="L14" s="55">
        <v>1.0</v>
      </c>
      <c r="M14" s="55">
        <v>1.0</v>
      </c>
      <c r="N14" s="43">
        <f t="shared" si="1"/>
        <v>2</v>
      </c>
      <c r="O14" s="55">
        <v>2.0</v>
      </c>
      <c r="P14" s="55">
        <v>0.0</v>
      </c>
      <c r="Q14" s="43">
        <f t="shared" si="2"/>
        <v>4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219" t="s">
        <v>1075</v>
      </c>
      <c r="C15" s="220" t="s">
        <v>1675</v>
      </c>
      <c r="D15" s="220" t="s">
        <v>1676</v>
      </c>
      <c r="E15" s="221" t="s">
        <v>338</v>
      </c>
      <c r="F15" s="134">
        <v>29.0</v>
      </c>
      <c r="G15" s="134" t="s">
        <v>584</v>
      </c>
      <c r="H15" s="134" t="s">
        <v>435</v>
      </c>
      <c r="I15" s="134">
        <v>9.357527625E9</v>
      </c>
      <c r="J15" s="54">
        <v>30.0</v>
      </c>
      <c r="K15" s="55">
        <v>24.0</v>
      </c>
      <c r="L15" s="55">
        <v>0.0</v>
      </c>
      <c r="M15" s="55">
        <v>5.0</v>
      </c>
      <c r="N15" s="43">
        <f t="shared" si="1"/>
        <v>5</v>
      </c>
      <c r="O15" s="55">
        <v>2.0</v>
      </c>
      <c r="P15" s="55">
        <v>1.0</v>
      </c>
      <c r="Q15" s="43">
        <f t="shared" si="2"/>
        <v>8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219" t="s">
        <v>1677</v>
      </c>
      <c r="C16" s="220" t="s">
        <v>1678</v>
      </c>
      <c r="D16" s="220" t="s">
        <v>1679</v>
      </c>
      <c r="E16" s="221" t="s">
        <v>338</v>
      </c>
      <c r="F16" s="134">
        <v>29.0</v>
      </c>
      <c r="G16" s="134" t="s">
        <v>476</v>
      </c>
      <c r="H16" s="134" t="s">
        <v>1680</v>
      </c>
      <c r="I16" s="134">
        <v>9.123956291E9</v>
      </c>
      <c r="J16" s="54"/>
      <c r="K16" s="43"/>
      <c r="L16" s="43"/>
      <c r="M16" s="43"/>
      <c r="N16" s="43">
        <f t="shared" si="1"/>
        <v>0</v>
      </c>
      <c r="O16" s="43"/>
      <c r="P16" s="43"/>
      <c r="Q16" s="43">
        <f t="shared" si="2"/>
        <v>0</v>
      </c>
      <c r="R16" s="43"/>
      <c r="S16" s="43"/>
      <c r="T16" s="43"/>
      <c r="U16" s="43"/>
      <c r="V16" s="43"/>
      <c r="W16" s="44"/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219" t="s">
        <v>1190</v>
      </c>
      <c r="C17" s="220" t="s">
        <v>1681</v>
      </c>
      <c r="D17" s="220" t="s">
        <v>1682</v>
      </c>
      <c r="E17" s="221" t="s">
        <v>338</v>
      </c>
      <c r="F17" s="134">
        <v>35.0</v>
      </c>
      <c r="G17" s="134" t="s">
        <v>476</v>
      </c>
      <c r="H17" s="134" t="s">
        <v>435</v>
      </c>
      <c r="I17" s="134">
        <v>9.684992524E9</v>
      </c>
      <c r="J17" s="54">
        <v>30.0</v>
      </c>
      <c r="K17" s="55">
        <v>26.0</v>
      </c>
      <c r="L17" s="55">
        <v>2.0</v>
      </c>
      <c r="M17" s="55">
        <v>0.0</v>
      </c>
      <c r="N17" s="43">
        <f t="shared" si="1"/>
        <v>2</v>
      </c>
      <c r="O17" s="55">
        <v>4.0</v>
      </c>
      <c r="P17" s="55">
        <v>0.0</v>
      </c>
      <c r="Q17" s="43">
        <f t="shared" si="2"/>
        <v>6</v>
      </c>
      <c r="R17" s="43"/>
      <c r="S17" s="43"/>
      <c r="T17" s="43"/>
      <c r="U17" s="43"/>
      <c r="V17" s="55" t="s">
        <v>1683</v>
      </c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219" t="s">
        <v>1684</v>
      </c>
      <c r="C18" s="220" t="s">
        <v>366</v>
      </c>
      <c r="D18" s="220" t="s">
        <v>1685</v>
      </c>
      <c r="E18" s="221" t="s">
        <v>338</v>
      </c>
      <c r="F18" s="134">
        <v>42.0</v>
      </c>
      <c r="G18" s="134" t="s">
        <v>476</v>
      </c>
      <c r="H18" s="134" t="s">
        <v>435</v>
      </c>
      <c r="I18" s="134">
        <v>9.152794115E9</v>
      </c>
      <c r="J18" s="54">
        <v>32.0</v>
      </c>
      <c r="K18" s="55">
        <v>28.0</v>
      </c>
      <c r="L18" s="55">
        <v>0.0</v>
      </c>
      <c r="M18" s="55">
        <v>0.0</v>
      </c>
      <c r="N18" s="43">
        <f t="shared" si="1"/>
        <v>0</v>
      </c>
      <c r="O18" s="55">
        <v>0.0</v>
      </c>
      <c r="P18" s="55">
        <v>4.0</v>
      </c>
      <c r="Q18" s="43">
        <f t="shared" si="2"/>
        <v>4</v>
      </c>
      <c r="R18" s="43"/>
      <c r="S18" s="43"/>
      <c r="T18" s="43"/>
      <c r="U18" s="43"/>
      <c r="V18" s="55" t="s">
        <v>1571</v>
      </c>
      <c r="W18" s="56" t="s">
        <v>46</v>
      </c>
      <c r="Z18" s="34"/>
      <c r="AA18" s="61" t="s">
        <v>88</v>
      </c>
      <c r="AB18" s="66">
        <f>COUNTIF(S7:S157, "RPDU")</f>
        <v>0</v>
      </c>
      <c r="AC18" s="34"/>
      <c r="AD18" s="34"/>
    </row>
    <row r="19" ht="13.5" customHeight="1">
      <c r="A19" s="28">
        <v>13.0</v>
      </c>
      <c r="B19" s="219" t="s">
        <v>32</v>
      </c>
      <c r="C19" s="220" t="s">
        <v>1686</v>
      </c>
      <c r="D19" s="220" t="s">
        <v>1687</v>
      </c>
      <c r="E19" s="221" t="s">
        <v>338</v>
      </c>
      <c r="F19" s="134">
        <v>32.0</v>
      </c>
      <c r="G19" s="134" t="s">
        <v>476</v>
      </c>
      <c r="H19" s="134" t="s">
        <v>646</v>
      </c>
      <c r="I19" s="134">
        <v>9.684992876E9</v>
      </c>
      <c r="J19" s="87">
        <v>21.0</v>
      </c>
      <c r="K19" s="222">
        <v>20.0</v>
      </c>
      <c r="L19" s="55">
        <v>0.0</v>
      </c>
      <c r="M19" s="55">
        <v>1.0</v>
      </c>
      <c r="N19" s="43">
        <f t="shared" si="1"/>
        <v>1</v>
      </c>
      <c r="O19" s="55">
        <v>10.0</v>
      </c>
      <c r="P19" s="55">
        <v>4.0</v>
      </c>
      <c r="Q19" s="43">
        <f t="shared" si="2"/>
        <v>15</v>
      </c>
      <c r="R19" s="43"/>
      <c r="S19" s="43"/>
      <c r="T19" s="43"/>
      <c r="U19" s="43"/>
      <c r="V19" s="55" t="s">
        <v>1554</v>
      </c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219" t="s">
        <v>32</v>
      </c>
      <c r="C20" s="220" t="s">
        <v>1688</v>
      </c>
      <c r="D20" s="220" t="s">
        <v>1689</v>
      </c>
      <c r="E20" s="221" t="s">
        <v>338</v>
      </c>
      <c r="F20" s="134">
        <v>35.0</v>
      </c>
      <c r="G20" s="134" t="s">
        <v>1690</v>
      </c>
      <c r="H20" s="134" t="s">
        <v>435</v>
      </c>
      <c r="I20" s="134">
        <v>9.487000553E9</v>
      </c>
      <c r="J20" s="223"/>
      <c r="K20" s="43"/>
      <c r="L20" s="43"/>
      <c r="M20" s="43"/>
      <c r="N20" s="43">
        <f t="shared" si="1"/>
        <v>0</v>
      </c>
      <c r="O20" s="43"/>
      <c r="P20" s="43"/>
      <c r="Q20" s="43">
        <f t="shared" si="2"/>
        <v>0</v>
      </c>
      <c r="R20" s="43"/>
      <c r="S20" s="43"/>
      <c r="T20" s="43"/>
      <c r="U20" s="43"/>
      <c r="V20" s="43"/>
      <c r="W20" s="44"/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219" t="s">
        <v>1691</v>
      </c>
      <c r="C21" s="220" t="s">
        <v>1692</v>
      </c>
      <c r="D21" s="220" t="s">
        <v>1693</v>
      </c>
      <c r="E21" s="221" t="s">
        <v>338</v>
      </c>
      <c r="F21" s="134">
        <v>49.0</v>
      </c>
      <c r="G21" s="134" t="s">
        <v>1690</v>
      </c>
      <c r="H21" s="134" t="s">
        <v>435</v>
      </c>
      <c r="I21" s="134">
        <v>9.271567265E9</v>
      </c>
      <c r="J21" s="87">
        <v>22.0</v>
      </c>
      <c r="K21" s="55">
        <v>17.0</v>
      </c>
      <c r="L21" s="55">
        <v>0.0</v>
      </c>
      <c r="M21" s="55">
        <v>5.0</v>
      </c>
      <c r="N21" s="43">
        <f t="shared" si="1"/>
        <v>5</v>
      </c>
      <c r="O21" s="55">
        <v>8.0</v>
      </c>
      <c r="P21" s="55">
        <v>0.0</v>
      </c>
      <c r="Q21" s="43">
        <f t="shared" si="2"/>
        <v>13</v>
      </c>
      <c r="R21" s="43"/>
      <c r="S21" s="43"/>
      <c r="T21" s="43"/>
      <c r="U21" s="43"/>
      <c r="V21" s="55" t="s">
        <v>648</v>
      </c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219" t="s">
        <v>1694</v>
      </c>
      <c r="C22" s="220" t="s">
        <v>1695</v>
      </c>
      <c r="D22" s="220" t="s">
        <v>1696</v>
      </c>
      <c r="E22" s="221" t="s">
        <v>338</v>
      </c>
      <c r="F22" s="134">
        <v>31.0</v>
      </c>
      <c r="G22" s="134" t="s">
        <v>1690</v>
      </c>
      <c r="H22" s="134" t="s">
        <v>435</v>
      </c>
      <c r="I22" s="134">
        <v>9.763542106E9</v>
      </c>
      <c r="J22" s="54">
        <v>25.0</v>
      </c>
      <c r="K22" s="55">
        <v>22.0</v>
      </c>
      <c r="L22" s="55">
        <v>0.0</v>
      </c>
      <c r="M22" s="55">
        <v>2.0</v>
      </c>
      <c r="N22" s="43">
        <f t="shared" si="1"/>
        <v>2</v>
      </c>
      <c r="O22" s="55">
        <v>7.0</v>
      </c>
      <c r="P22" s="55">
        <v>1.0</v>
      </c>
      <c r="Q22" s="43">
        <f t="shared" si="2"/>
        <v>10</v>
      </c>
      <c r="R22" s="43"/>
      <c r="S22" s="43"/>
      <c r="T22" s="43"/>
      <c r="U22" s="43"/>
      <c r="V22" s="55" t="s">
        <v>1697</v>
      </c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219" t="s">
        <v>112</v>
      </c>
      <c r="C23" s="220" t="s">
        <v>1698</v>
      </c>
      <c r="D23" s="220" t="s">
        <v>1335</v>
      </c>
      <c r="E23" s="221" t="s">
        <v>338</v>
      </c>
      <c r="F23" s="134">
        <v>33.0</v>
      </c>
      <c r="G23" s="134" t="s">
        <v>476</v>
      </c>
      <c r="H23" s="134" t="s">
        <v>663</v>
      </c>
      <c r="I23" s="134">
        <v>9.458599958E9</v>
      </c>
      <c r="J23" s="87">
        <v>28.0</v>
      </c>
      <c r="K23" s="55">
        <v>24.0</v>
      </c>
      <c r="L23" s="55">
        <v>0.0</v>
      </c>
      <c r="M23" s="55">
        <v>4.0</v>
      </c>
      <c r="N23" s="43">
        <f t="shared" si="1"/>
        <v>4</v>
      </c>
      <c r="O23" s="55">
        <v>4.0</v>
      </c>
      <c r="P23" s="55">
        <v>0.0</v>
      </c>
      <c r="Q23" s="43">
        <f t="shared" si="2"/>
        <v>8</v>
      </c>
      <c r="R23" s="43"/>
      <c r="S23" s="43"/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0</v>
      </c>
      <c r="AC23" s="34"/>
      <c r="AD23" s="34"/>
    </row>
    <row r="24" ht="13.5" customHeight="1">
      <c r="A24" s="28">
        <v>18.0</v>
      </c>
      <c r="B24" s="219" t="s">
        <v>1699</v>
      </c>
      <c r="C24" s="220" t="s">
        <v>1700</v>
      </c>
      <c r="D24" s="220" t="s">
        <v>1701</v>
      </c>
      <c r="E24" s="221" t="s">
        <v>338</v>
      </c>
      <c r="F24" s="134">
        <v>43.0</v>
      </c>
      <c r="G24" s="134" t="s">
        <v>476</v>
      </c>
      <c r="H24" s="134" t="s">
        <v>435</v>
      </c>
      <c r="I24" s="134">
        <v>9.997899552E9</v>
      </c>
      <c r="J24" s="87">
        <v>27.0</v>
      </c>
      <c r="K24" s="55">
        <v>17.0</v>
      </c>
      <c r="L24" s="55">
        <v>0.0</v>
      </c>
      <c r="M24" s="55">
        <v>9.0</v>
      </c>
      <c r="N24" s="43">
        <f t="shared" si="1"/>
        <v>9</v>
      </c>
      <c r="O24" s="55">
        <v>2.0</v>
      </c>
      <c r="P24" s="55">
        <v>1.0</v>
      </c>
      <c r="Q24" s="43">
        <f t="shared" si="2"/>
        <v>12</v>
      </c>
      <c r="R24" s="43"/>
      <c r="S24" s="43"/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219" t="s">
        <v>1702</v>
      </c>
      <c r="C25" s="220" t="s">
        <v>1703</v>
      </c>
      <c r="D25" s="220" t="s">
        <v>407</v>
      </c>
      <c r="E25" s="221" t="s">
        <v>338</v>
      </c>
      <c r="F25" s="134">
        <v>30.0</v>
      </c>
      <c r="G25" s="134" t="s">
        <v>476</v>
      </c>
      <c r="H25" s="134" t="s">
        <v>435</v>
      </c>
      <c r="I25" s="134">
        <v>9.944091883E9</v>
      </c>
      <c r="J25" s="54">
        <v>32.0</v>
      </c>
      <c r="K25" s="55">
        <v>26.0</v>
      </c>
      <c r="L25" s="55">
        <v>0.0</v>
      </c>
      <c r="M25" s="55">
        <v>0.0</v>
      </c>
      <c r="N25" s="43">
        <f t="shared" si="1"/>
        <v>0</v>
      </c>
      <c r="O25" s="55">
        <v>0.0</v>
      </c>
      <c r="P25" s="55">
        <v>6.0</v>
      </c>
      <c r="Q25" s="43">
        <f t="shared" si="2"/>
        <v>6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219" t="s">
        <v>1704</v>
      </c>
      <c r="C26" s="220" t="s">
        <v>1705</v>
      </c>
      <c r="D26" s="220" t="s">
        <v>1424</v>
      </c>
      <c r="E26" s="221" t="s">
        <v>338</v>
      </c>
      <c r="F26" s="134">
        <v>37.0</v>
      </c>
      <c r="G26" s="134" t="s">
        <v>476</v>
      </c>
      <c r="H26" s="134" t="s">
        <v>646</v>
      </c>
      <c r="I26" s="134">
        <v>9.171383773E9</v>
      </c>
      <c r="J26" s="54">
        <v>27.0</v>
      </c>
      <c r="K26" s="55">
        <v>20.0</v>
      </c>
      <c r="L26" s="55">
        <v>0.0</v>
      </c>
      <c r="M26" s="55">
        <v>1.0</v>
      </c>
      <c r="N26" s="43">
        <f t="shared" si="1"/>
        <v>1</v>
      </c>
      <c r="O26" s="55">
        <v>6.0</v>
      </c>
      <c r="P26" s="55">
        <v>4.0</v>
      </c>
      <c r="Q26" s="43">
        <f t="shared" si="2"/>
        <v>11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219" t="s">
        <v>131</v>
      </c>
      <c r="C27" s="220" t="s">
        <v>1706</v>
      </c>
      <c r="D27" s="220" t="s">
        <v>1707</v>
      </c>
      <c r="E27" s="221" t="s">
        <v>338</v>
      </c>
      <c r="F27" s="134">
        <v>37.0</v>
      </c>
      <c r="G27" s="134" t="s">
        <v>476</v>
      </c>
      <c r="H27" s="134" t="s">
        <v>663</v>
      </c>
      <c r="I27" s="134">
        <v>9.566327722E9</v>
      </c>
      <c r="J27" s="54">
        <v>24.0</v>
      </c>
      <c r="K27" s="55">
        <v>22.0</v>
      </c>
      <c r="L27" s="55">
        <v>0.0</v>
      </c>
      <c r="M27" s="55">
        <v>2.0</v>
      </c>
      <c r="N27" s="43">
        <f t="shared" si="1"/>
        <v>2</v>
      </c>
      <c r="O27" s="55">
        <v>8.0</v>
      </c>
      <c r="P27" s="55">
        <v>1.0</v>
      </c>
      <c r="Q27" s="43">
        <f t="shared" si="2"/>
        <v>11</v>
      </c>
      <c r="R27" s="43"/>
      <c r="S27" s="43"/>
      <c r="T27" s="43"/>
      <c r="U27" s="43"/>
      <c r="V27" s="55" t="s">
        <v>1662</v>
      </c>
      <c r="W27" s="224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219" t="s">
        <v>131</v>
      </c>
      <c r="C28" s="220" t="s">
        <v>1708</v>
      </c>
      <c r="D28" s="220" t="s">
        <v>1709</v>
      </c>
      <c r="E28" s="221" t="s">
        <v>338</v>
      </c>
      <c r="F28" s="134">
        <v>28.0</v>
      </c>
      <c r="G28" s="134" t="s">
        <v>584</v>
      </c>
      <c r="H28" s="134" t="s">
        <v>435</v>
      </c>
      <c r="I28" s="134">
        <v>9.935008564E9</v>
      </c>
      <c r="J28" s="42"/>
      <c r="K28" s="43"/>
      <c r="L28" s="43"/>
      <c r="M28" s="43"/>
      <c r="N28" s="43">
        <f t="shared" si="1"/>
        <v>0</v>
      </c>
      <c r="O28" s="43"/>
      <c r="P28" s="43"/>
      <c r="Q28" s="43">
        <f t="shared" si="2"/>
        <v>0</v>
      </c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219" t="s">
        <v>1710</v>
      </c>
      <c r="C29" s="220" t="s">
        <v>1711</v>
      </c>
      <c r="D29" s="220" t="s">
        <v>1712</v>
      </c>
      <c r="E29" s="221" t="s">
        <v>338</v>
      </c>
      <c r="F29" s="134">
        <v>39.0</v>
      </c>
      <c r="G29" s="134" t="s">
        <v>476</v>
      </c>
      <c r="H29" s="134" t="s">
        <v>646</v>
      </c>
      <c r="I29" s="134">
        <v>9.175668328E9</v>
      </c>
      <c r="J29" s="54">
        <v>27.0</v>
      </c>
      <c r="K29" s="55">
        <v>17.0</v>
      </c>
      <c r="L29" s="55">
        <v>0.0</v>
      </c>
      <c r="M29" s="55">
        <v>6.0</v>
      </c>
      <c r="N29" s="43">
        <f t="shared" si="1"/>
        <v>6</v>
      </c>
      <c r="O29" s="55">
        <v>5.0</v>
      </c>
      <c r="P29" s="55">
        <v>4.0</v>
      </c>
      <c r="Q29" s="43">
        <f t="shared" si="2"/>
        <v>15</v>
      </c>
      <c r="R29" s="43"/>
      <c r="S29" s="43"/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219" t="s">
        <v>1713</v>
      </c>
      <c r="C30" s="220" t="s">
        <v>1714</v>
      </c>
      <c r="D30" s="220" t="s">
        <v>1715</v>
      </c>
      <c r="E30" s="221" t="s">
        <v>338</v>
      </c>
      <c r="F30" s="134">
        <v>26.0</v>
      </c>
      <c r="G30" s="134" t="s">
        <v>476</v>
      </c>
      <c r="H30" s="134" t="s">
        <v>435</v>
      </c>
      <c r="I30" s="134">
        <v>9.462639613E9</v>
      </c>
      <c r="J30" s="54">
        <v>27.0</v>
      </c>
      <c r="K30" s="55">
        <v>21.0</v>
      </c>
      <c r="L30" s="55">
        <v>0.0</v>
      </c>
      <c r="M30" s="55">
        <v>0.0</v>
      </c>
      <c r="N30" s="43">
        <f t="shared" si="1"/>
        <v>0</v>
      </c>
      <c r="O30" s="55">
        <v>5.0</v>
      </c>
      <c r="P30" s="55">
        <v>6.0</v>
      </c>
      <c r="Q30" s="43">
        <f t="shared" si="2"/>
        <v>11</v>
      </c>
      <c r="R30" s="43"/>
      <c r="S30" s="43"/>
      <c r="T30" s="43"/>
      <c r="U30" s="43"/>
      <c r="V30" s="55" t="s">
        <v>1554</v>
      </c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219" t="s">
        <v>1716</v>
      </c>
      <c r="C31" s="220" t="s">
        <v>1717</v>
      </c>
      <c r="D31" s="220" t="s">
        <v>1718</v>
      </c>
      <c r="E31" s="221" t="s">
        <v>338</v>
      </c>
      <c r="F31" s="134">
        <v>47.0</v>
      </c>
      <c r="G31" s="134" t="s">
        <v>476</v>
      </c>
      <c r="H31" s="134" t="s">
        <v>435</v>
      </c>
      <c r="I31" s="134">
        <v>9.489988635E9</v>
      </c>
      <c r="J31" s="54">
        <v>24.0</v>
      </c>
      <c r="K31" s="55">
        <v>21.0</v>
      </c>
      <c r="L31" s="55">
        <v>3.0</v>
      </c>
      <c r="M31" s="55">
        <v>0.0</v>
      </c>
      <c r="N31" s="43">
        <f t="shared" si="1"/>
        <v>3</v>
      </c>
      <c r="O31" s="55">
        <v>8.0</v>
      </c>
      <c r="P31" s="55">
        <v>0.0</v>
      </c>
      <c r="Q31" s="43">
        <f t="shared" si="2"/>
        <v>11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219" t="s">
        <v>1719</v>
      </c>
      <c r="C32" s="220" t="s">
        <v>1720</v>
      </c>
      <c r="D32" s="220" t="s">
        <v>1134</v>
      </c>
      <c r="E32" s="221" t="s">
        <v>338</v>
      </c>
      <c r="F32" s="134">
        <v>29.0</v>
      </c>
      <c r="G32" s="134" t="s">
        <v>476</v>
      </c>
      <c r="H32" s="134" t="s">
        <v>435</v>
      </c>
      <c r="I32" s="134">
        <v>9.995574539E9</v>
      </c>
      <c r="J32" s="54">
        <v>28.0</v>
      </c>
      <c r="K32" s="55">
        <v>28.0</v>
      </c>
      <c r="L32" s="55">
        <v>0.0</v>
      </c>
      <c r="M32" s="55">
        <v>0.0</v>
      </c>
      <c r="N32" s="43">
        <f t="shared" si="1"/>
        <v>0</v>
      </c>
      <c r="O32" s="55">
        <v>4.0</v>
      </c>
      <c r="P32" s="55">
        <v>0.0</v>
      </c>
      <c r="Q32" s="43">
        <f t="shared" si="2"/>
        <v>4</v>
      </c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219" t="s">
        <v>1721</v>
      </c>
      <c r="C33" s="220" t="s">
        <v>1722</v>
      </c>
      <c r="D33" s="220" t="s">
        <v>1723</v>
      </c>
      <c r="E33" s="221" t="s">
        <v>338</v>
      </c>
      <c r="F33" s="134">
        <v>25.0</v>
      </c>
      <c r="G33" s="134" t="s">
        <v>476</v>
      </c>
      <c r="H33" s="134" t="s">
        <v>435</v>
      </c>
      <c r="I33" s="134">
        <v>9.553120741E9</v>
      </c>
      <c r="J33" s="54">
        <v>32.0</v>
      </c>
      <c r="K33" s="55">
        <v>31.0</v>
      </c>
      <c r="L33" s="55">
        <v>0.0</v>
      </c>
      <c r="M33" s="55">
        <v>0.0</v>
      </c>
      <c r="N33" s="43">
        <f t="shared" si="1"/>
        <v>0</v>
      </c>
      <c r="O33" s="55">
        <v>0.0</v>
      </c>
      <c r="P33" s="55">
        <v>1.0</v>
      </c>
      <c r="Q33" s="43">
        <f t="shared" si="2"/>
        <v>1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19" t="s">
        <v>1724</v>
      </c>
      <c r="C34" s="220" t="s">
        <v>1725</v>
      </c>
      <c r="D34" s="220" t="s">
        <v>1726</v>
      </c>
      <c r="E34" s="221" t="s">
        <v>338</v>
      </c>
      <c r="F34" s="134">
        <v>40.0</v>
      </c>
      <c r="G34" s="134" t="s">
        <v>476</v>
      </c>
      <c r="H34" s="134" t="s">
        <v>435</v>
      </c>
      <c r="I34" s="134">
        <v>9.39740497E9</v>
      </c>
      <c r="J34" s="54">
        <v>25.0</v>
      </c>
      <c r="K34" s="55">
        <v>25.0</v>
      </c>
      <c r="L34" s="55">
        <v>0.0</v>
      </c>
      <c r="M34" s="55">
        <v>0.0</v>
      </c>
      <c r="N34" s="43">
        <f t="shared" si="1"/>
        <v>0</v>
      </c>
      <c r="O34" s="55">
        <v>7.0</v>
      </c>
      <c r="P34" s="55">
        <v>0.0</v>
      </c>
      <c r="Q34" s="43">
        <f t="shared" si="2"/>
        <v>7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219" t="s">
        <v>1727</v>
      </c>
      <c r="C35" s="220" t="s">
        <v>1728</v>
      </c>
      <c r="D35" s="220" t="s">
        <v>1585</v>
      </c>
      <c r="E35" s="221" t="s">
        <v>338</v>
      </c>
      <c r="F35" s="134">
        <v>33.0</v>
      </c>
      <c r="G35" s="134" t="s">
        <v>476</v>
      </c>
      <c r="H35" s="134" t="s">
        <v>480</v>
      </c>
      <c r="I35" s="134">
        <v>9.434620105E9</v>
      </c>
      <c r="J35" s="161">
        <v>30.0</v>
      </c>
      <c r="K35" s="55">
        <v>19.0</v>
      </c>
      <c r="L35" s="55">
        <v>1.0</v>
      </c>
      <c r="M35" s="55">
        <v>6.0</v>
      </c>
      <c r="N35" s="43">
        <f t="shared" si="1"/>
        <v>7</v>
      </c>
      <c r="O35" s="55">
        <v>2.0</v>
      </c>
      <c r="P35" s="55">
        <v>4.0</v>
      </c>
      <c r="Q35" s="43">
        <f t="shared" si="2"/>
        <v>13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219" t="s">
        <v>932</v>
      </c>
      <c r="C36" s="220" t="s">
        <v>1434</v>
      </c>
      <c r="D36" s="220" t="s">
        <v>1729</v>
      </c>
      <c r="E36" s="221" t="s">
        <v>338</v>
      </c>
      <c r="F36" s="134">
        <v>57.0</v>
      </c>
      <c r="G36" s="134" t="s">
        <v>476</v>
      </c>
      <c r="H36" s="134" t="s">
        <v>708</v>
      </c>
      <c r="I36" s="134">
        <v>9.917946394E9</v>
      </c>
      <c r="J36" s="54">
        <v>27.0</v>
      </c>
      <c r="K36" s="55">
        <v>21.0</v>
      </c>
      <c r="L36" s="55">
        <v>0.0</v>
      </c>
      <c r="M36" s="55">
        <v>0.0</v>
      </c>
      <c r="N36" s="43">
        <f t="shared" si="1"/>
        <v>0</v>
      </c>
      <c r="O36" s="55">
        <v>5.0</v>
      </c>
      <c r="P36" s="55">
        <v>6.0</v>
      </c>
      <c r="Q36" s="43">
        <f t="shared" si="2"/>
        <v>11</v>
      </c>
      <c r="R36" s="43"/>
      <c r="S36" s="43"/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219" t="s">
        <v>1730</v>
      </c>
      <c r="C37" s="220" t="s">
        <v>1731</v>
      </c>
      <c r="D37" s="220" t="s">
        <v>1732</v>
      </c>
      <c r="E37" s="221" t="s">
        <v>338</v>
      </c>
      <c r="F37" s="134">
        <v>27.0</v>
      </c>
      <c r="G37" s="134" t="s">
        <v>476</v>
      </c>
      <c r="H37" s="134" t="s">
        <v>480</v>
      </c>
      <c r="I37" s="134">
        <v>9.367223398E9</v>
      </c>
      <c r="J37" s="83"/>
      <c r="K37" s="43"/>
      <c r="L37" s="43"/>
      <c r="M37" s="43"/>
      <c r="N37" s="43">
        <f t="shared" si="1"/>
        <v>0</v>
      </c>
      <c r="O37" s="43"/>
      <c r="P37" s="43"/>
      <c r="Q37" s="43">
        <f t="shared" si="2"/>
        <v>0</v>
      </c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219" t="s">
        <v>1733</v>
      </c>
      <c r="C38" s="220" t="s">
        <v>1734</v>
      </c>
      <c r="D38" s="220" t="s">
        <v>1735</v>
      </c>
      <c r="E38" s="221" t="s">
        <v>338</v>
      </c>
      <c r="F38" s="134">
        <v>40.0</v>
      </c>
      <c r="G38" s="134" t="s">
        <v>476</v>
      </c>
      <c r="H38" s="134" t="s">
        <v>646</v>
      </c>
      <c r="I38" s="134">
        <v>9.667965155E9</v>
      </c>
      <c r="J38" s="54">
        <v>27.0</v>
      </c>
      <c r="K38" s="55">
        <v>24.0</v>
      </c>
      <c r="L38" s="55">
        <v>2.0</v>
      </c>
      <c r="M38" s="55">
        <v>1.0</v>
      </c>
      <c r="N38" s="43">
        <f t="shared" si="1"/>
        <v>3</v>
      </c>
      <c r="O38" s="55">
        <v>5.0</v>
      </c>
      <c r="P38" s="55">
        <v>0.0</v>
      </c>
      <c r="Q38" s="43">
        <f t="shared" si="2"/>
        <v>8</v>
      </c>
      <c r="R38" s="43"/>
      <c r="S38" s="43"/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219" t="s">
        <v>1736</v>
      </c>
      <c r="C39" s="220" t="s">
        <v>1737</v>
      </c>
      <c r="D39" s="220" t="s">
        <v>1738</v>
      </c>
      <c r="E39" s="221" t="s">
        <v>338</v>
      </c>
      <c r="F39" s="134">
        <v>25.0</v>
      </c>
      <c r="G39" s="134" t="s">
        <v>476</v>
      </c>
      <c r="H39" s="134" t="s">
        <v>435</v>
      </c>
      <c r="I39" s="134">
        <v>9.305197325E9</v>
      </c>
      <c r="J39" s="87">
        <v>31.0</v>
      </c>
      <c r="K39" s="55">
        <v>23.0</v>
      </c>
      <c r="L39" s="55">
        <v>0.0</v>
      </c>
      <c r="M39" s="55">
        <v>6.0</v>
      </c>
      <c r="N39" s="43">
        <f t="shared" si="1"/>
        <v>6</v>
      </c>
      <c r="O39" s="55">
        <v>1.0</v>
      </c>
      <c r="P39" s="55">
        <v>2.0</v>
      </c>
      <c r="Q39" s="43">
        <f t="shared" si="2"/>
        <v>9</v>
      </c>
      <c r="R39" s="43"/>
      <c r="S39" s="43"/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219" t="s">
        <v>1739</v>
      </c>
      <c r="C40" s="220" t="s">
        <v>1740</v>
      </c>
      <c r="D40" s="220" t="s">
        <v>1741</v>
      </c>
      <c r="E40" s="221" t="s">
        <v>338</v>
      </c>
      <c r="F40" s="134">
        <v>47.0</v>
      </c>
      <c r="G40" s="134" t="s">
        <v>476</v>
      </c>
      <c r="H40" s="134" t="s">
        <v>435</v>
      </c>
      <c r="I40" s="134">
        <v>9.498701676E9</v>
      </c>
      <c r="J40" s="87">
        <v>26.0</v>
      </c>
      <c r="K40" s="55">
        <v>22.0</v>
      </c>
      <c r="L40" s="55">
        <v>0.0</v>
      </c>
      <c r="M40" s="55">
        <v>0.0</v>
      </c>
      <c r="N40" s="43">
        <f t="shared" si="1"/>
        <v>0</v>
      </c>
      <c r="O40" s="55">
        <v>6.0</v>
      </c>
      <c r="P40" s="55">
        <v>4.0</v>
      </c>
      <c r="Q40" s="43">
        <f t="shared" si="2"/>
        <v>10</v>
      </c>
      <c r="R40" s="43"/>
      <c r="S40" s="43"/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219" t="s">
        <v>1742</v>
      </c>
      <c r="C41" s="220" t="s">
        <v>1743</v>
      </c>
      <c r="D41" s="220" t="s">
        <v>1744</v>
      </c>
      <c r="E41" s="221" t="s">
        <v>338</v>
      </c>
      <c r="F41" s="134">
        <v>41.0</v>
      </c>
      <c r="G41" s="134" t="s">
        <v>476</v>
      </c>
      <c r="H41" s="134" t="s">
        <v>663</v>
      </c>
      <c r="I41" s="134">
        <v>9.195448379E9</v>
      </c>
      <c r="J41" s="87">
        <v>26.0</v>
      </c>
      <c r="K41" s="55">
        <v>18.0</v>
      </c>
      <c r="L41" s="55">
        <v>0.0</v>
      </c>
      <c r="M41" s="55">
        <v>5.0</v>
      </c>
      <c r="N41" s="43">
        <f t="shared" si="1"/>
        <v>5</v>
      </c>
      <c r="O41" s="55">
        <v>6.0</v>
      </c>
      <c r="P41" s="55">
        <v>3.0</v>
      </c>
      <c r="Q41" s="43">
        <f t="shared" si="2"/>
        <v>14</v>
      </c>
      <c r="R41" s="43"/>
      <c r="S41" s="43"/>
      <c r="T41" s="43"/>
      <c r="U41" s="43"/>
      <c r="V41" s="55" t="s">
        <v>1662</v>
      </c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106"/>
      <c r="C42" s="106"/>
      <c r="D42" s="106"/>
      <c r="E42" s="109"/>
      <c r="F42" s="53"/>
      <c r="G42" s="82"/>
      <c r="H42" s="53"/>
      <c r="I42" s="89"/>
      <c r="J42" s="8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203"/>
      <c r="C43" s="203"/>
      <c r="D43" s="203"/>
      <c r="E43" s="109"/>
      <c r="F43" s="53"/>
      <c r="G43" s="82"/>
      <c r="H43" s="53"/>
      <c r="I43" s="82"/>
      <c r="J43" s="8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06"/>
      <c r="C44" s="106"/>
      <c r="D44" s="106"/>
      <c r="E44" s="109"/>
      <c r="F44" s="53"/>
      <c r="G44" s="82"/>
      <c r="H44" s="53"/>
      <c r="I44" s="82"/>
      <c r="J44" s="8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P157" si="3">SUM(J7:J156)</f>
        <v>817</v>
      </c>
      <c r="K157" s="123">
        <f t="shared" si="3"/>
        <v>677</v>
      </c>
      <c r="L157" s="123">
        <f t="shared" si="3"/>
        <v>14</v>
      </c>
      <c r="M157" s="123">
        <f t="shared" si="3"/>
        <v>71</v>
      </c>
      <c r="N157" s="123">
        <f t="shared" si="3"/>
        <v>85</v>
      </c>
      <c r="O157" s="123">
        <f t="shared" si="3"/>
        <v>138</v>
      </c>
      <c r="P157" s="123">
        <f t="shared" si="3"/>
        <v>56</v>
      </c>
      <c r="Q157" s="123">
        <f>SUM(Q13:Q156)</f>
        <v>230</v>
      </c>
      <c r="R157" s="124"/>
      <c r="S157" s="124"/>
      <c r="T157" s="125"/>
      <c r="U157" s="145" t="s">
        <v>330</v>
      </c>
      <c r="V157" s="5"/>
      <c r="W157" s="126">
        <f>COUNTIF(W7:W156,"YES")</f>
        <v>29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J2"/>
    <mergeCell ref="V2:W2"/>
    <mergeCell ref="A3:B3"/>
    <mergeCell ref="C3:J3"/>
    <mergeCell ref="V3:W3"/>
    <mergeCell ref="A4:B4"/>
    <mergeCell ref="C4:J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7.13"/>
    <col customWidth="1" min="3" max="3" width="17.88"/>
    <col customWidth="1" min="4" max="4" width="8.63"/>
    <col customWidth="1" min="5" max="5" width="17.38"/>
    <col customWidth="1" min="6" max="7" width="8.63"/>
    <col customWidth="1" min="8" max="8" width="15.38"/>
    <col customWidth="1" min="9" max="9" width="19.13"/>
    <col customWidth="1" min="10" max="10" width="12.38"/>
    <col customWidth="1" min="11" max="11" width="10.88"/>
    <col customWidth="1" min="12" max="12" width="12.25"/>
    <col customWidth="1" min="13" max="13" width="12.88"/>
    <col customWidth="1" min="14" max="19" width="8.63"/>
    <col customWidth="1" min="20" max="20" width="13.88"/>
    <col customWidth="1" min="21" max="21" width="11.38"/>
    <col customWidth="1" min="22" max="22" width="18.8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5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204" t="s">
        <v>1745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204" t="s">
        <v>1746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3.5" customHeight="1">
      <c r="A4" s="12" t="s">
        <v>5</v>
      </c>
      <c r="B4" s="5"/>
      <c r="C4" s="225"/>
      <c r="D4" s="18"/>
      <c r="E4" s="18"/>
      <c r="F4" s="18"/>
      <c r="G4" s="18"/>
      <c r="H4" s="18"/>
      <c r="I4" s="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/>
      <c r="W5" s="27"/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1747</v>
      </c>
      <c r="C7" s="37" t="s">
        <v>1748</v>
      </c>
      <c r="D7" s="37" t="s">
        <v>1749</v>
      </c>
      <c r="E7" s="171" t="s">
        <v>338</v>
      </c>
      <c r="F7" s="134">
        <v>58.0</v>
      </c>
      <c r="G7" s="134" t="s">
        <v>339</v>
      </c>
      <c r="H7" s="134" t="s">
        <v>1750</v>
      </c>
      <c r="I7" s="163" t="s">
        <v>1751</v>
      </c>
      <c r="J7" s="54">
        <v>25.0</v>
      </c>
      <c r="K7" s="55">
        <v>21.0</v>
      </c>
      <c r="L7" s="55">
        <v>0.0</v>
      </c>
      <c r="M7" s="55">
        <v>4.0</v>
      </c>
      <c r="N7" s="43">
        <f t="shared" ref="N7:N22" si="1">SUM(L7,M7)</f>
        <v>4</v>
      </c>
      <c r="O7" s="55">
        <v>7.0</v>
      </c>
      <c r="P7" s="55">
        <v>0.0</v>
      </c>
      <c r="Q7" s="43">
        <f t="shared" ref="Q7:Q22" si="2">SUM(N7,O7,P7)</f>
        <v>11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877</v>
      </c>
      <c r="C8" s="37" t="s">
        <v>1752</v>
      </c>
      <c r="D8" s="37" t="s">
        <v>1753</v>
      </c>
      <c r="E8" s="171" t="s">
        <v>338</v>
      </c>
      <c r="F8" s="134">
        <v>31.0</v>
      </c>
      <c r="G8" s="134" t="s">
        <v>339</v>
      </c>
      <c r="H8" s="134" t="s">
        <v>368</v>
      </c>
      <c r="I8" s="163" t="s">
        <v>1754</v>
      </c>
      <c r="J8" s="54">
        <v>24.0</v>
      </c>
      <c r="K8" s="55">
        <v>22.0</v>
      </c>
      <c r="L8" s="55">
        <v>0.0</v>
      </c>
      <c r="M8" s="55">
        <v>1.0</v>
      </c>
      <c r="N8" s="43">
        <f t="shared" si="1"/>
        <v>1</v>
      </c>
      <c r="O8" s="55">
        <v>7.0</v>
      </c>
      <c r="P8" s="55">
        <v>1.0</v>
      </c>
      <c r="Q8" s="43">
        <f t="shared" si="2"/>
        <v>9</v>
      </c>
      <c r="R8" s="43"/>
      <c r="S8" s="43"/>
      <c r="T8" s="43"/>
      <c r="U8" s="43" t="s">
        <v>116</v>
      </c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" t="s">
        <v>1755</v>
      </c>
      <c r="C9" s="37" t="s">
        <v>1756</v>
      </c>
      <c r="D9" s="37" t="s">
        <v>367</v>
      </c>
      <c r="E9" s="171" t="s">
        <v>338</v>
      </c>
      <c r="F9" s="134">
        <v>54.0</v>
      </c>
      <c r="G9" s="134" t="s">
        <v>339</v>
      </c>
      <c r="H9" s="134" t="s">
        <v>594</v>
      </c>
      <c r="I9" s="163" t="s">
        <v>1757</v>
      </c>
      <c r="J9" s="54">
        <v>24.0</v>
      </c>
      <c r="K9" s="55">
        <v>21.0</v>
      </c>
      <c r="L9" s="55">
        <v>0.0</v>
      </c>
      <c r="M9" s="55">
        <v>3.0</v>
      </c>
      <c r="N9" s="43">
        <f t="shared" si="1"/>
        <v>3</v>
      </c>
      <c r="O9" s="55">
        <v>7.0</v>
      </c>
      <c r="P9" s="55">
        <v>0.0</v>
      </c>
      <c r="Q9" s="43">
        <f t="shared" si="2"/>
        <v>10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" t="s">
        <v>1758</v>
      </c>
      <c r="C10" s="37" t="s">
        <v>1759</v>
      </c>
      <c r="D10" s="37" t="s">
        <v>1760</v>
      </c>
      <c r="E10" s="171" t="s">
        <v>338</v>
      </c>
      <c r="F10" s="134">
        <v>36.0</v>
      </c>
      <c r="G10" s="134" t="s">
        <v>385</v>
      </c>
      <c r="H10" s="134" t="s">
        <v>519</v>
      </c>
      <c r="I10" s="163" t="s">
        <v>1761</v>
      </c>
      <c r="J10" s="54">
        <v>27.0</v>
      </c>
      <c r="K10" s="55">
        <v>25.0</v>
      </c>
      <c r="L10" s="55">
        <v>0.0</v>
      </c>
      <c r="M10" s="55">
        <v>1.0</v>
      </c>
      <c r="N10" s="43">
        <f t="shared" si="1"/>
        <v>1</v>
      </c>
      <c r="O10" s="55">
        <v>5.0</v>
      </c>
      <c r="P10" s="55">
        <v>1.0</v>
      </c>
      <c r="Q10" s="43">
        <f t="shared" si="2"/>
        <v>7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" t="s">
        <v>1735</v>
      </c>
      <c r="C11" s="37" t="s">
        <v>1762</v>
      </c>
      <c r="D11" s="37" t="s">
        <v>1763</v>
      </c>
      <c r="E11" s="171" t="s">
        <v>338</v>
      </c>
      <c r="F11" s="134">
        <v>54.0</v>
      </c>
      <c r="G11" s="134" t="s">
        <v>339</v>
      </c>
      <c r="H11" s="134" t="s">
        <v>594</v>
      </c>
      <c r="I11" s="163" t="s">
        <v>1764</v>
      </c>
      <c r="J11" s="54">
        <v>28.0</v>
      </c>
      <c r="K11" s="55">
        <v>21.0</v>
      </c>
      <c r="L11" s="55">
        <v>0.0</v>
      </c>
      <c r="M11" s="55">
        <v>7.0</v>
      </c>
      <c r="N11" s="43">
        <f t="shared" si="1"/>
        <v>7</v>
      </c>
      <c r="O11" s="55">
        <v>4.0</v>
      </c>
      <c r="P11" s="55">
        <v>0.0</v>
      </c>
      <c r="Q11" s="43">
        <f t="shared" si="2"/>
        <v>11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" t="s">
        <v>1245</v>
      </c>
      <c r="C12" s="37" t="s">
        <v>1765</v>
      </c>
      <c r="D12" s="37" t="s">
        <v>1358</v>
      </c>
      <c r="E12" s="171" t="s">
        <v>338</v>
      </c>
      <c r="F12" s="134">
        <v>33.0</v>
      </c>
      <c r="G12" s="134" t="s">
        <v>339</v>
      </c>
      <c r="H12" s="134" t="s">
        <v>519</v>
      </c>
      <c r="I12" s="163" t="s">
        <v>1766</v>
      </c>
      <c r="J12" s="42"/>
      <c r="K12" s="43"/>
      <c r="L12" s="43"/>
      <c r="M12" s="43"/>
      <c r="N12" s="43">
        <f t="shared" si="1"/>
        <v>0</v>
      </c>
      <c r="O12" s="43"/>
      <c r="P12" s="43"/>
      <c r="Q12" s="43">
        <f t="shared" si="2"/>
        <v>0</v>
      </c>
      <c r="R12" s="43"/>
      <c r="S12" s="43"/>
      <c r="T12" s="43"/>
      <c r="U12" s="43"/>
      <c r="V12" s="43"/>
      <c r="W12" s="44"/>
      <c r="Z12" s="34"/>
      <c r="AA12" s="60" t="s">
        <v>62</v>
      </c>
      <c r="AB12" s="58"/>
      <c r="AC12" s="58"/>
      <c r="AD12" s="46">
        <f>W157</f>
        <v>11</v>
      </c>
    </row>
    <row r="13" ht="13.5" customHeight="1">
      <c r="A13" s="28">
        <v>7.0</v>
      </c>
      <c r="B13" s="37" t="s">
        <v>1767</v>
      </c>
      <c r="C13" s="37" t="s">
        <v>1768</v>
      </c>
      <c r="D13" s="37" t="s">
        <v>1769</v>
      </c>
      <c r="E13" s="171" t="s">
        <v>338</v>
      </c>
      <c r="F13" s="134">
        <v>26.0</v>
      </c>
      <c r="G13" s="134" t="s">
        <v>339</v>
      </c>
      <c r="H13" s="134" t="s">
        <v>519</v>
      </c>
      <c r="I13" s="163" t="s">
        <v>1770</v>
      </c>
      <c r="J13" s="54">
        <v>30.0</v>
      </c>
      <c r="K13" s="55">
        <v>24.0</v>
      </c>
      <c r="L13" s="55">
        <v>0.0</v>
      </c>
      <c r="M13" s="55">
        <v>5.0</v>
      </c>
      <c r="N13" s="43">
        <f t="shared" si="1"/>
        <v>5</v>
      </c>
      <c r="O13" s="55">
        <v>2.0</v>
      </c>
      <c r="P13" s="55">
        <v>1.0</v>
      </c>
      <c r="Q13" s="43">
        <f t="shared" si="2"/>
        <v>8</v>
      </c>
      <c r="R13" s="43"/>
      <c r="S13" s="43"/>
      <c r="T13" s="43"/>
      <c r="U13" s="43"/>
      <c r="V13" s="55" t="s">
        <v>1554</v>
      </c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37" t="s">
        <v>1771</v>
      </c>
      <c r="C14" s="37" t="s">
        <v>1772</v>
      </c>
      <c r="D14" s="37" t="s">
        <v>1771</v>
      </c>
      <c r="E14" s="171" t="s">
        <v>338</v>
      </c>
      <c r="F14" s="134">
        <v>33.0</v>
      </c>
      <c r="G14" s="134" t="s">
        <v>339</v>
      </c>
      <c r="H14" s="205" t="s">
        <v>1773</v>
      </c>
      <c r="I14" s="163" t="s">
        <v>1774</v>
      </c>
      <c r="J14" s="54">
        <v>26.0</v>
      </c>
      <c r="K14" s="55">
        <v>23.0</v>
      </c>
      <c r="L14" s="55">
        <v>0.0</v>
      </c>
      <c r="M14" s="55">
        <v>3.0</v>
      </c>
      <c r="N14" s="43">
        <f t="shared" si="1"/>
        <v>3</v>
      </c>
      <c r="O14" s="55">
        <v>4.0</v>
      </c>
      <c r="P14" s="55">
        <v>2.0</v>
      </c>
      <c r="Q14" s="43">
        <f t="shared" si="2"/>
        <v>9</v>
      </c>
      <c r="R14" s="43"/>
      <c r="S14" s="43"/>
      <c r="T14" s="43"/>
      <c r="U14" s="43"/>
      <c r="V14" s="55" t="s">
        <v>1775</v>
      </c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" t="s">
        <v>1776</v>
      </c>
      <c r="C15" s="37" t="s">
        <v>1777</v>
      </c>
      <c r="D15" s="37" t="s">
        <v>853</v>
      </c>
      <c r="E15" s="171" t="s">
        <v>338</v>
      </c>
      <c r="F15" s="134">
        <v>27.0</v>
      </c>
      <c r="G15" s="134" t="s">
        <v>385</v>
      </c>
      <c r="H15" s="134" t="s">
        <v>519</v>
      </c>
      <c r="I15" s="163" t="s">
        <v>1778</v>
      </c>
      <c r="J15" s="54">
        <v>30.0</v>
      </c>
      <c r="K15" s="55">
        <v>26.0</v>
      </c>
      <c r="L15" s="55">
        <v>0.0</v>
      </c>
      <c r="M15" s="55">
        <v>2.0</v>
      </c>
      <c r="N15" s="43">
        <f t="shared" si="1"/>
        <v>2</v>
      </c>
      <c r="O15" s="55">
        <v>2.0</v>
      </c>
      <c r="P15" s="55">
        <v>2.0</v>
      </c>
      <c r="Q15" s="43">
        <f t="shared" si="2"/>
        <v>6</v>
      </c>
      <c r="R15" s="43"/>
      <c r="S15" s="43"/>
      <c r="T15" s="43"/>
      <c r="U15" s="43"/>
      <c r="V15" s="55" t="s">
        <v>1554</v>
      </c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37" t="s">
        <v>421</v>
      </c>
      <c r="C16" s="37" t="s">
        <v>1779</v>
      </c>
      <c r="D16" s="37" t="s">
        <v>1780</v>
      </c>
      <c r="E16" s="171" t="s">
        <v>338</v>
      </c>
      <c r="F16" s="134">
        <v>39.0</v>
      </c>
      <c r="G16" s="134" t="s">
        <v>339</v>
      </c>
      <c r="H16" s="134" t="s">
        <v>594</v>
      </c>
      <c r="I16" s="163" t="s">
        <v>1781</v>
      </c>
      <c r="J16" s="54">
        <v>30.0</v>
      </c>
      <c r="K16" s="55">
        <v>17.0</v>
      </c>
      <c r="L16" s="55">
        <v>3.0</v>
      </c>
      <c r="M16" s="55">
        <v>10.0</v>
      </c>
      <c r="N16" s="43">
        <f t="shared" si="1"/>
        <v>13</v>
      </c>
      <c r="O16" s="55">
        <v>2.0</v>
      </c>
      <c r="P16" s="55">
        <v>0.0</v>
      </c>
      <c r="Q16" s="43">
        <f t="shared" si="2"/>
        <v>15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37" t="s">
        <v>1782</v>
      </c>
      <c r="C17" s="37" t="s">
        <v>876</v>
      </c>
      <c r="D17" s="37" t="s">
        <v>1783</v>
      </c>
      <c r="E17" s="171" t="s">
        <v>338</v>
      </c>
      <c r="F17" s="134">
        <v>30.0</v>
      </c>
      <c r="G17" s="134" t="s">
        <v>339</v>
      </c>
      <c r="H17" s="134" t="s">
        <v>519</v>
      </c>
      <c r="I17" s="163" t="s">
        <v>1784</v>
      </c>
      <c r="J17" s="54">
        <v>28.0</v>
      </c>
      <c r="K17" s="55">
        <v>27.0</v>
      </c>
      <c r="L17" s="55">
        <v>0.0</v>
      </c>
      <c r="M17" s="55">
        <v>1.0</v>
      </c>
      <c r="N17" s="43">
        <f t="shared" si="1"/>
        <v>1</v>
      </c>
      <c r="O17" s="55">
        <v>3.0</v>
      </c>
      <c r="P17" s="55">
        <v>0.0</v>
      </c>
      <c r="Q17" s="43">
        <f t="shared" si="2"/>
        <v>4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" t="s">
        <v>1785</v>
      </c>
      <c r="C18" s="37" t="s">
        <v>1786</v>
      </c>
      <c r="D18" s="37" t="s">
        <v>1758</v>
      </c>
      <c r="E18" s="171" t="s">
        <v>338</v>
      </c>
      <c r="F18" s="134">
        <v>42.0</v>
      </c>
      <c r="G18" s="134" t="s">
        <v>339</v>
      </c>
      <c r="H18" s="134" t="s">
        <v>519</v>
      </c>
      <c r="I18" s="163" t="s">
        <v>1787</v>
      </c>
      <c r="J18" s="42"/>
      <c r="K18" s="43"/>
      <c r="L18" s="43"/>
      <c r="M18" s="43"/>
      <c r="N18" s="43">
        <f t="shared" si="1"/>
        <v>0</v>
      </c>
      <c r="O18" s="43"/>
      <c r="P18" s="43"/>
      <c r="Q18" s="43">
        <f t="shared" si="2"/>
        <v>0</v>
      </c>
      <c r="R18" s="43"/>
      <c r="S18" s="43"/>
      <c r="T18" s="43"/>
      <c r="U18" s="43"/>
      <c r="V18" s="43"/>
      <c r="W18" s="44"/>
      <c r="Z18" s="34"/>
      <c r="AA18" s="61" t="s">
        <v>88</v>
      </c>
      <c r="AB18" s="66">
        <f>COUNTIF(S7:S157, "RPDU")</f>
        <v>0</v>
      </c>
      <c r="AC18" s="34"/>
      <c r="AD18" s="34"/>
    </row>
    <row r="19" ht="13.5" customHeight="1">
      <c r="A19" s="28">
        <v>13.0</v>
      </c>
      <c r="B19" s="37" t="s">
        <v>1788</v>
      </c>
      <c r="C19" s="37" t="s">
        <v>1789</v>
      </c>
      <c r="D19" s="37" t="s">
        <v>1790</v>
      </c>
      <c r="E19" s="171" t="s">
        <v>338</v>
      </c>
      <c r="F19" s="134">
        <v>45.0</v>
      </c>
      <c r="G19" s="134" t="s">
        <v>339</v>
      </c>
      <c r="H19" s="134" t="s">
        <v>519</v>
      </c>
      <c r="I19" s="163" t="s">
        <v>1791</v>
      </c>
      <c r="J19" s="54">
        <v>32.0</v>
      </c>
      <c r="K19" s="55">
        <v>26.0</v>
      </c>
      <c r="L19" s="55">
        <v>1.0</v>
      </c>
      <c r="M19" s="55">
        <v>6.0</v>
      </c>
      <c r="N19" s="43">
        <f t="shared" si="1"/>
        <v>7</v>
      </c>
      <c r="O19" s="55">
        <v>0.0</v>
      </c>
      <c r="P19" s="55">
        <v>0.0</v>
      </c>
      <c r="Q19" s="43">
        <f t="shared" si="2"/>
        <v>7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" t="s">
        <v>932</v>
      </c>
      <c r="C20" s="37" t="s">
        <v>1792</v>
      </c>
      <c r="D20" s="37" t="s">
        <v>1793</v>
      </c>
      <c r="E20" s="171" t="s">
        <v>338</v>
      </c>
      <c r="F20" s="134">
        <v>26.0</v>
      </c>
      <c r="G20" s="134" t="s">
        <v>339</v>
      </c>
      <c r="H20" s="134" t="s">
        <v>519</v>
      </c>
      <c r="I20" s="163" t="s">
        <v>1794</v>
      </c>
      <c r="J20" s="42"/>
      <c r="K20" s="43"/>
      <c r="L20" s="43"/>
      <c r="M20" s="43"/>
      <c r="N20" s="43">
        <f t="shared" si="1"/>
        <v>0</v>
      </c>
      <c r="O20" s="43"/>
      <c r="P20" s="43"/>
      <c r="Q20" s="43">
        <f t="shared" si="2"/>
        <v>0</v>
      </c>
      <c r="R20" s="43"/>
      <c r="S20" s="43"/>
      <c r="T20" s="43"/>
      <c r="U20" s="43"/>
      <c r="V20" s="43"/>
      <c r="W20" s="44"/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37" t="s">
        <v>1795</v>
      </c>
      <c r="C21" s="37" t="s">
        <v>1692</v>
      </c>
      <c r="D21" s="37" t="s">
        <v>1796</v>
      </c>
      <c r="E21" s="171" t="s">
        <v>338</v>
      </c>
      <c r="F21" s="134">
        <v>36.0</v>
      </c>
      <c r="G21" s="134" t="s">
        <v>339</v>
      </c>
      <c r="H21" s="134" t="s">
        <v>519</v>
      </c>
      <c r="I21" s="163" t="s">
        <v>1797</v>
      </c>
      <c r="J21" s="42"/>
      <c r="K21" s="43"/>
      <c r="L21" s="43"/>
      <c r="M21" s="43"/>
      <c r="N21" s="43">
        <f t="shared" si="1"/>
        <v>0</v>
      </c>
      <c r="O21" s="43"/>
      <c r="P21" s="43"/>
      <c r="Q21" s="43">
        <f t="shared" si="2"/>
        <v>0</v>
      </c>
      <c r="R21" s="43"/>
      <c r="S21" s="43"/>
      <c r="T21" s="43"/>
      <c r="U21" s="43"/>
      <c r="V21" s="43"/>
      <c r="W21" s="44"/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203"/>
      <c r="C22" s="106"/>
      <c r="D22" s="106"/>
      <c r="E22" s="109"/>
      <c r="F22" s="53"/>
      <c r="G22" s="82"/>
      <c r="H22" s="53"/>
      <c r="I22" s="53"/>
      <c r="J22" s="42"/>
      <c r="K22" s="43"/>
      <c r="L22" s="43"/>
      <c r="M22" s="43"/>
      <c r="N22" s="43">
        <f t="shared" si="1"/>
        <v>0</v>
      </c>
      <c r="O22" s="43"/>
      <c r="P22" s="43"/>
      <c r="Q22" s="43">
        <f t="shared" si="2"/>
        <v>0</v>
      </c>
      <c r="R22" s="43"/>
      <c r="S22" s="43"/>
      <c r="T22" s="43"/>
      <c r="U22" s="43"/>
      <c r="V22" s="43"/>
      <c r="W22" s="44"/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203"/>
      <c r="C23" s="106"/>
      <c r="D23" s="106"/>
      <c r="E23" s="109"/>
      <c r="F23" s="53"/>
      <c r="G23" s="82"/>
      <c r="H23" s="53"/>
      <c r="I23" s="53"/>
      <c r="J23" s="42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4"/>
      <c r="Z23" s="34"/>
      <c r="AA23" s="61" t="s">
        <v>109</v>
      </c>
      <c r="AB23" s="66">
        <f>COUNTIF(S7:S157, "Ortho")</f>
        <v>0</v>
      </c>
      <c r="AC23" s="34"/>
      <c r="AD23" s="34"/>
    </row>
    <row r="24" ht="13.5" customHeight="1">
      <c r="A24" s="28">
        <v>18.0</v>
      </c>
      <c r="B24" s="203"/>
      <c r="C24" s="106"/>
      <c r="D24" s="106"/>
      <c r="E24" s="109"/>
      <c r="F24" s="53"/>
      <c r="G24" s="82"/>
      <c r="H24" s="53"/>
      <c r="I24" s="41"/>
      <c r="J24" s="42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4"/>
      <c r="Z24" s="34"/>
      <c r="AA24" s="34"/>
      <c r="AB24" s="34"/>
      <c r="AC24" s="34"/>
      <c r="AD24" s="34"/>
    </row>
    <row r="25" ht="13.5" customHeight="1">
      <c r="A25" s="28">
        <v>19.0</v>
      </c>
      <c r="B25" s="203"/>
      <c r="C25" s="106"/>
      <c r="D25" s="106"/>
      <c r="E25" s="109"/>
      <c r="F25" s="53"/>
      <c r="G25" s="82"/>
      <c r="H25" s="53"/>
      <c r="I25" s="41"/>
      <c r="J25" s="42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4"/>
      <c r="Z25" s="34"/>
      <c r="AA25" s="34"/>
      <c r="AB25" s="34"/>
      <c r="AC25" s="34"/>
      <c r="AD25" s="34"/>
    </row>
    <row r="26" ht="13.5" customHeight="1">
      <c r="A26" s="28">
        <v>20.0</v>
      </c>
      <c r="B26" s="203"/>
      <c r="C26" s="106"/>
      <c r="D26" s="106"/>
      <c r="E26" s="109"/>
      <c r="F26" s="53"/>
      <c r="G26" s="82"/>
      <c r="H26" s="53"/>
      <c r="I26" s="41"/>
      <c r="J26" s="42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  <c r="Z26" s="34"/>
      <c r="AA26" s="34"/>
      <c r="AB26" s="34"/>
      <c r="AC26" s="34"/>
      <c r="AD26" s="34"/>
    </row>
    <row r="27" ht="13.5" customHeight="1">
      <c r="A27" s="28">
        <v>21.0</v>
      </c>
      <c r="B27" s="203"/>
      <c r="C27" s="106"/>
      <c r="D27" s="106"/>
      <c r="E27" s="109"/>
      <c r="F27" s="53"/>
      <c r="G27" s="82"/>
      <c r="H27" s="53"/>
      <c r="I27" s="53"/>
      <c r="J27" s="42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4"/>
      <c r="Z27" s="34"/>
      <c r="AA27" s="34"/>
      <c r="AB27" s="34"/>
      <c r="AC27" s="34"/>
      <c r="AD27" s="34"/>
    </row>
    <row r="28" ht="13.5" customHeight="1">
      <c r="A28" s="28">
        <v>22.0</v>
      </c>
      <c r="B28" s="203"/>
      <c r="C28" s="106"/>
      <c r="D28" s="106"/>
      <c r="E28" s="109"/>
      <c r="F28" s="53"/>
      <c r="G28" s="82"/>
      <c r="H28" s="53"/>
      <c r="I28" s="53"/>
      <c r="J28" s="42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203"/>
      <c r="C29" s="106"/>
      <c r="D29" s="106"/>
      <c r="E29" s="109"/>
      <c r="F29" s="53"/>
      <c r="G29" s="82"/>
      <c r="H29" s="53"/>
      <c r="I29" s="53"/>
      <c r="J29" s="42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  <c r="Z29" s="34"/>
      <c r="AA29" s="34"/>
      <c r="AB29" s="34"/>
      <c r="AC29" s="34"/>
      <c r="AD29" s="34"/>
    </row>
    <row r="30" ht="13.5" customHeight="1">
      <c r="A30" s="28">
        <v>24.0</v>
      </c>
      <c r="B30" s="203"/>
      <c r="C30" s="203"/>
      <c r="D30" s="203"/>
      <c r="E30" s="109"/>
      <c r="F30" s="53"/>
      <c r="G30" s="82"/>
      <c r="H30" s="53"/>
      <c r="I30" s="76"/>
      <c r="J30" s="42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4"/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203"/>
      <c r="C31" s="106"/>
      <c r="D31" s="106"/>
      <c r="E31" s="109"/>
      <c r="F31" s="53"/>
      <c r="G31" s="82"/>
      <c r="H31" s="53"/>
      <c r="I31" s="53"/>
      <c r="J31" s="42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203"/>
      <c r="C32" s="112"/>
      <c r="D32" s="112"/>
      <c r="E32" s="53"/>
      <c r="F32" s="53"/>
      <c r="G32" s="53"/>
      <c r="H32" s="90"/>
      <c r="I32" s="79"/>
      <c r="J32" s="42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203"/>
      <c r="C33" s="106"/>
      <c r="D33" s="106"/>
      <c r="E33" s="53"/>
      <c r="F33" s="53"/>
      <c r="G33" s="53"/>
      <c r="H33" s="206"/>
      <c r="I33" s="80"/>
      <c r="J33" s="42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4"/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03"/>
      <c r="C34" s="106"/>
      <c r="D34" s="106"/>
      <c r="E34" s="53"/>
      <c r="F34" s="53"/>
      <c r="G34" s="82"/>
      <c r="H34" s="53"/>
      <c r="I34" s="53"/>
      <c r="J34" s="42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4"/>
      <c r="Z34" s="61"/>
      <c r="AA34" s="61"/>
      <c r="AB34" s="66"/>
      <c r="AC34" s="34"/>
      <c r="AD34" s="34"/>
    </row>
    <row r="35" ht="13.5" customHeight="1">
      <c r="A35" s="28">
        <v>29.0</v>
      </c>
      <c r="B35" s="203"/>
      <c r="C35" s="106"/>
      <c r="D35" s="106"/>
      <c r="E35" s="53"/>
      <c r="F35" s="53"/>
      <c r="G35" s="82"/>
      <c r="H35" s="53"/>
      <c r="I35" s="53"/>
      <c r="J35" s="81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4"/>
      <c r="Z35" s="61"/>
      <c r="AA35" s="61"/>
      <c r="AB35" s="66"/>
      <c r="AC35" s="34"/>
      <c r="AD35" s="34"/>
    </row>
    <row r="36" ht="13.5" customHeight="1">
      <c r="A36" s="28">
        <v>30.0</v>
      </c>
      <c r="B36" s="106"/>
      <c r="C36" s="106"/>
      <c r="D36" s="106"/>
      <c r="E36" s="53"/>
      <c r="F36" s="53"/>
      <c r="G36" s="82"/>
      <c r="H36" s="53"/>
      <c r="I36" s="82"/>
      <c r="J36" s="8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4"/>
      <c r="Z36" s="61"/>
      <c r="AA36" s="61"/>
      <c r="AB36" s="66"/>
      <c r="AC36" s="34"/>
      <c r="AD36" s="34"/>
    </row>
    <row r="37" ht="13.5" customHeight="1">
      <c r="A37" s="28">
        <v>31.0</v>
      </c>
      <c r="B37" s="106"/>
      <c r="C37" s="106"/>
      <c r="D37" s="106"/>
      <c r="E37" s="53"/>
      <c r="F37" s="53"/>
      <c r="G37" s="82"/>
      <c r="H37" s="53"/>
      <c r="I37" s="82"/>
      <c r="J37" s="8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106"/>
      <c r="C38" s="106"/>
      <c r="D38" s="106"/>
      <c r="E38" s="53"/>
      <c r="F38" s="53"/>
      <c r="G38" s="82"/>
      <c r="H38" s="53"/>
      <c r="I38" s="82"/>
      <c r="J38" s="8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106"/>
      <c r="C39" s="106"/>
      <c r="D39" s="106"/>
      <c r="E39" s="53"/>
      <c r="F39" s="53"/>
      <c r="G39" s="82"/>
      <c r="H39" s="53"/>
      <c r="I39" s="88"/>
      <c r="J39" s="8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  <c r="Z39" s="61"/>
      <c r="AA39" s="61"/>
      <c r="AB39" s="66"/>
      <c r="AC39" s="34"/>
      <c r="AD39" s="34"/>
    </row>
    <row r="40" ht="13.5" customHeight="1">
      <c r="A40" s="28">
        <v>34.0</v>
      </c>
      <c r="B40" s="106"/>
      <c r="C40" s="106"/>
      <c r="D40" s="106"/>
      <c r="E40" s="53"/>
      <c r="F40" s="53"/>
      <c r="G40" s="82"/>
      <c r="H40" s="53"/>
      <c r="I40" s="88"/>
      <c r="J40" s="8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4"/>
      <c r="Z40" s="61"/>
      <c r="AA40" s="61"/>
      <c r="AB40" s="66"/>
      <c r="AC40" s="34"/>
      <c r="AD40" s="34"/>
    </row>
    <row r="41" ht="13.5" customHeight="1">
      <c r="A41" s="28">
        <v>35.0</v>
      </c>
      <c r="B41" s="107"/>
      <c r="C41" s="107"/>
      <c r="D41" s="107"/>
      <c r="E41" s="53"/>
      <c r="F41" s="53"/>
      <c r="G41" s="82"/>
      <c r="H41" s="53"/>
      <c r="I41" s="89"/>
      <c r="J41" s="8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106"/>
      <c r="C42" s="106"/>
      <c r="D42" s="106"/>
      <c r="E42" s="109"/>
      <c r="F42" s="53"/>
      <c r="G42" s="82"/>
      <c r="H42" s="53"/>
      <c r="I42" s="89"/>
      <c r="J42" s="8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203"/>
      <c r="C43" s="203"/>
      <c r="D43" s="203"/>
      <c r="E43" s="109"/>
      <c r="F43" s="53"/>
      <c r="G43" s="82"/>
      <c r="H43" s="53"/>
      <c r="I43" s="82"/>
      <c r="J43" s="8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06"/>
      <c r="C44" s="106"/>
      <c r="D44" s="106"/>
      <c r="E44" s="109"/>
      <c r="F44" s="53"/>
      <c r="G44" s="82"/>
      <c r="H44" s="53"/>
      <c r="I44" s="82"/>
      <c r="J44" s="8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3">SUM(J7:J156)</f>
        <v>304</v>
      </c>
      <c r="K157" s="123">
        <f t="shared" si="3"/>
        <v>253</v>
      </c>
      <c r="L157" s="123">
        <f t="shared" si="3"/>
        <v>4</v>
      </c>
      <c r="M157" s="123">
        <f t="shared" si="3"/>
        <v>43</v>
      </c>
      <c r="N157" s="123">
        <f t="shared" si="3"/>
        <v>47</v>
      </c>
      <c r="O157" s="123">
        <f t="shared" si="3"/>
        <v>43</v>
      </c>
      <c r="P157" s="123">
        <f t="shared" si="3"/>
        <v>7</v>
      </c>
      <c r="Q157" s="123">
        <f t="shared" si="3"/>
        <v>97</v>
      </c>
      <c r="R157" s="124"/>
      <c r="S157" s="124"/>
      <c r="T157" s="125"/>
      <c r="U157" s="145" t="s">
        <v>330</v>
      </c>
      <c r="V157" s="5"/>
      <c r="W157" s="126">
        <f>COUNTIF(W7:W156,"YES")</f>
        <v>11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3" width="16.88"/>
    <col customWidth="1" min="4" max="4" width="8.63"/>
    <col customWidth="1" min="5" max="5" width="17.0"/>
    <col customWidth="1" min="6" max="7" width="8.63"/>
    <col customWidth="1" min="8" max="8" width="10.63"/>
    <col customWidth="1" min="9" max="9" width="14.75"/>
    <col customWidth="1" min="10" max="10" width="12.88"/>
    <col customWidth="1" min="11" max="11" width="11.88"/>
    <col customWidth="1" min="12" max="12" width="12.13"/>
    <col customWidth="1" min="13" max="13" width="12.38"/>
    <col customWidth="1" min="14" max="19" width="8.63"/>
    <col customWidth="1" min="20" max="20" width="13.13"/>
    <col customWidth="1" min="21" max="21" width="10.38"/>
    <col customWidth="1" min="22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204" t="s">
        <v>1798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33.0" customHeight="1">
      <c r="A3" s="6" t="s">
        <v>3</v>
      </c>
      <c r="B3" s="5"/>
      <c r="C3" s="204" t="s">
        <v>1799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3.5" customHeight="1">
      <c r="A4" s="12" t="s">
        <v>5</v>
      </c>
      <c r="B4" s="5"/>
      <c r="C4" s="225"/>
      <c r="D4" s="18"/>
      <c r="E4" s="18"/>
      <c r="F4" s="18"/>
      <c r="G4" s="18"/>
      <c r="H4" s="18"/>
      <c r="I4" s="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877</v>
      </c>
      <c r="C7" s="37" t="s">
        <v>1800</v>
      </c>
      <c r="D7" s="37" t="s">
        <v>1245</v>
      </c>
      <c r="E7" s="133" t="s">
        <v>338</v>
      </c>
      <c r="F7" s="134">
        <v>58.0</v>
      </c>
      <c r="G7" s="134" t="s">
        <v>385</v>
      </c>
      <c r="H7" s="134" t="s">
        <v>1801</v>
      </c>
      <c r="I7" s="134" t="s">
        <v>1802</v>
      </c>
      <c r="J7" s="54">
        <v>26.0</v>
      </c>
      <c r="K7" s="55">
        <v>19.0</v>
      </c>
      <c r="L7" s="55">
        <v>0.0</v>
      </c>
      <c r="M7" s="55">
        <v>7.0</v>
      </c>
      <c r="N7" s="43">
        <f t="shared" ref="N7:N16" si="1">SUM(L7,M7)</f>
        <v>7</v>
      </c>
      <c r="O7" s="55">
        <v>5.0</v>
      </c>
      <c r="P7" s="55">
        <v>0.0</v>
      </c>
      <c r="Q7" s="43">
        <f t="shared" ref="Q7:Q16" si="2">SUM(N7,O7,P7)</f>
        <v>12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1393</v>
      </c>
      <c r="C8" s="37" t="s">
        <v>1803</v>
      </c>
      <c r="D8" s="37" t="s">
        <v>1804</v>
      </c>
      <c r="E8" s="133" t="s">
        <v>338</v>
      </c>
      <c r="F8" s="134">
        <v>27.0</v>
      </c>
      <c r="G8" s="134" t="s">
        <v>339</v>
      </c>
      <c r="H8" s="134" t="s">
        <v>349</v>
      </c>
      <c r="I8" s="134" t="s">
        <v>1805</v>
      </c>
      <c r="J8" s="54">
        <v>28.0</v>
      </c>
      <c r="K8" s="55">
        <v>27.0</v>
      </c>
      <c r="L8" s="55">
        <v>0.0</v>
      </c>
      <c r="M8" s="55">
        <v>1.0</v>
      </c>
      <c r="N8" s="43">
        <f t="shared" si="1"/>
        <v>1</v>
      </c>
      <c r="O8" s="55">
        <v>0.0</v>
      </c>
      <c r="P8" s="55">
        <v>0.0</v>
      </c>
      <c r="Q8" s="43">
        <f t="shared" si="2"/>
        <v>1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" t="s">
        <v>1806</v>
      </c>
      <c r="C9" s="37" t="s">
        <v>1807</v>
      </c>
      <c r="D9" s="37" t="s">
        <v>1808</v>
      </c>
      <c r="E9" s="133" t="s">
        <v>338</v>
      </c>
      <c r="F9" s="134">
        <v>25.0</v>
      </c>
      <c r="G9" s="134" t="s">
        <v>339</v>
      </c>
      <c r="H9" s="134" t="s">
        <v>349</v>
      </c>
      <c r="I9" s="134" t="s">
        <v>1809</v>
      </c>
      <c r="J9" s="42"/>
      <c r="K9" s="43"/>
      <c r="L9" s="43"/>
      <c r="M9" s="43"/>
      <c r="N9" s="43">
        <f t="shared" si="1"/>
        <v>0</v>
      </c>
      <c r="O9" s="43"/>
      <c r="P9" s="43"/>
      <c r="Q9" s="43">
        <f t="shared" si="2"/>
        <v>0</v>
      </c>
      <c r="R9" s="43"/>
      <c r="S9" s="43"/>
      <c r="T9" s="43"/>
      <c r="U9" s="43"/>
      <c r="V9" s="43"/>
      <c r="W9" s="44"/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" t="s">
        <v>250</v>
      </c>
      <c r="C10" s="37" t="s">
        <v>1810</v>
      </c>
      <c r="D10" s="37" t="s">
        <v>1811</v>
      </c>
      <c r="E10" s="133" t="s">
        <v>338</v>
      </c>
      <c r="F10" s="134">
        <v>36.0</v>
      </c>
      <c r="G10" s="134" t="s">
        <v>339</v>
      </c>
      <c r="H10" s="134" t="s">
        <v>349</v>
      </c>
      <c r="I10" s="134" t="s">
        <v>1812</v>
      </c>
      <c r="J10" s="54">
        <v>28.0</v>
      </c>
      <c r="K10" s="55">
        <v>25.0</v>
      </c>
      <c r="L10" s="55">
        <v>0.0</v>
      </c>
      <c r="M10" s="55">
        <v>1.0</v>
      </c>
      <c r="N10" s="43">
        <f t="shared" si="1"/>
        <v>1</v>
      </c>
      <c r="O10" s="55">
        <v>4.0</v>
      </c>
      <c r="P10" s="55">
        <v>2.0</v>
      </c>
      <c r="Q10" s="43">
        <f t="shared" si="2"/>
        <v>7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" t="s">
        <v>1813</v>
      </c>
      <c r="C11" s="37" t="s">
        <v>1786</v>
      </c>
      <c r="D11" s="37" t="s">
        <v>1814</v>
      </c>
      <c r="E11" s="133" t="s">
        <v>338</v>
      </c>
      <c r="F11" s="134">
        <v>29.0</v>
      </c>
      <c r="G11" s="134" t="s">
        <v>339</v>
      </c>
      <c r="H11" s="134" t="s">
        <v>349</v>
      </c>
      <c r="I11" s="134" t="s">
        <v>1815</v>
      </c>
      <c r="J11" s="54">
        <v>24.0</v>
      </c>
      <c r="K11" s="55">
        <v>19.0</v>
      </c>
      <c r="L11" s="55">
        <v>0.0</v>
      </c>
      <c r="M11" s="55">
        <v>5.0</v>
      </c>
      <c r="N11" s="43">
        <f t="shared" si="1"/>
        <v>5</v>
      </c>
      <c r="O11" s="55">
        <v>8.0</v>
      </c>
      <c r="P11" s="55">
        <v>0.0</v>
      </c>
      <c r="Q11" s="43">
        <f t="shared" si="2"/>
        <v>13</v>
      </c>
      <c r="R11" s="43"/>
      <c r="S11" s="43"/>
      <c r="T11" s="43"/>
      <c r="U11" s="43"/>
      <c r="V11" s="55" t="s">
        <v>1816</v>
      </c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" t="s">
        <v>1817</v>
      </c>
      <c r="C12" s="37" t="s">
        <v>1818</v>
      </c>
      <c r="D12" s="37" t="s">
        <v>1819</v>
      </c>
      <c r="E12" s="133" t="s">
        <v>338</v>
      </c>
      <c r="F12" s="134">
        <v>24.0</v>
      </c>
      <c r="G12" s="134" t="s">
        <v>339</v>
      </c>
      <c r="H12" s="134" t="s">
        <v>349</v>
      </c>
      <c r="I12" s="134" t="s">
        <v>1820</v>
      </c>
      <c r="J12" s="42"/>
      <c r="K12" s="43"/>
      <c r="L12" s="43"/>
      <c r="M12" s="43"/>
      <c r="N12" s="43">
        <f t="shared" si="1"/>
        <v>0</v>
      </c>
      <c r="O12" s="43"/>
      <c r="P12" s="43"/>
      <c r="Q12" s="43">
        <f t="shared" si="2"/>
        <v>0</v>
      </c>
      <c r="R12" s="43"/>
      <c r="S12" s="43"/>
      <c r="T12" s="43"/>
      <c r="U12" s="43"/>
      <c r="V12" s="43"/>
      <c r="W12" s="44"/>
      <c r="Z12" s="34"/>
      <c r="AA12" s="60" t="s">
        <v>62</v>
      </c>
      <c r="AB12" s="58"/>
      <c r="AC12" s="58"/>
      <c r="AD12" s="46">
        <f>W157</f>
        <v>2</v>
      </c>
    </row>
    <row r="13" ht="13.5" customHeight="1">
      <c r="A13" s="28">
        <v>7.0</v>
      </c>
      <c r="B13" s="37" t="s">
        <v>1821</v>
      </c>
      <c r="C13" s="37" t="s">
        <v>1822</v>
      </c>
      <c r="D13" s="37" t="s">
        <v>1823</v>
      </c>
      <c r="E13" s="133" t="s">
        <v>338</v>
      </c>
      <c r="F13" s="134">
        <v>35.0</v>
      </c>
      <c r="G13" s="134" t="s">
        <v>339</v>
      </c>
      <c r="H13" s="134" t="s">
        <v>349</v>
      </c>
      <c r="I13" s="134" t="s">
        <v>1824</v>
      </c>
      <c r="J13" s="42"/>
      <c r="K13" s="43"/>
      <c r="L13" s="43"/>
      <c r="M13" s="43"/>
      <c r="N13" s="43">
        <f t="shared" si="1"/>
        <v>0</v>
      </c>
      <c r="O13" s="43"/>
      <c r="P13" s="43"/>
      <c r="Q13" s="43">
        <f t="shared" si="2"/>
        <v>0</v>
      </c>
      <c r="R13" s="43"/>
      <c r="S13" s="43"/>
      <c r="T13" s="43"/>
      <c r="U13" s="43"/>
      <c r="V13" s="43"/>
      <c r="W13" s="44"/>
      <c r="Z13" s="34"/>
      <c r="AA13" s="34"/>
      <c r="AB13" s="34"/>
      <c r="AC13" s="34"/>
      <c r="AD13" s="34"/>
    </row>
    <row r="14" ht="13.5" customHeight="1">
      <c r="A14" s="28">
        <v>8.0</v>
      </c>
      <c r="B14" s="37" t="s">
        <v>1755</v>
      </c>
      <c r="C14" s="37" t="s">
        <v>1825</v>
      </c>
      <c r="D14" s="37" t="s">
        <v>1813</v>
      </c>
      <c r="E14" s="133" t="s">
        <v>338</v>
      </c>
      <c r="F14" s="134">
        <v>33.0</v>
      </c>
      <c r="G14" s="134" t="s">
        <v>339</v>
      </c>
      <c r="H14" s="134" t="s">
        <v>349</v>
      </c>
      <c r="I14" s="134" t="s">
        <v>1826</v>
      </c>
      <c r="J14" s="54">
        <v>16.0</v>
      </c>
      <c r="K14" s="55">
        <v>5.0</v>
      </c>
      <c r="L14" s="55">
        <v>0.0</v>
      </c>
      <c r="M14" s="55">
        <v>8.0</v>
      </c>
      <c r="N14" s="43">
        <f t="shared" si="1"/>
        <v>8</v>
      </c>
      <c r="O14" s="55">
        <v>16.0</v>
      </c>
      <c r="P14" s="55">
        <v>3.0</v>
      </c>
      <c r="Q14" s="43">
        <f t="shared" si="2"/>
        <v>27</v>
      </c>
      <c r="R14" s="43"/>
      <c r="S14" s="43"/>
      <c r="T14" s="43"/>
      <c r="U14" s="43"/>
      <c r="V14" s="55" t="s">
        <v>1827</v>
      </c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" t="s">
        <v>1532</v>
      </c>
      <c r="C15" s="37" t="s">
        <v>1828</v>
      </c>
      <c r="D15" s="37" t="s">
        <v>1829</v>
      </c>
      <c r="E15" s="133" t="s">
        <v>338</v>
      </c>
      <c r="F15" s="134">
        <v>27.0</v>
      </c>
      <c r="G15" s="134" t="s">
        <v>339</v>
      </c>
      <c r="H15" s="134" t="s">
        <v>349</v>
      </c>
      <c r="I15" s="134" t="s">
        <v>1830</v>
      </c>
      <c r="J15" s="42"/>
      <c r="K15" s="43"/>
      <c r="L15" s="43"/>
      <c r="M15" s="43"/>
      <c r="N15" s="43">
        <f t="shared" si="1"/>
        <v>0</v>
      </c>
      <c r="O15" s="43"/>
      <c r="P15" s="43"/>
      <c r="Q15" s="43">
        <f t="shared" si="2"/>
        <v>0</v>
      </c>
      <c r="R15" s="43"/>
      <c r="S15" s="43"/>
      <c r="T15" s="43"/>
      <c r="U15" s="43"/>
      <c r="V15" s="43"/>
      <c r="W15" s="44"/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37" t="s">
        <v>1831</v>
      </c>
      <c r="C16" s="37" t="s">
        <v>1832</v>
      </c>
      <c r="D16" s="37" t="s">
        <v>1478</v>
      </c>
      <c r="E16" s="133" t="s">
        <v>338</v>
      </c>
      <c r="F16" s="134">
        <v>30.0</v>
      </c>
      <c r="G16" s="134" t="s">
        <v>385</v>
      </c>
      <c r="H16" s="134" t="s">
        <v>1833</v>
      </c>
      <c r="I16" s="134" t="s">
        <v>1834</v>
      </c>
      <c r="J16" s="42"/>
      <c r="K16" s="43"/>
      <c r="L16" s="43"/>
      <c r="M16" s="43"/>
      <c r="N16" s="43">
        <f t="shared" si="1"/>
        <v>0</v>
      </c>
      <c r="O16" s="43"/>
      <c r="P16" s="43"/>
      <c r="Q16" s="43">
        <f t="shared" si="2"/>
        <v>0</v>
      </c>
      <c r="R16" s="43"/>
      <c r="S16" s="43"/>
      <c r="T16" s="43"/>
      <c r="U16" s="43"/>
      <c r="V16" s="43"/>
      <c r="W16" s="44"/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203"/>
      <c r="C17" s="106"/>
      <c r="D17" s="106"/>
      <c r="E17" s="109"/>
      <c r="F17" s="53"/>
      <c r="G17" s="82"/>
      <c r="H17" s="82"/>
      <c r="I17" s="53"/>
      <c r="J17" s="42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4"/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203"/>
      <c r="C18" s="226"/>
      <c r="D18" s="226"/>
      <c r="E18" s="109"/>
      <c r="F18" s="53"/>
      <c r="G18" s="53"/>
      <c r="H18" s="206"/>
      <c r="I18" s="67"/>
      <c r="J18" s="42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4"/>
      <c r="Z18" s="34"/>
      <c r="AA18" s="61" t="s">
        <v>88</v>
      </c>
      <c r="AB18" s="66">
        <f>COUNTIF(S7:S157, "RPDU")</f>
        <v>0</v>
      </c>
      <c r="AC18" s="34"/>
      <c r="AD18" s="34"/>
    </row>
    <row r="19" ht="13.5" customHeight="1">
      <c r="A19" s="28">
        <v>13.0</v>
      </c>
      <c r="B19" s="203"/>
      <c r="C19" s="226"/>
      <c r="D19" s="226"/>
      <c r="E19" s="109"/>
      <c r="F19" s="53"/>
      <c r="G19" s="82"/>
      <c r="H19" s="53"/>
      <c r="I19" s="41"/>
      <c r="J19" s="42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4"/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203"/>
      <c r="C20" s="226"/>
      <c r="D20" s="226"/>
      <c r="E20" s="109"/>
      <c r="F20" s="53"/>
      <c r="G20" s="82"/>
      <c r="H20" s="53"/>
      <c r="I20" s="75"/>
      <c r="J20" s="42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4"/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203"/>
      <c r="C21" s="227"/>
      <c r="D21" s="227"/>
      <c r="E21" s="109"/>
      <c r="F21" s="53"/>
      <c r="G21" s="82"/>
      <c r="H21" s="53"/>
      <c r="I21" s="53"/>
      <c r="J21" s="42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203"/>
      <c r="C22" s="106"/>
      <c r="D22" s="106"/>
      <c r="E22" s="109"/>
      <c r="F22" s="53"/>
      <c r="G22" s="82"/>
      <c r="H22" s="53"/>
      <c r="I22" s="53"/>
      <c r="J22" s="42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4"/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203"/>
      <c r="C23" s="106"/>
      <c r="D23" s="106"/>
      <c r="E23" s="109"/>
      <c r="F23" s="53"/>
      <c r="G23" s="82"/>
      <c r="H23" s="53"/>
      <c r="I23" s="53"/>
      <c r="J23" s="42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4"/>
      <c r="Z23" s="34"/>
      <c r="AA23" s="61" t="s">
        <v>109</v>
      </c>
      <c r="AB23" s="66">
        <f>COUNTIF(S7:S157, "Ortho")</f>
        <v>0</v>
      </c>
      <c r="AC23" s="34"/>
      <c r="AD23" s="34"/>
    </row>
    <row r="24" ht="13.5" customHeight="1">
      <c r="A24" s="28">
        <v>18.0</v>
      </c>
      <c r="B24" s="203"/>
      <c r="C24" s="106"/>
      <c r="D24" s="106"/>
      <c r="E24" s="109"/>
      <c r="F24" s="53"/>
      <c r="G24" s="82"/>
      <c r="H24" s="53"/>
      <c r="I24" s="41"/>
      <c r="J24" s="42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4"/>
      <c r="Z24" s="34"/>
      <c r="AA24" s="34"/>
      <c r="AB24" s="34"/>
      <c r="AC24" s="34"/>
      <c r="AD24" s="34"/>
    </row>
    <row r="25" ht="13.5" customHeight="1">
      <c r="A25" s="28">
        <v>19.0</v>
      </c>
      <c r="B25" s="203"/>
      <c r="C25" s="106"/>
      <c r="D25" s="106"/>
      <c r="E25" s="109"/>
      <c r="F25" s="53"/>
      <c r="G25" s="82"/>
      <c r="H25" s="53"/>
      <c r="I25" s="41"/>
      <c r="J25" s="42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4"/>
      <c r="Z25" s="34"/>
      <c r="AA25" s="34"/>
      <c r="AB25" s="34"/>
      <c r="AC25" s="34"/>
      <c r="AD25" s="34"/>
    </row>
    <row r="26" ht="13.5" customHeight="1">
      <c r="A26" s="28">
        <v>20.0</v>
      </c>
      <c r="B26" s="203"/>
      <c r="C26" s="106"/>
      <c r="D26" s="106"/>
      <c r="E26" s="109"/>
      <c r="F26" s="53"/>
      <c r="G26" s="82"/>
      <c r="H26" s="53"/>
      <c r="I26" s="41"/>
      <c r="J26" s="42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  <c r="Z26" s="34"/>
      <c r="AA26" s="34"/>
      <c r="AB26" s="34"/>
      <c r="AC26" s="34"/>
      <c r="AD26" s="34"/>
    </row>
    <row r="27" ht="13.5" customHeight="1">
      <c r="A27" s="28">
        <v>21.0</v>
      </c>
      <c r="B27" s="203"/>
      <c r="C27" s="106"/>
      <c r="D27" s="106"/>
      <c r="E27" s="109"/>
      <c r="F27" s="53"/>
      <c r="G27" s="82"/>
      <c r="H27" s="53"/>
      <c r="I27" s="53"/>
      <c r="J27" s="42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4"/>
      <c r="Z27" s="34"/>
      <c r="AA27" s="34"/>
      <c r="AB27" s="34"/>
      <c r="AC27" s="34"/>
      <c r="AD27" s="34"/>
    </row>
    <row r="28" ht="13.5" customHeight="1">
      <c r="A28" s="28">
        <v>22.0</v>
      </c>
      <c r="B28" s="203"/>
      <c r="C28" s="106"/>
      <c r="D28" s="106"/>
      <c r="E28" s="109"/>
      <c r="F28" s="53"/>
      <c r="G28" s="82"/>
      <c r="H28" s="53"/>
      <c r="I28" s="53"/>
      <c r="J28" s="42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203"/>
      <c r="C29" s="106"/>
      <c r="D29" s="106"/>
      <c r="E29" s="109"/>
      <c r="F29" s="53"/>
      <c r="G29" s="82"/>
      <c r="H29" s="53"/>
      <c r="I29" s="53"/>
      <c r="J29" s="42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  <c r="Z29" s="34"/>
      <c r="AA29" s="34"/>
      <c r="AB29" s="34"/>
      <c r="AC29" s="34"/>
      <c r="AD29" s="34"/>
    </row>
    <row r="30" ht="13.5" customHeight="1">
      <c r="A30" s="28">
        <v>24.0</v>
      </c>
      <c r="B30" s="203"/>
      <c r="C30" s="203"/>
      <c r="D30" s="203"/>
      <c r="E30" s="109"/>
      <c r="F30" s="53"/>
      <c r="G30" s="82"/>
      <c r="H30" s="53"/>
      <c r="I30" s="76"/>
      <c r="J30" s="42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4"/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203"/>
      <c r="C31" s="106"/>
      <c r="D31" s="106"/>
      <c r="E31" s="109"/>
      <c r="F31" s="53"/>
      <c r="G31" s="82"/>
      <c r="H31" s="53"/>
      <c r="I31" s="53"/>
      <c r="J31" s="42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203"/>
      <c r="C32" s="112"/>
      <c r="D32" s="112"/>
      <c r="E32" s="53"/>
      <c r="F32" s="53"/>
      <c r="G32" s="53"/>
      <c r="H32" s="90"/>
      <c r="I32" s="79"/>
      <c r="J32" s="42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203"/>
      <c r="C33" s="106"/>
      <c r="D33" s="106"/>
      <c r="E33" s="53"/>
      <c r="F33" s="53"/>
      <c r="G33" s="53"/>
      <c r="H33" s="206"/>
      <c r="I33" s="80"/>
      <c r="J33" s="42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4"/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03"/>
      <c r="C34" s="106"/>
      <c r="D34" s="106"/>
      <c r="E34" s="53"/>
      <c r="F34" s="53"/>
      <c r="G34" s="82"/>
      <c r="H34" s="53"/>
      <c r="I34" s="53"/>
      <c r="J34" s="42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4"/>
      <c r="Z34" s="61"/>
      <c r="AA34" s="61"/>
      <c r="AB34" s="66"/>
      <c r="AC34" s="34"/>
      <c r="AD34" s="34"/>
    </row>
    <row r="35" ht="13.5" customHeight="1">
      <c r="A35" s="28">
        <v>29.0</v>
      </c>
      <c r="B35" s="203"/>
      <c r="C35" s="106"/>
      <c r="D35" s="106"/>
      <c r="E35" s="53"/>
      <c r="F35" s="53"/>
      <c r="G35" s="82"/>
      <c r="H35" s="53"/>
      <c r="I35" s="53"/>
      <c r="J35" s="81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4"/>
      <c r="Z35" s="61"/>
      <c r="AA35" s="61"/>
      <c r="AB35" s="66"/>
      <c r="AC35" s="34"/>
      <c r="AD35" s="34"/>
    </row>
    <row r="36" ht="13.5" customHeight="1">
      <c r="A36" s="28">
        <v>30.0</v>
      </c>
      <c r="B36" s="106"/>
      <c r="C36" s="106"/>
      <c r="D36" s="106"/>
      <c r="E36" s="53"/>
      <c r="F36" s="53"/>
      <c r="G36" s="82"/>
      <c r="H36" s="53"/>
      <c r="I36" s="82"/>
      <c r="J36" s="8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4"/>
      <c r="Z36" s="61"/>
      <c r="AA36" s="61"/>
      <c r="AB36" s="66"/>
      <c r="AC36" s="34"/>
      <c r="AD36" s="34"/>
    </row>
    <row r="37" ht="13.5" customHeight="1">
      <c r="A37" s="28">
        <v>31.0</v>
      </c>
      <c r="B37" s="106"/>
      <c r="C37" s="106"/>
      <c r="D37" s="106"/>
      <c r="E37" s="53"/>
      <c r="F37" s="53"/>
      <c r="G37" s="82"/>
      <c r="H37" s="53"/>
      <c r="I37" s="82"/>
      <c r="J37" s="8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106"/>
      <c r="C38" s="106"/>
      <c r="D38" s="106"/>
      <c r="E38" s="53"/>
      <c r="F38" s="53"/>
      <c r="G38" s="82"/>
      <c r="H38" s="53"/>
      <c r="I38" s="82"/>
      <c r="J38" s="8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106"/>
      <c r="C39" s="106"/>
      <c r="D39" s="106"/>
      <c r="E39" s="53"/>
      <c r="F39" s="53"/>
      <c r="G39" s="82"/>
      <c r="H39" s="53"/>
      <c r="I39" s="88"/>
      <c r="J39" s="8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  <c r="Z39" s="61"/>
      <c r="AA39" s="61"/>
      <c r="AB39" s="66"/>
      <c r="AC39" s="34"/>
      <c r="AD39" s="34"/>
    </row>
    <row r="40" ht="13.5" customHeight="1">
      <c r="A40" s="28">
        <v>34.0</v>
      </c>
      <c r="B40" s="106"/>
      <c r="C40" s="106"/>
      <c r="D40" s="106"/>
      <c r="E40" s="53"/>
      <c r="F40" s="53"/>
      <c r="G40" s="82"/>
      <c r="H40" s="53"/>
      <c r="I40" s="88"/>
      <c r="J40" s="8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4"/>
      <c r="Z40" s="61"/>
      <c r="AA40" s="61"/>
      <c r="AB40" s="66"/>
      <c r="AC40" s="34"/>
      <c r="AD40" s="34"/>
    </row>
    <row r="41" ht="13.5" customHeight="1">
      <c r="A41" s="28">
        <v>35.0</v>
      </c>
      <c r="B41" s="107"/>
      <c r="C41" s="107"/>
      <c r="D41" s="107"/>
      <c r="E41" s="53"/>
      <c r="F41" s="53"/>
      <c r="G41" s="82"/>
      <c r="H41" s="53"/>
      <c r="I41" s="89"/>
      <c r="J41" s="8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106"/>
      <c r="C42" s="106"/>
      <c r="D42" s="106"/>
      <c r="E42" s="109"/>
      <c r="F42" s="53"/>
      <c r="G42" s="82"/>
      <c r="H42" s="53"/>
      <c r="I42" s="89"/>
      <c r="J42" s="8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203"/>
      <c r="C43" s="203"/>
      <c r="D43" s="203"/>
      <c r="E43" s="109"/>
      <c r="F43" s="53"/>
      <c r="G43" s="82"/>
      <c r="H43" s="53"/>
      <c r="I43" s="82"/>
      <c r="J43" s="8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06"/>
      <c r="C44" s="106"/>
      <c r="D44" s="106"/>
      <c r="E44" s="109"/>
      <c r="F44" s="53"/>
      <c r="G44" s="82"/>
      <c r="H44" s="53"/>
      <c r="I44" s="82"/>
      <c r="J44" s="8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3">SUM(J7:J156)</f>
        <v>122</v>
      </c>
      <c r="K157" s="123">
        <f t="shared" si="3"/>
        <v>95</v>
      </c>
      <c r="L157" s="123">
        <f t="shared" si="3"/>
        <v>0</v>
      </c>
      <c r="M157" s="123">
        <f t="shared" si="3"/>
        <v>22</v>
      </c>
      <c r="N157" s="123">
        <f t="shared" si="3"/>
        <v>22</v>
      </c>
      <c r="O157" s="123">
        <f t="shared" si="3"/>
        <v>33</v>
      </c>
      <c r="P157" s="123">
        <f t="shared" si="3"/>
        <v>5</v>
      </c>
      <c r="Q157" s="123">
        <f t="shared" si="3"/>
        <v>60</v>
      </c>
      <c r="R157" s="124"/>
      <c r="S157" s="124"/>
      <c r="T157" s="125"/>
      <c r="U157" s="145" t="s">
        <v>330</v>
      </c>
      <c r="V157" s="5"/>
      <c r="W157" s="126">
        <f>COUNTIF(W5:W9,"YES")</f>
        <v>2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63"/>
    <col customWidth="1" min="2" max="2" width="12.88"/>
    <col customWidth="1" min="3" max="3" width="22.5"/>
    <col customWidth="1" min="4" max="4" width="17.63"/>
    <col customWidth="1" min="5" max="5" width="12.13"/>
    <col customWidth="1" min="6" max="6" width="7.25"/>
    <col customWidth="1" min="7" max="7" width="10.25"/>
    <col customWidth="1" min="8" max="8" width="24.88"/>
    <col customWidth="1" min="9" max="9" width="16.13"/>
    <col customWidth="1" min="10" max="10" width="10.13"/>
    <col customWidth="1" min="11" max="11" width="8.88"/>
    <col customWidth="1" min="12" max="12" width="11.25"/>
    <col customWidth="1" min="13" max="13" width="11.5"/>
    <col customWidth="1" min="14" max="14" width="5.5"/>
    <col customWidth="1" min="15" max="15" width="5.63"/>
    <col customWidth="1" min="16" max="16" width="5.5"/>
    <col customWidth="1" min="17" max="19" width="8.63"/>
    <col customWidth="1" min="20" max="20" width="14.63"/>
    <col customWidth="1" min="21" max="21" width="10.88"/>
    <col customWidth="1" min="22" max="22" width="15.25"/>
    <col customWidth="1" min="23" max="23" width="6.88"/>
    <col customWidth="1" min="24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/>
    <row r="2" ht="13.5" customHeight="1">
      <c r="A2" s="1" t="s">
        <v>630</v>
      </c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5"/>
    </row>
    <row r="3" ht="16.5" customHeight="1">
      <c r="A3" s="6" t="s">
        <v>1</v>
      </c>
      <c r="B3" s="5"/>
      <c r="C3" s="228" t="s">
        <v>1835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33.0" customHeight="1">
      <c r="A4" s="6" t="s">
        <v>3</v>
      </c>
      <c r="B4" s="5"/>
      <c r="C4" s="228" t="s">
        <v>1836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  <c r="W4" s="5"/>
    </row>
    <row r="5" ht="17.25" customHeight="1">
      <c r="A5" s="12" t="s">
        <v>5</v>
      </c>
      <c r="B5" s="5"/>
      <c r="C5" s="228" t="s">
        <v>1837</v>
      </c>
      <c r="D5" s="8"/>
      <c r="E5" s="8"/>
      <c r="F5" s="8"/>
      <c r="G5" s="8"/>
      <c r="H5" s="8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4"/>
      <c r="W5" s="15"/>
    </row>
    <row r="6" ht="13.5" customHeight="1">
      <c r="A6" s="16"/>
      <c r="B6" s="17" t="s">
        <v>6</v>
      </c>
      <c r="C6" s="18"/>
      <c r="D6" s="5"/>
      <c r="E6" s="19" t="s">
        <v>7</v>
      </c>
      <c r="F6" s="19" t="s">
        <v>8</v>
      </c>
      <c r="G6" s="19" t="s">
        <v>9</v>
      </c>
      <c r="H6" s="19" t="s">
        <v>10</v>
      </c>
      <c r="I6" s="20" t="s">
        <v>11</v>
      </c>
      <c r="J6" s="21" t="s">
        <v>12</v>
      </c>
      <c r="K6" s="21" t="s">
        <v>13</v>
      </c>
      <c r="L6" s="22" t="s">
        <v>14</v>
      </c>
      <c r="M6" s="23"/>
      <c r="N6" s="23"/>
      <c r="O6" s="23"/>
      <c r="P6" s="24"/>
      <c r="Q6" s="25" t="s">
        <v>15</v>
      </c>
      <c r="R6" s="25" t="s">
        <v>16</v>
      </c>
      <c r="S6" s="26" t="s">
        <v>17</v>
      </c>
      <c r="T6" s="26" t="s">
        <v>18</v>
      </c>
      <c r="U6" s="26" t="s">
        <v>19</v>
      </c>
      <c r="V6" s="26" t="s">
        <v>20</v>
      </c>
      <c r="W6" s="27" t="s">
        <v>21</v>
      </c>
      <c r="Z6" s="34"/>
      <c r="AA6" s="35" t="s">
        <v>31</v>
      </c>
      <c r="AB6" s="18"/>
      <c r="AC6" s="18"/>
      <c r="AD6" s="5"/>
    </row>
    <row r="7" ht="13.5" customHeight="1">
      <c r="A7" s="28" t="s">
        <v>22</v>
      </c>
      <c r="B7" s="28" t="s">
        <v>23</v>
      </c>
      <c r="C7" s="28" t="s">
        <v>24</v>
      </c>
      <c r="D7" s="28" t="s">
        <v>25</v>
      </c>
      <c r="E7" s="29"/>
      <c r="F7" s="29"/>
      <c r="G7" s="29"/>
      <c r="H7" s="29"/>
      <c r="I7" s="30"/>
      <c r="J7" s="31"/>
      <c r="K7" s="31"/>
      <c r="L7" s="32" t="s">
        <v>26</v>
      </c>
      <c r="M7" s="33" t="s">
        <v>27</v>
      </c>
      <c r="N7" s="32" t="s">
        <v>28</v>
      </c>
      <c r="O7" s="32" t="s">
        <v>29</v>
      </c>
      <c r="P7" s="32" t="s">
        <v>30</v>
      </c>
      <c r="Q7" s="31"/>
      <c r="R7" s="31"/>
      <c r="S7" s="31"/>
      <c r="T7" s="31"/>
      <c r="U7" s="31"/>
      <c r="V7" s="31"/>
      <c r="W7" s="31"/>
      <c r="Z7" s="34"/>
      <c r="AA7" s="45" t="s">
        <v>36</v>
      </c>
      <c r="AB7" s="18"/>
      <c r="AC7" s="5"/>
      <c r="AD7" s="46">
        <f>COUNTIF(G8:G157, "Male")</f>
        <v>6</v>
      </c>
    </row>
    <row r="8" ht="13.5" customHeight="1">
      <c r="A8" s="28">
        <v>1.0</v>
      </c>
      <c r="B8" s="37" t="s">
        <v>1838</v>
      </c>
      <c r="C8" s="37" t="s">
        <v>1839</v>
      </c>
      <c r="D8" s="37" t="s">
        <v>1840</v>
      </c>
      <c r="E8" s="133" t="s">
        <v>338</v>
      </c>
      <c r="F8" s="134">
        <v>45.0</v>
      </c>
      <c r="G8" s="134" t="s">
        <v>339</v>
      </c>
      <c r="H8" s="134" t="s">
        <v>824</v>
      </c>
      <c r="I8" s="134">
        <v>9.081847857E9</v>
      </c>
      <c r="J8" s="54">
        <v>28.0</v>
      </c>
      <c r="K8" s="55">
        <v>18.0</v>
      </c>
      <c r="L8" s="55">
        <v>0.0</v>
      </c>
      <c r="M8" s="55">
        <v>0.0</v>
      </c>
      <c r="N8" s="43">
        <f t="shared" ref="N8:N29" si="1">SUM(L8,M8)</f>
        <v>0</v>
      </c>
      <c r="O8" s="55">
        <v>4.0</v>
      </c>
      <c r="P8" s="55">
        <v>9.0</v>
      </c>
      <c r="Q8" s="43">
        <f t="shared" ref="Q8:Q70" si="2">SUM(N8,O8,P8)</f>
        <v>13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COUNTIF(G8:G157, "Female")</f>
        <v>43</v>
      </c>
    </row>
    <row r="9" ht="13.5" customHeight="1">
      <c r="A9" s="28">
        <v>2.0</v>
      </c>
      <c r="B9" s="37" t="s">
        <v>1841</v>
      </c>
      <c r="C9" s="37" t="s">
        <v>1842</v>
      </c>
      <c r="D9" s="37" t="s">
        <v>1843</v>
      </c>
      <c r="E9" s="133" t="s">
        <v>338</v>
      </c>
      <c r="F9" s="134">
        <v>39.0</v>
      </c>
      <c r="G9" s="134" t="s">
        <v>339</v>
      </c>
      <c r="H9" s="134" t="s">
        <v>340</v>
      </c>
      <c r="I9" s="134">
        <v>9.983227211E9</v>
      </c>
      <c r="J9" s="54">
        <v>11.0</v>
      </c>
      <c r="K9" s="55">
        <v>5.0</v>
      </c>
      <c r="L9" s="55">
        <v>0.0</v>
      </c>
      <c r="M9" s="55">
        <v>6.0</v>
      </c>
      <c r="N9" s="43">
        <f t="shared" si="1"/>
        <v>6</v>
      </c>
      <c r="O9" s="55">
        <v>21.0</v>
      </c>
      <c r="P9" s="55">
        <v>0.0</v>
      </c>
      <c r="Q9" s="43">
        <f t="shared" si="2"/>
        <v>27</v>
      </c>
      <c r="R9" s="43"/>
      <c r="S9" s="55" t="s">
        <v>97</v>
      </c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COUNTIF(E8:E157, "National")</f>
        <v>49</v>
      </c>
    </row>
    <row r="10" ht="13.5" customHeight="1">
      <c r="A10" s="28">
        <v>3.0</v>
      </c>
      <c r="B10" s="151" t="s">
        <v>1844</v>
      </c>
      <c r="C10" s="37" t="s">
        <v>1845</v>
      </c>
      <c r="D10" s="37" t="s">
        <v>1846</v>
      </c>
      <c r="E10" s="133" t="s">
        <v>338</v>
      </c>
      <c r="F10" s="134">
        <v>38.0</v>
      </c>
      <c r="G10" s="134" t="s">
        <v>339</v>
      </c>
      <c r="H10" s="134" t="s">
        <v>340</v>
      </c>
      <c r="I10" s="134">
        <v>9.684992842E9</v>
      </c>
      <c r="J10" s="54">
        <v>16.0</v>
      </c>
      <c r="K10" s="55">
        <v>11.0</v>
      </c>
      <c r="L10" s="55">
        <v>1.0</v>
      </c>
      <c r="M10" s="55">
        <v>2.0</v>
      </c>
      <c r="N10" s="43">
        <f t="shared" si="1"/>
        <v>3</v>
      </c>
      <c r="O10" s="55">
        <v>15.0</v>
      </c>
      <c r="P10" s="55">
        <v>2.0</v>
      </c>
      <c r="Q10" s="43">
        <f t="shared" si="2"/>
        <v>20</v>
      </c>
      <c r="R10" s="43"/>
      <c r="S10" s="55" t="s">
        <v>237</v>
      </c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4.0</v>
      </c>
      <c r="B11" s="151" t="s">
        <v>1847</v>
      </c>
      <c r="C11" s="37" t="s">
        <v>1848</v>
      </c>
      <c r="D11" s="37" t="s">
        <v>1739</v>
      </c>
      <c r="E11" s="133" t="s">
        <v>338</v>
      </c>
      <c r="F11" s="134">
        <v>27.0</v>
      </c>
      <c r="G11" s="134" t="s">
        <v>385</v>
      </c>
      <c r="H11" s="134" t="s">
        <v>340</v>
      </c>
      <c r="I11" s="134">
        <v>9.669024562E9</v>
      </c>
      <c r="J11" s="42"/>
      <c r="K11" s="43"/>
      <c r="L11" s="43"/>
      <c r="M11" s="43"/>
      <c r="N11" s="43">
        <f t="shared" si="1"/>
        <v>0</v>
      </c>
      <c r="O11" s="43"/>
      <c r="P11" s="43"/>
      <c r="Q11" s="43">
        <f t="shared" si="2"/>
        <v>0</v>
      </c>
      <c r="R11" s="43"/>
      <c r="S11" s="43"/>
      <c r="T11" s="43"/>
      <c r="U11" s="43"/>
      <c r="V11" s="43"/>
      <c r="W11" s="44"/>
      <c r="Z11" s="34"/>
      <c r="AA11" s="58" t="s">
        <v>57</v>
      </c>
      <c r="AB11" s="58"/>
      <c r="AC11" s="58"/>
      <c r="AD11" s="46">
        <f>SUM(AD7:AD8)</f>
        <v>49</v>
      </c>
    </row>
    <row r="12" ht="13.5" customHeight="1">
      <c r="A12" s="28">
        <v>5.0</v>
      </c>
      <c r="B12" s="151" t="s">
        <v>1849</v>
      </c>
      <c r="C12" s="37" t="s">
        <v>1303</v>
      </c>
      <c r="D12" s="37" t="s">
        <v>1850</v>
      </c>
      <c r="E12" s="133" t="s">
        <v>338</v>
      </c>
      <c r="F12" s="134">
        <v>33.0</v>
      </c>
      <c r="G12" s="134" t="s">
        <v>339</v>
      </c>
      <c r="H12" s="134" t="s">
        <v>340</v>
      </c>
      <c r="I12" s="134">
        <v>9.282951676E9</v>
      </c>
      <c r="J12" s="54">
        <v>30.0</v>
      </c>
      <c r="K12" s="55">
        <v>24.0</v>
      </c>
      <c r="L12" s="55">
        <v>0.0</v>
      </c>
      <c r="M12" s="55">
        <v>3.0</v>
      </c>
      <c r="N12" s="43">
        <f t="shared" si="1"/>
        <v>3</v>
      </c>
      <c r="O12" s="55">
        <v>0.0</v>
      </c>
      <c r="P12" s="55">
        <v>3.0</v>
      </c>
      <c r="Q12" s="43">
        <f t="shared" si="2"/>
        <v>6</v>
      </c>
      <c r="R12" s="43"/>
      <c r="S12" s="55" t="s">
        <v>277</v>
      </c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W158</f>
        <v>38</v>
      </c>
    </row>
    <row r="13" ht="13.5" customHeight="1">
      <c r="A13" s="28">
        <v>6.0</v>
      </c>
      <c r="B13" s="154" t="s">
        <v>986</v>
      </c>
      <c r="C13" s="37" t="s">
        <v>1851</v>
      </c>
      <c r="D13" s="37" t="s">
        <v>205</v>
      </c>
      <c r="E13" s="133" t="s">
        <v>338</v>
      </c>
      <c r="F13" s="134">
        <v>26.0</v>
      </c>
      <c r="G13" s="134" t="s">
        <v>385</v>
      </c>
      <c r="H13" s="134" t="s">
        <v>340</v>
      </c>
      <c r="I13" s="134">
        <v>9.156648391E9</v>
      </c>
      <c r="J13" s="42"/>
      <c r="K13" s="43"/>
      <c r="L13" s="43"/>
      <c r="M13" s="43"/>
      <c r="N13" s="43">
        <f t="shared" si="1"/>
        <v>0</v>
      </c>
      <c r="O13" s="43"/>
      <c r="P13" s="43"/>
      <c r="Q13" s="43">
        <f t="shared" si="2"/>
        <v>0</v>
      </c>
      <c r="R13" s="43"/>
      <c r="S13" s="43"/>
      <c r="T13" s="43"/>
      <c r="U13" s="43" t="s">
        <v>497</v>
      </c>
      <c r="V13" s="43"/>
      <c r="W13" s="44"/>
      <c r="Z13" s="34"/>
      <c r="AA13" s="34"/>
      <c r="AB13" s="34"/>
      <c r="AC13" s="34"/>
      <c r="AD13" s="34"/>
    </row>
    <row r="14" ht="13.5" customHeight="1">
      <c r="A14" s="28">
        <v>7.0</v>
      </c>
      <c r="B14" s="155" t="s">
        <v>1852</v>
      </c>
      <c r="C14" s="37" t="s">
        <v>1853</v>
      </c>
      <c r="D14" s="37" t="s">
        <v>1854</v>
      </c>
      <c r="E14" s="133" t="s">
        <v>338</v>
      </c>
      <c r="F14" s="134">
        <v>44.0</v>
      </c>
      <c r="G14" s="134" t="s">
        <v>339</v>
      </c>
      <c r="H14" s="134" t="s">
        <v>839</v>
      </c>
      <c r="I14" s="134">
        <v>9.561808081E9</v>
      </c>
      <c r="J14" s="54">
        <v>30.0</v>
      </c>
      <c r="K14" s="55">
        <v>27.0</v>
      </c>
      <c r="L14" s="55">
        <v>0.0</v>
      </c>
      <c r="M14" s="55">
        <v>2.0</v>
      </c>
      <c r="N14" s="43">
        <f t="shared" si="1"/>
        <v>2</v>
      </c>
      <c r="O14" s="55">
        <v>2.0</v>
      </c>
      <c r="P14" s="55">
        <v>1.0</v>
      </c>
      <c r="Q14" s="43">
        <f t="shared" si="2"/>
        <v>5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8.0</v>
      </c>
      <c r="B15" s="151" t="s">
        <v>1831</v>
      </c>
      <c r="C15" s="37" t="s">
        <v>1855</v>
      </c>
      <c r="D15" s="37" t="s">
        <v>205</v>
      </c>
      <c r="E15" s="133" t="s">
        <v>338</v>
      </c>
      <c r="F15" s="134">
        <v>50.0</v>
      </c>
      <c r="G15" s="134" t="s">
        <v>339</v>
      </c>
      <c r="H15" s="134" t="s">
        <v>1308</v>
      </c>
      <c r="I15" s="134">
        <v>9.181841905E9</v>
      </c>
      <c r="J15" s="54">
        <v>31.0</v>
      </c>
      <c r="K15" s="55">
        <v>28.0</v>
      </c>
      <c r="L15" s="55">
        <v>0.0</v>
      </c>
      <c r="M15" s="55">
        <v>3.0</v>
      </c>
      <c r="N15" s="43">
        <f t="shared" si="1"/>
        <v>3</v>
      </c>
      <c r="O15" s="55">
        <v>1.0</v>
      </c>
      <c r="P15" s="55">
        <v>0.0</v>
      </c>
      <c r="Q15" s="43">
        <f t="shared" si="2"/>
        <v>4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9.0</v>
      </c>
      <c r="B16" s="151" t="s">
        <v>1856</v>
      </c>
      <c r="C16" s="37" t="s">
        <v>409</v>
      </c>
      <c r="D16" s="37" t="s">
        <v>1857</v>
      </c>
      <c r="E16" s="133" t="s">
        <v>338</v>
      </c>
      <c r="F16" s="134">
        <v>41.0</v>
      </c>
      <c r="G16" s="134" t="s">
        <v>339</v>
      </c>
      <c r="H16" s="134" t="s">
        <v>839</v>
      </c>
      <c r="I16" s="134">
        <v>9.182128942E9</v>
      </c>
      <c r="J16" s="42"/>
      <c r="K16" s="43"/>
      <c r="L16" s="43"/>
      <c r="M16" s="43"/>
      <c r="N16" s="43">
        <f t="shared" si="1"/>
        <v>0</v>
      </c>
      <c r="O16" s="43"/>
      <c r="P16" s="43"/>
      <c r="Q16" s="43">
        <f t="shared" si="2"/>
        <v>0</v>
      </c>
      <c r="R16" s="43"/>
      <c r="S16" s="43"/>
      <c r="T16" s="43"/>
      <c r="U16" s="43"/>
      <c r="V16" s="43"/>
      <c r="W16" s="44"/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10.0</v>
      </c>
      <c r="B17" s="151" t="s">
        <v>1858</v>
      </c>
      <c r="C17" s="37" t="s">
        <v>1859</v>
      </c>
      <c r="D17" s="37" t="s">
        <v>1860</v>
      </c>
      <c r="E17" s="133" t="s">
        <v>338</v>
      </c>
      <c r="F17" s="134">
        <v>31.0</v>
      </c>
      <c r="G17" s="134" t="s">
        <v>339</v>
      </c>
      <c r="H17" s="134" t="s">
        <v>340</v>
      </c>
      <c r="I17" s="134">
        <v>9.56885709E9</v>
      </c>
      <c r="J17" s="54">
        <v>22.0</v>
      </c>
      <c r="K17" s="55">
        <v>17.0</v>
      </c>
      <c r="L17" s="55">
        <v>0.0</v>
      </c>
      <c r="M17" s="55">
        <v>0.0</v>
      </c>
      <c r="N17" s="43">
        <f t="shared" si="1"/>
        <v>0</v>
      </c>
      <c r="O17" s="55">
        <v>10.0</v>
      </c>
      <c r="P17" s="55">
        <v>5.0</v>
      </c>
      <c r="Q17" s="43">
        <f t="shared" si="2"/>
        <v>15</v>
      </c>
      <c r="R17" s="43"/>
      <c r="S17" s="55" t="s">
        <v>88</v>
      </c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11.0</v>
      </c>
      <c r="B18" s="151" t="s">
        <v>1861</v>
      </c>
      <c r="C18" s="37" t="s">
        <v>1862</v>
      </c>
      <c r="D18" s="37" t="s">
        <v>1863</v>
      </c>
      <c r="E18" s="133" t="s">
        <v>338</v>
      </c>
      <c r="F18" s="134">
        <v>29.0</v>
      </c>
      <c r="G18" s="134" t="s">
        <v>339</v>
      </c>
      <c r="H18" s="134" t="s">
        <v>839</v>
      </c>
      <c r="I18" s="134">
        <v>9.475598E9</v>
      </c>
      <c r="J18" s="54">
        <v>26.0</v>
      </c>
      <c r="K18" s="55">
        <v>21.0</v>
      </c>
      <c r="L18" s="55">
        <v>0.0</v>
      </c>
      <c r="M18" s="55">
        <v>5.0</v>
      </c>
      <c r="N18" s="43">
        <f t="shared" si="1"/>
        <v>5</v>
      </c>
      <c r="O18" s="55">
        <v>2.0</v>
      </c>
      <c r="P18" s="55">
        <v>0.0</v>
      </c>
      <c r="Q18" s="43">
        <f t="shared" si="2"/>
        <v>7</v>
      </c>
      <c r="R18" s="43"/>
      <c r="S18" s="43"/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6</v>
      </c>
      <c r="AC18" s="34"/>
      <c r="AD18" s="34"/>
    </row>
    <row r="19" ht="13.5" customHeight="1">
      <c r="A19" s="28">
        <v>12.0</v>
      </c>
      <c r="B19" s="156" t="s">
        <v>1864</v>
      </c>
      <c r="C19" s="37" t="s">
        <v>1865</v>
      </c>
      <c r="D19" s="37" t="s">
        <v>1866</v>
      </c>
      <c r="E19" s="133" t="s">
        <v>338</v>
      </c>
      <c r="F19" s="134">
        <v>40.0</v>
      </c>
      <c r="G19" s="134" t="s">
        <v>339</v>
      </c>
      <c r="H19" s="134" t="s">
        <v>833</v>
      </c>
      <c r="I19" s="134">
        <v>9.934986937E9</v>
      </c>
      <c r="J19" s="54">
        <v>28.0</v>
      </c>
      <c r="K19" s="55">
        <v>18.0</v>
      </c>
      <c r="L19" s="55">
        <v>3.0</v>
      </c>
      <c r="M19" s="55">
        <v>5.0</v>
      </c>
      <c r="N19" s="43">
        <f t="shared" si="1"/>
        <v>8</v>
      </c>
      <c r="O19" s="55">
        <v>4.0</v>
      </c>
      <c r="P19" s="55">
        <v>0.0</v>
      </c>
      <c r="Q19" s="43">
        <f t="shared" si="2"/>
        <v>12</v>
      </c>
      <c r="R19" s="43"/>
      <c r="S19" s="55" t="s">
        <v>88</v>
      </c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1</v>
      </c>
      <c r="AC19" s="34"/>
      <c r="AD19" s="34"/>
    </row>
    <row r="20" ht="13.5" customHeight="1">
      <c r="A20" s="28">
        <v>13.0</v>
      </c>
      <c r="B20" s="229" t="s">
        <v>1867</v>
      </c>
      <c r="C20" s="37" t="s">
        <v>1868</v>
      </c>
      <c r="D20" s="37" t="s">
        <v>1869</v>
      </c>
      <c r="E20" s="133" t="s">
        <v>338</v>
      </c>
      <c r="F20" s="134">
        <v>33.0</v>
      </c>
      <c r="G20" s="134" t="s">
        <v>339</v>
      </c>
      <c r="H20" s="134" t="s">
        <v>340</v>
      </c>
      <c r="I20" s="134">
        <v>9.232751744E9</v>
      </c>
      <c r="J20" s="54">
        <v>28.0</v>
      </c>
      <c r="K20" s="55">
        <v>24.0</v>
      </c>
      <c r="L20" s="55">
        <v>0.0</v>
      </c>
      <c r="M20" s="55">
        <v>4.0</v>
      </c>
      <c r="N20" s="43">
        <f t="shared" si="1"/>
        <v>4</v>
      </c>
      <c r="O20" s="55">
        <v>0.0</v>
      </c>
      <c r="P20" s="55">
        <v>0.0</v>
      </c>
      <c r="Q20" s="43">
        <f t="shared" si="2"/>
        <v>4</v>
      </c>
      <c r="R20" s="43"/>
      <c r="S20" s="43"/>
      <c r="T20" s="43"/>
      <c r="U20" s="43"/>
      <c r="V20" s="55" t="s">
        <v>1870</v>
      </c>
      <c r="W20" s="56" t="s">
        <v>46</v>
      </c>
      <c r="Z20" s="34"/>
      <c r="AA20" s="61" t="s">
        <v>97</v>
      </c>
      <c r="AB20" s="66">
        <f>COUNTIF(S7:S157, "RPDUL")</f>
        <v>2</v>
      </c>
      <c r="AC20" s="34"/>
      <c r="AD20" s="34"/>
    </row>
    <row r="21" ht="13.5" customHeight="1">
      <c r="A21" s="28">
        <v>14.0</v>
      </c>
      <c r="B21" s="155" t="s">
        <v>389</v>
      </c>
      <c r="C21" s="37" t="s">
        <v>1871</v>
      </c>
      <c r="D21" s="37" t="s">
        <v>202</v>
      </c>
      <c r="E21" s="133" t="s">
        <v>338</v>
      </c>
      <c r="F21" s="134">
        <v>52.0</v>
      </c>
      <c r="G21" s="134" t="s">
        <v>339</v>
      </c>
      <c r="H21" s="134" t="s">
        <v>340</v>
      </c>
      <c r="I21" s="134">
        <v>9.605314729E9</v>
      </c>
      <c r="J21" s="54">
        <v>6.0</v>
      </c>
      <c r="K21" s="55">
        <v>6.0</v>
      </c>
      <c r="L21" s="55">
        <v>0.0</v>
      </c>
      <c r="M21" s="55">
        <v>0.0</v>
      </c>
      <c r="N21" s="43">
        <f t="shared" si="1"/>
        <v>0</v>
      </c>
      <c r="O21" s="55">
        <v>26.0</v>
      </c>
      <c r="P21" s="55">
        <v>0.0</v>
      </c>
      <c r="Q21" s="43">
        <f t="shared" si="2"/>
        <v>26</v>
      </c>
      <c r="R21" s="43"/>
      <c r="S21" s="55" t="s">
        <v>237</v>
      </c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15.0</v>
      </c>
      <c r="B22" s="151" t="s">
        <v>389</v>
      </c>
      <c r="C22" s="37" t="s">
        <v>1586</v>
      </c>
      <c r="D22" s="37" t="s">
        <v>1872</v>
      </c>
      <c r="E22" s="133" t="s">
        <v>338</v>
      </c>
      <c r="F22" s="134">
        <v>53.0</v>
      </c>
      <c r="G22" s="134" t="s">
        <v>385</v>
      </c>
      <c r="H22" s="134" t="s">
        <v>839</v>
      </c>
      <c r="I22" s="134">
        <v>9.288561728E9</v>
      </c>
      <c r="J22" s="54">
        <v>31.0</v>
      </c>
      <c r="K22" s="55">
        <v>23.0</v>
      </c>
      <c r="L22" s="55">
        <v>1.0</v>
      </c>
      <c r="M22" s="55">
        <v>1.0</v>
      </c>
      <c r="N22" s="43">
        <f t="shared" si="1"/>
        <v>2</v>
      </c>
      <c r="O22" s="55">
        <v>1.0</v>
      </c>
      <c r="P22" s="55">
        <v>6.0</v>
      </c>
      <c r="Q22" s="43">
        <f t="shared" si="2"/>
        <v>9</v>
      </c>
      <c r="R22" s="43"/>
      <c r="S22" s="43"/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16.0</v>
      </c>
      <c r="B23" s="151" t="s">
        <v>1873</v>
      </c>
      <c r="C23" s="37" t="s">
        <v>1874</v>
      </c>
      <c r="D23" s="37" t="s">
        <v>1875</v>
      </c>
      <c r="E23" s="133" t="s">
        <v>338</v>
      </c>
      <c r="F23" s="134">
        <v>46.0</v>
      </c>
      <c r="G23" s="134" t="s">
        <v>339</v>
      </c>
      <c r="H23" s="134" t="s">
        <v>833</v>
      </c>
      <c r="I23" s="134">
        <v>9.605314721E9</v>
      </c>
      <c r="J23" s="54">
        <v>24.0</v>
      </c>
      <c r="K23" s="55">
        <v>20.0</v>
      </c>
      <c r="L23" s="55">
        <v>0.0</v>
      </c>
      <c r="M23" s="55">
        <v>2.0</v>
      </c>
      <c r="N23" s="43">
        <f t="shared" si="1"/>
        <v>2</v>
      </c>
      <c r="O23" s="55">
        <v>8.0</v>
      </c>
      <c r="P23" s="55">
        <v>2.0</v>
      </c>
      <c r="Q23" s="43">
        <f t="shared" si="2"/>
        <v>12</v>
      </c>
      <c r="R23" s="43"/>
      <c r="S23" s="55" t="s">
        <v>277</v>
      </c>
      <c r="T23" s="43"/>
      <c r="U23" s="43"/>
      <c r="V23" s="43"/>
      <c r="W23" s="56" t="s">
        <v>46</v>
      </c>
      <c r="X23" s="138"/>
      <c r="Z23" s="34"/>
      <c r="AA23" s="61" t="s">
        <v>109</v>
      </c>
      <c r="AB23" s="66">
        <f>COUNTIF(S7:S157, "Ortho")</f>
        <v>3</v>
      </c>
      <c r="AC23" s="34"/>
      <c r="AD23" s="34"/>
    </row>
    <row r="24" ht="13.5" customHeight="1">
      <c r="A24" s="28">
        <v>17.0</v>
      </c>
      <c r="B24" s="151" t="s">
        <v>1876</v>
      </c>
      <c r="C24" s="37" t="s">
        <v>1877</v>
      </c>
      <c r="D24" s="37" t="s">
        <v>1878</v>
      </c>
      <c r="E24" s="133" t="s">
        <v>338</v>
      </c>
      <c r="F24" s="134">
        <v>43.0</v>
      </c>
      <c r="G24" s="134" t="s">
        <v>339</v>
      </c>
      <c r="H24" s="134" t="s">
        <v>340</v>
      </c>
      <c r="I24" s="134">
        <v>9.560043889E9</v>
      </c>
      <c r="J24" s="54">
        <v>32.0</v>
      </c>
      <c r="K24" s="55">
        <v>32.0</v>
      </c>
      <c r="L24" s="55">
        <v>0.0</v>
      </c>
      <c r="M24" s="55">
        <v>0.0</v>
      </c>
      <c r="N24" s="43">
        <f t="shared" si="1"/>
        <v>0</v>
      </c>
      <c r="O24" s="55">
        <v>0.0</v>
      </c>
      <c r="P24" s="55">
        <v>0.0</v>
      </c>
      <c r="Q24" s="43">
        <f t="shared" si="2"/>
        <v>0</v>
      </c>
      <c r="R24" s="43"/>
      <c r="S24" s="43"/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18.0</v>
      </c>
      <c r="B25" s="151" t="s">
        <v>1879</v>
      </c>
      <c r="C25" s="37" t="s">
        <v>1880</v>
      </c>
      <c r="D25" s="37" t="s">
        <v>1881</v>
      </c>
      <c r="E25" s="133" t="s">
        <v>338</v>
      </c>
      <c r="F25" s="134">
        <v>42.0</v>
      </c>
      <c r="G25" s="134" t="s">
        <v>385</v>
      </c>
      <c r="H25" s="134" t="s">
        <v>839</v>
      </c>
      <c r="I25" s="134">
        <v>9.384203842E9</v>
      </c>
      <c r="J25" s="42"/>
      <c r="K25" s="43"/>
      <c r="L25" s="43"/>
      <c r="M25" s="43"/>
      <c r="N25" s="43">
        <f t="shared" si="1"/>
        <v>0</v>
      </c>
      <c r="O25" s="43"/>
      <c r="P25" s="43"/>
      <c r="Q25" s="43">
        <f t="shared" si="2"/>
        <v>0</v>
      </c>
      <c r="R25" s="43"/>
      <c r="S25" s="43"/>
      <c r="T25" s="43"/>
      <c r="U25" s="43"/>
      <c r="V25" s="43"/>
      <c r="W25" s="44"/>
      <c r="Z25" s="34"/>
      <c r="AA25" s="34"/>
      <c r="AB25" s="34"/>
      <c r="AC25" s="34"/>
      <c r="AD25" s="34"/>
    </row>
    <row r="26" ht="13.5" customHeight="1">
      <c r="A26" s="28">
        <v>19.0</v>
      </c>
      <c r="B26" s="151" t="s">
        <v>1138</v>
      </c>
      <c r="C26" s="37" t="s">
        <v>1521</v>
      </c>
      <c r="D26" s="37" t="s">
        <v>1882</v>
      </c>
      <c r="E26" s="133" t="s">
        <v>338</v>
      </c>
      <c r="F26" s="134">
        <v>33.0</v>
      </c>
      <c r="G26" s="134" t="s">
        <v>339</v>
      </c>
      <c r="H26" s="134" t="s">
        <v>833</v>
      </c>
      <c r="I26" s="134">
        <v>9.462400706E9</v>
      </c>
      <c r="J26" s="54">
        <v>29.0</v>
      </c>
      <c r="K26" s="55">
        <v>22.0</v>
      </c>
      <c r="L26" s="55">
        <v>0.0</v>
      </c>
      <c r="M26" s="55">
        <v>2.0</v>
      </c>
      <c r="N26" s="43">
        <f t="shared" si="1"/>
        <v>2</v>
      </c>
      <c r="O26" s="55">
        <v>3.0</v>
      </c>
      <c r="P26" s="55">
        <v>5.0</v>
      </c>
      <c r="Q26" s="43">
        <f t="shared" si="2"/>
        <v>10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20.0</v>
      </c>
      <c r="B27" s="151" t="s">
        <v>1883</v>
      </c>
      <c r="C27" s="37" t="s">
        <v>1884</v>
      </c>
      <c r="D27" s="37" t="s">
        <v>1885</v>
      </c>
      <c r="E27" s="133" t="s">
        <v>338</v>
      </c>
      <c r="F27" s="134">
        <v>53.0</v>
      </c>
      <c r="G27" s="134" t="s">
        <v>339</v>
      </c>
      <c r="H27" s="134" t="s">
        <v>368</v>
      </c>
      <c r="I27" s="134">
        <v>9.257171857E9</v>
      </c>
      <c r="J27" s="54">
        <v>12.0</v>
      </c>
      <c r="K27" s="55">
        <v>3.0</v>
      </c>
      <c r="L27" s="55">
        <v>0.0</v>
      </c>
      <c r="M27" s="55">
        <v>8.0</v>
      </c>
      <c r="N27" s="43">
        <f t="shared" si="1"/>
        <v>8</v>
      </c>
      <c r="O27" s="55">
        <v>20.0</v>
      </c>
      <c r="P27" s="55">
        <v>1.0</v>
      </c>
      <c r="Q27" s="43">
        <f t="shared" si="2"/>
        <v>29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21.0</v>
      </c>
      <c r="B28" s="154" t="s">
        <v>202</v>
      </c>
      <c r="C28" s="37" t="s">
        <v>1378</v>
      </c>
      <c r="D28" s="37" t="s">
        <v>1886</v>
      </c>
      <c r="E28" s="133" t="s">
        <v>338</v>
      </c>
      <c r="F28" s="134">
        <v>35.0</v>
      </c>
      <c r="G28" s="134" t="s">
        <v>339</v>
      </c>
      <c r="H28" s="134" t="s">
        <v>833</v>
      </c>
      <c r="I28" s="134">
        <v>9.559576413E9</v>
      </c>
      <c r="J28" s="54">
        <v>28.0</v>
      </c>
      <c r="K28" s="55">
        <v>21.0</v>
      </c>
      <c r="L28" s="55">
        <v>1.0</v>
      </c>
      <c r="M28" s="55">
        <v>2.0</v>
      </c>
      <c r="N28" s="43">
        <f t="shared" si="1"/>
        <v>3</v>
      </c>
      <c r="O28" s="55">
        <v>4.0</v>
      </c>
      <c r="P28" s="55">
        <v>4.0</v>
      </c>
      <c r="Q28" s="43">
        <f t="shared" si="2"/>
        <v>11</v>
      </c>
      <c r="R28" s="43"/>
      <c r="S28" s="43"/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22.0</v>
      </c>
      <c r="B29" s="156" t="s">
        <v>202</v>
      </c>
      <c r="C29" s="37" t="s">
        <v>1887</v>
      </c>
      <c r="D29" s="37" t="s">
        <v>1888</v>
      </c>
      <c r="E29" s="133" t="s">
        <v>338</v>
      </c>
      <c r="F29" s="134">
        <v>42.0</v>
      </c>
      <c r="G29" s="134" t="s">
        <v>339</v>
      </c>
      <c r="H29" s="134" t="s">
        <v>839</v>
      </c>
      <c r="I29" s="134">
        <v>9.356929259E9</v>
      </c>
      <c r="J29" s="54">
        <v>25.0</v>
      </c>
      <c r="K29" s="55">
        <v>21.0</v>
      </c>
      <c r="L29" s="55">
        <v>0.0</v>
      </c>
      <c r="M29" s="55">
        <v>2.0</v>
      </c>
      <c r="N29" s="43">
        <f t="shared" si="1"/>
        <v>2</v>
      </c>
      <c r="O29" s="55">
        <v>7.0</v>
      </c>
      <c r="P29" s="55">
        <v>2.0</v>
      </c>
      <c r="Q29" s="43">
        <f t="shared" si="2"/>
        <v>11</v>
      </c>
      <c r="R29" s="43"/>
      <c r="S29" s="43"/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23.0</v>
      </c>
      <c r="B30" s="155" t="s">
        <v>1889</v>
      </c>
      <c r="C30" s="37" t="s">
        <v>1890</v>
      </c>
      <c r="D30" s="37" t="s">
        <v>112</v>
      </c>
      <c r="E30" s="133" t="s">
        <v>338</v>
      </c>
      <c r="F30" s="134">
        <v>53.0</v>
      </c>
      <c r="G30" s="134" t="s">
        <v>339</v>
      </c>
      <c r="H30" s="134" t="s">
        <v>368</v>
      </c>
      <c r="I30" s="134">
        <v>9.270871422E9</v>
      </c>
      <c r="J30" s="54">
        <v>20.0</v>
      </c>
      <c r="K30" s="55">
        <v>14.0</v>
      </c>
      <c r="L30" s="55">
        <v>0.0</v>
      </c>
      <c r="M30" s="55">
        <v>6.0</v>
      </c>
      <c r="N30" s="43">
        <v>0.0</v>
      </c>
      <c r="O30" s="55">
        <v>13.0</v>
      </c>
      <c r="P30" s="55">
        <v>0.0</v>
      </c>
      <c r="Q30" s="43">
        <f t="shared" si="2"/>
        <v>13</v>
      </c>
      <c r="R30" s="43"/>
      <c r="S30" s="55" t="s">
        <v>88</v>
      </c>
      <c r="T30" s="55" t="s">
        <v>140</v>
      </c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24.0</v>
      </c>
      <c r="B31" s="151" t="s">
        <v>1891</v>
      </c>
      <c r="C31" s="37" t="s">
        <v>1892</v>
      </c>
      <c r="D31" s="37" t="s">
        <v>1893</v>
      </c>
      <c r="E31" s="133" t="s">
        <v>338</v>
      </c>
      <c r="F31" s="134">
        <v>51.0</v>
      </c>
      <c r="G31" s="134" t="s">
        <v>339</v>
      </c>
      <c r="H31" s="134" t="s">
        <v>839</v>
      </c>
      <c r="I31" s="134">
        <v>9.270871422E9</v>
      </c>
      <c r="J31" s="54">
        <v>25.0</v>
      </c>
      <c r="K31" s="55">
        <v>14.0</v>
      </c>
      <c r="L31" s="55">
        <v>6.0</v>
      </c>
      <c r="M31" s="55">
        <v>5.0</v>
      </c>
      <c r="N31" s="43">
        <f t="shared" ref="N31:N56" si="3">SUM(L31,M31)</f>
        <v>11</v>
      </c>
      <c r="O31" s="55">
        <v>7.0</v>
      </c>
      <c r="P31" s="55">
        <v>0.0</v>
      </c>
      <c r="Q31" s="43">
        <f t="shared" si="2"/>
        <v>18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25.0</v>
      </c>
      <c r="B32" s="151" t="s">
        <v>1894</v>
      </c>
      <c r="C32" s="37" t="s">
        <v>1895</v>
      </c>
      <c r="D32" s="37" t="s">
        <v>1896</v>
      </c>
      <c r="E32" s="133" t="s">
        <v>338</v>
      </c>
      <c r="F32" s="134">
        <v>39.0</v>
      </c>
      <c r="G32" s="134" t="s">
        <v>385</v>
      </c>
      <c r="H32" s="134" t="s">
        <v>340</v>
      </c>
      <c r="I32" s="134">
        <v>9.498325927E9</v>
      </c>
      <c r="J32" s="54">
        <v>26.0</v>
      </c>
      <c r="K32" s="55">
        <v>22.0</v>
      </c>
      <c r="L32" s="55">
        <v>0.0</v>
      </c>
      <c r="M32" s="55">
        <v>2.0</v>
      </c>
      <c r="N32" s="43">
        <f t="shared" si="3"/>
        <v>2</v>
      </c>
      <c r="O32" s="55">
        <v>5.0</v>
      </c>
      <c r="P32" s="55">
        <v>3.0</v>
      </c>
      <c r="Q32" s="43">
        <f t="shared" si="2"/>
        <v>10</v>
      </c>
      <c r="R32" s="43"/>
      <c r="S32" s="43"/>
      <c r="T32" s="55" t="s">
        <v>140</v>
      </c>
      <c r="U32" s="43"/>
      <c r="V32" s="43"/>
      <c r="W32" s="56" t="s">
        <v>46</v>
      </c>
      <c r="Z32" s="61" t="s">
        <v>139</v>
      </c>
      <c r="AA32" s="61" t="s">
        <v>140</v>
      </c>
      <c r="AB32" s="66">
        <f>COUNTIF(T7:T157, "G")</f>
        <v>2</v>
      </c>
      <c r="AC32" s="34"/>
      <c r="AD32" s="34"/>
    </row>
    <row r="33" ht="13.5" customHeight="1">
      <c r="A33" s="28">
        <v>26.0</v>
      </c>
      <c r="B33" s="151" t="s">
        <v>1863</v>
      </c>
      <c r="C33" s="37" t="s">
        <v>1897</v>
      </c>
      <c r="D33" s="37" t="s">
        <v>1843</v>
      </c>
      <c r="E33" s="133" t="s">
        <v>338</v>
      </c>
      <c r="F33" s="134">
        <v>32.0</v>
      </c>
      <c r="G33" s="134" t="s">
        <v>339</v>
      </c>
      <c r="H33" s="134" t="s">
        <v>340</v>
      </c>
      <c r="I33" s="134">
        <v>9.2816572E9</v>
      </c>
      <c r="J33" s="54">
        <v>25.0</v>
      </c>
      <c r="K33" s="55">
        <v>16.0</v>
      </c>
      <c r="L33" s="55">
        <v>0.0</v>
      </c>
      <c r="M33" s="55">
        <v>0.0</v>
      </c>
      <c r="N33" s="43">
        <f t="shared" si="3"/>
        <v>0</v>
      </c>
      <c r="O33" s="55">
        <v>7.0</v>
      </c>
      <c r="P33" s="55">
        <v>9.0</v>
      </c>
      <c r="Q33" s="43">
        <f t="shared" si="2"/>
        <v>16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27.0</v>
      </c>
      <c r="B34" s="151" t="s">
        <v>1898</v>
      </c>
      <c r="C34" s="37" t="s">
        <v>1899</v>
      </c>
      <c r="D34" s="37" t="s">
        <v>1900</v>
      </c>
      <c r="E34" s="133" t="s">
        <v>338</v>
      </c>
      <c r="F34" s="134">
        <v>28.0</v>
      </c>
      <c r="G34" s="134" t="s">
        <v>339</v>
      </c>
      <c r="H34" s="134" t="s">
        <v>340</v>
      </c>
      <c r="I34" s="134">
        <v>9.464443073E9</v>
      </c>
      <c r="J34" s="54">
        <v>27.0</v>
      </c>
      <c r="K34" s="55">
        <v>21.0</v>
      </c>
      <c r="L34" s="55">
        <v>0.0</v>
      </c>
      <c r="M34" s="55">
        <v>4.0</v>
      </c>
      <c r="N34" s="43">
        <f t="shared" si="3"/>
        <v>4</v>
      </c>
      <c r="O34" s="55">
        <v>1.0</v>
      </c>
      <c r="P34" s="55">
        <v>2.0</v>
      </c>
      <c r="Q34" s="43">
        <f t="shared" si="2"/>
        <v>7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28.0</v>
      </c>
      <c r="B35" s="151" t="s">
        <v>1901</v>
      </c>
      <c r="C35" s="37" t="s">
        <v>1902</v>
      </c>
      <c r="D35" s="37" t="s">
        <v>1903</v>
      </c>
      <c r="E35" s="133" t="s">
        <v>338</v>
      </c>
      <c r="F35" s="134">
        <v>31.0</v>
      </c>
      <c r="G35" s="134" t="s">
        <v>339</v>
      </c>
      <c r="H35" s="134" t="s">
        <v>839</v>
      </c>
      <c r="I35" s="134">
        <v>9.978917671E9</v>
      </c>
      <c r="J35" s="54">
        <v>31.0</v>
      </c>
      <c r="K35" s="55">
        <v>28.0</v>
      </c>
      <c r="L35" s="55">
        <v>0.0</v>
      </c>
      <c r="M35" s="55">
        <v>2.0</v>
      </c>
      <c r="N35" s="43">
        <f t="shared" si="3"/>
        <v>2</v>
      </c>
      <c r="O35" s="55">
        <v>1.0</v>
      </c>
      <c r="P35" s="55">
        <v>1.0</v>
      </c>
      <c r="Q35" s="43">
        <f t="shared" si="2"/>
        <v>4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29.0</v>
      </c>
      <c r="B36" s="156" t="s">
        <v>1904</v>
      </c>
      <c r="C36" s="37" t="s">
        <v>1905</v>
      </c>
      <c r="D36" s="37" t="s">
        <v>1906</v>
      </c>
      <c r="E36" s="133" t="s">
        <v>338</v>
      </c>
      <c r="F36" s="134">
        <v>29.0</v>
      </c>
      <c r="G36" s="134" t="s">
        <v>339</v>
      </c>
      <c r="H36" s="134" t="s">
        <v>340</v>
      </c>
      <c r="I36" s="134">
        <v>9.564682288E9</v>
      </c>
      <c r="J36" s="81"/>
      <c r="K36" s="43"/>
      <c r="L36" s="43"/>
      <c r="M36" s="43"/>
      <c r="N36" s="43">
        <f t="shared" si="3"/>
        <v>0</v>
      </c>
      <c r="O36" s="43"/>
      <c r="P36" s="43"/>
      <c r="Q36" s="43">
        <f t="shared" si="2"/>
        <v>0</v>
      </c>
      <c r="R36" s="43"/>
      <c r="S36" s="43"/>
      <c r="T36" s="43"/>
      <c r="U36" s="43"/>
      <c r="V36" s="43"/>
      <c r="W36" s="44"/>
      <c r="Z36" s="61"/>
      <c r="AA36" s="61"/>
      <c r="AB36" s="66"/>
      <c r="AC36" s="34"/>
      <c r="AD36" s="34"/>
    </row>
    <row r="37" ht="13.5" customHeight="1">
      <c r="A37" s="28">
        <v>30.0</v>
      </c>
      <c r="B37" s="160" t="s">
        <v>1073</v>
      </c>
      <c r="C37" s="37" t="s">
        <v>1907</v>
      </c>
      <c r="D37" s="37" t="s">
        <v>1908</v>
      </c>
      <c r="E37" s="133" t="s">
        <v>338</v>
      </c>
      <c r="F37" s="134">
        <v>52.0</v>
      </c>
      <c r="G37" s="134" t="s">
        <v>339</v>
      </c>
      <c r="H37" s="134" t="s">
        <v>839</v>
      </c>
      <c r="I37" s="134">
        <v>9.230868964E9</v>
      </c>
      <c r="J37" s="87">
        <v>25.0</v>
      </c>
      <c r="K37" s="55">
        <v>19.0</v>
      </c>
      <c r="L37" s="55">
        <v>0.0</v>
      </c>
      <c r="M37" s="55">
        <v>1.0</v>
      </c>
      <c r="N37" s="43">
        <f t="shared" si="3"/>
        <v>1</v>
      </c>
      <c r="O37" s="55">
        <v>3.0</v>
      </c>
      <c r="P37" s="55">
        <v>6.0</v>
      </c>
      <c r="Q37" s="43">
        <f t="shared" si="2"/>
        <v>10</v>
      </c>
      <c r="R37" s="43"/>
      <c r="S37" s="43"/>
      <c r="T37" s="43"/>
      <c r="U37" s="43"/>
      <c r="V37" s="43"/>
      <c r="W37" s="56" t="s">
        <v>497</v>
      </c>
      <c r="Z37" s="84"/>
      <c r="AA37" s="84"/>
      <c r="AB37" s="85"/>
      <c r="AC37" s="86"/>
      <c r="AD37" s="86"/>
    </row>
    <row r="38" ht="13.5" customHeight="1">
      <c r="A38" s="28">
        <v>31.0</v>
      </c>
      <c r="B38" s="151" t="s">
        <v>1073</v>
      </c>
      <c r="C38" s="37" t="s">
        <v>984</v>
      </c>
      <c r="D38" s="37" t="s">
        <v>1909</v>
      </c>
      <c r="E38" s="133" t="s">
        <v>338</v>
      </c>
      <c r="F38" s="134">
        <v>40.0</v>
      </c>
      <c r="G38" s="134" t="s">
        <v>339</v>
      </c>
      <c r="H38" s="134" t="s">
        <v>833</v>
      </c>
      <c r="I38" s="134">
        <v>9.368456249E9</v>
      </c>
      <c r="J38" s="87">
        <v>31.0</v>
      </c>
      <c r="K38" s="55">
        <v>16.0</v>
      </c>
      <c r="L38" s="55">
        <v>3.0</v>
      </c>
      <c r="M38" s="55">
        <v>8.0</v>
      </c>
      <c r="N38" s="43">
        <f t="shared" si="3"/>
        <v>11</v>
      </c>
      <c r="O38" s="55">
        <v>1.0</v>
      </c>
      <c r="P38" s="55">
        <v>2.0</v>
      </c>
      <c r="Q38" s="43">
        <f t="shared" si="2"/>
        <v>14</v>
      </c>
      <c r="R38" s="43"/>
      <c r="S38" s="55" t="s">
        <v>277</v>
      </c>
      <c r="T38" s="43"/>
      <c r="U38" s="43"/>
      <c r="V38" s="55" t="s">
        <v>1910</v>
      </c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32.0</v>
      </c>
      <c r="B39" s="151" t="s">
        <v>1911</v>
      </c>
      <c r="C39" s="37" t="s">
        <v>1650</v>
      </c>
      <c r="D39" s="37" t="s">
        <v>1912</v>
      </c>
      <c r="E39" s="133" t="s">
        <v>338</v>
      </c>
      <c r="F39" s="134">
        <v>41.0</v>
      </c>
      <c r="G39" s="134" t="s">
        <v>339</v>
      </c>
      <c r="H39" s="134" t="s">
        <v>833</v>
      </c>
      <c r="I39" s="134">
        <v>9.217659697E9</v>
      </c>
      <c r="J39" s="87">
        <v>23.0</v>
      </c>
      <c r="K39" s="55">
        <v>17.0</v>
      </c>
      <c r="L39" s="55">
        <v>0.0</v>
      </c>
      <c r="M39" s="55">
        <v>2.0</v>
      </c>
      <c r="N39" s="43">
        <f t="shared" si="3"/>
        <v>2</v>
      </c>
      <c r="O39" s="55">
        <v>5.0</v>
      </c>
      <c r="P39" s="55">
        <v>4.0</v>
      </c>
      <c r="Q39" s="43">
        <f t="shared" si="2"/>
        <v>11</v>
      </c>
      <c r="R39" s="43"/>
      <c r="S39" s="55" t="s">
        <v>93</v>
      </c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33.0</v>
      </c>
      <c r="B40" s="151" t="s">
        <v>1274</v>
      </c>
      <c r="C40" s="37" t="s">
        <v>1913</v>
      </c>
      <c r="D40" s="37" t="s">
        <v>1914</v>
      </c>
      <c r="E40" s="133" t="s">
        <v>338</v>
      </c>
      <c r="F40" s="134">
        <v>27.0</v>
      </c>
      <c r="G40" s="134" t="s">
        <v>339</v>
      </c>
      <c r="H40" s="134" t="s">
        <v>340</v>
      </c>
      <c r="I40" s="134">
        <v>9.076230597E9</v>
      </c>
      <c r="J40" s="83"/>
      <c r="K40" s="43"/>
      <c r="L40" s="43"/>
      <c r="M40" s="43"/>
      <c r="N40" s="43">
        <f t="shared" si="3"/>
        <v>0</v>
      </c>
      <c r="O40" s="43"/>
      <c r="P40" s="43"/>
      <c r="Q40" s="43">
        <f t="shared" si="2"/>
        <v>0</v>
      </c>
      <c r="R40" s="43"/>
      <c r="S40" s="43"/>
      <c r="T40" s="43"/>
      <c r="U40" s="43"/>
      <c r="V40" s="43"/>
      <c r="W40" s="44"/>
      <c r="Z40" s="61"/>
      <c r="AA40" s="61"/>
      <c r="AB40" s="66"/>
      <c r="AC40" s="34"/>
      <c r="AD40" s="34"/>
    </row>
    <row r="41" ht="13.5" customHeight="1">
      <c r="A41" s="28">
        <v>34.0</v>
      </c>
      <c r="B41" s="151" t="s">
        <v>1915</v>
      </c>
      <c r="C41" s="37" t="s">
        <v>1916</v>
      </c>
      <c r="D41" s="37" t="s">
        <v>1917</v>
      </c>
      <c r="E41" s="133" t="s">
        <v>338</v>
      </c>
      <c r="F41" s="134">
        <v>39.0</v>
      </c>
      <c r="G41" s="134" t="s">
        <v>339</v>
      </c>
      <c r="H41" s="134" t="s">
        <v>839</v>
      </c>
      <c r="I41" s="134">
        <v>9.083358083E9</v>
      </c>
      <c r="J41" s="87">
        <v>29.0</v>
      </c>
      <c r="K41" s="55">
        <v>20.0</v>
      </c>
      <c r="L41" s="55">
        <v>0.0</v>
      </c>
      <c r="M41" s="55">
        <v>1.0</v>
      </c>
      <c r="N41" s="43">
        <f t="shared" si="3"/>
        <v>1</v>
      </c>
      <c r="O41" s="55">
        <v>0.0</v>
      </c>
      <c r="P41" s="55">
        <v>8.0</v>
      </c>
      <c r="Q41" s="43">
        <f t="shared" si="2"/>
        <v>9</v>
      </c>
      <c r="R41" s="43"/>
      <c r="S41" s="43"/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35.0</v>
      </c>
      <c r="B42" s="151" t="s">
        <v>1918</v>
      </c>
      <c r="C42" s="37" t="s">
        <v>1919</v>
      </c>
      <c r="D42" s="37" t="s">
        <v>148</v>
      </c>
      <c r="E42" s="133" t="s">
        <v>338</v>
      </c>
      <c r="F42" s="134">
        <v>26.0</v>
      </c>
      <c r="G42" s="134" t="s">
        <v>339</v>
      </c>
      <c r="H42" s="134" t="s">
        <v>340</v>
      </c>
      <c r="I42" s="134">
        <v>9.559756992E9</v>
      </c>
      <c r="J42" s="87">
        <v>25.0</v>
      </c>
      <c r="K42" s="55">
        <v>20.0</v>
      </c>
      <c r="L42" s="55">
        <v>0.0</v>
      </c>
      <c r="M42" s="55">
        <v>5.0</v>
      </c>
      <c r="N42" s="43">
        <f t="shared" si="3"/>
        <v>5</v>
      </c>
      <c r="O42" s="55">
        <v>7.0</v>
      </c>
      <c r="P42" s="55">
        <v>0.0</v>
      </c>
      <c r="Q42" s="43">
        <f t="shared" si="2"/>
        <v>12</v>
      </c>
      <c r="R42" s="43"/>
      <c r="S42" s="55" t="s">
        <v>1920</v>
      </c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36.0</v>
      </c>
      <c r="B43" s="156" t="s">
        <v>1921</v>
      </c>
      <c r="C43" s="37" t="s">
        <v>1786</v>
      </c>
      <c r="D43" s="37" t="s">
        <v>1922</v>
      </c>
      <c r="E43" s="133" t="s">
        <v>338</v>
      </c>
      <c r="F43" s="134">
        <v>34.0</v>
      </c>
      <c r="G43" s="134" t="s">
        <v>339</v>
      </c>
      <c r="H43" s="134" t="s">
        <v>340</v>
      </c>
      <c r="I43" s="134">
        <v>9.959156538E9</v>
      </c>
      <c r="J43" s="83"/>
      <c r="K43" s="43"/>
      <c r="L43" s="43"/>
      <c r="M43" s="43"/>
      <c r="N43" s="43">
        <f t="shared" si="3"/>
        <v>0</v>
      </c>
      <c r="O43" s="43"/>
      <c r="P43" s="43"/>
      <c r="Q43" s="43">
        <f t="shared" si="2"/>
        <v>0</v>
      </c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37.0</v>
      </c>
      <c r="B44" s="155" t="s">
        <v>1923</v>
      </c>
      <c r="C44" s="37" t="s">
        <v>1692</v>
      </c>
      <c r="D44" s="37" t="s">
        <v>1924</v>
      </c>
      <c r="E44" s="133" t="s">
        <v>338</v>
      </c>
      <c r="F44" s="134">
        <v>41.0</v>
      </c>
      <c r="G44" s="134" t="s">
        <v>339</v>
      </c>
      <c r="H44" s="134" t="s">
        <v>839</v>
      </c>
      <c r="I44" s="134">
        <v>9.270820404E9</v>
      </c>
      <c r="J44" s="87">
        <v>20.0</v>
      </c>
      <c r="K44" s="55">
        <v>13.0</v>
      </c>
      <c r="L44" s="55">
        <v>0.0</v>
      </c>
      <c r="M44" s="55">
        <v>7.0</v>
      </c>
      <c r="N44" s="43">
        <f t="shared" si="3"/>
        <v>7</v>
      </c>
      <c r="O44" s="55">
        <v>12.0</v>
      </c>
      <c r="P44" s="55">
        <v>0.0</v>
      </c>
      <c r="Q44" s="43">
        <f t="shared" si="2"/>
        <v>19</v>
      </c>
      <c r="R44" s="43"/>
      <c r="S44" s="55" t="s">
        <v>88</v>
      </c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38.0</v>
      </c>
      <c r="B45" s="151" t="s">
        <v>1925</v>
      </c>
      <c r="C45" s="37" t="s">
        <v>1926</v>
      </c>
      <c r="D45" s="37" t="s">
        <v>1927</v>
      </c>
      <c r="E45" s="133" t="s">
        <v>338</v>
      </c>
      <c r="F45" s="134">
        <v>43.0</v>
      </c>
      <c r="G45" s="134" t="s">
        <v>339</v>
      </c>
      <c r="H45" s="134" t="s">
        <v>839</v>
      </c>
      <c r="I45" s="134">
        <v>9.263172676E9</v>
      </c>
      <c r="J45" s="87">
        <v>23.0</v>
      </c>
      <c r="K45" s="55">
        <v>13.0</v>
      </c>
      <c r="L45" s="55">
        <v>2.0</v>
      </c>
      <c r="M45" s="55">
        <v>3.0</v>
      </c>
      <c r="N45" s="43">
        <f t="shared" si="3"/>
        <v>5</v>
      </c>
      <c r="O45" s="55">
        <v>9.0</v>
      </c>
      <c r="P45" s="55">
        <v>6.0</v>
      </c>
      <c r="Q45" s="43">
        <f t="shared" si="2"/>
        <v>20</v>
      </c>
      <c r="R45" s="43"/>
      <c r="S45" s="43"/>
      <c r="T45" s="43"/>
      <c r="U45" s="43"/>
      <c r="V45" s="43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39.0</v>
      </c>
      <c r="B46" s="151" t="s">
        <v>1928</v>
      </c>
      <c r="C46" s="37" t="s">
        <v>1929</v>
      </c>
      <c r="D46" s="37" t="s">
        <v>1930</v>
      </c>
      <c r="E46" s="133" t="s">
        <v>338</v>
      </c>
      <c r="F46" s="134">
        <v>38.0</v>
      </c>
      <c r="G46" s="134" t="s">
        <v>339</v>
      </c>
      <c r="H46" s="134" t="s">
        <v>340</v>
      </c>
      <c r="I46" s="134">
        <v>9.665268715E9</v>
      </c>
      <c r="J46" s="87">
        <v>20.0</v>
      </c>
      <c r="K46" s="55">
        <v>18.0</v>
      </c>
      <c r="L46" s="55">
        <v>0.0</v>
      </c>
      <c r="M46" s="55">
        <v>2.0</v>
      </c>
      <c r="N46" s="43">
        <f t="shared" si="3"/>
        <v>2</v>
      </c>
      <c r="O46" s="55">
        <v>12.0</v>
      </c>
      <c r="P46" s="55">
        <v>0.0</v>
      </c>
      <c r="Q46" s="43">
        <f t="shared" si="2"/>
        <v>14</v>
      </c>
      <c r="R46" s="43"/>
      <c r="S46" s="43"/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40.0</v>
      </c>
      <c r="B47" s="151" t="s">
        <v>1154</v>
      </c>
      <c r="C47" s="37" t="s">
        <v>1259</v>
      </c>
      <c r="D47" s="37" t="s">
        <v>1007</v>
      </c>
      <c r="E47" s="133" t="s">
        <v>338</v>
      </c>
      <c r="F47" s="134">
        <v>51.0</v>
      </c>
      <c r="G47" s="134" t="s">
        <v>339</v>
      </c>
      <c r="H47" s="134" t="s">
        <v>839</v>
      </c>
      <c r="I47" s="134">
        <v>9.605314722E9</v>
      </c>
      <c r="J47" s="87">
        <v>16.0</v>
      </c>
      <c r="K47" s="55">
        <v>10.0</v>
      </c>
      <c r="L47" s="55">
        <v>0.0</v>
      </c>
      <c r="M47" s="55">
        <v>6.0</v>
      </c>
      <c r="N47" s="43">
        <f t="shared" si="3"/>
        <v>6</v>
      </c>
      <c r="O47" s="55">
        <v>16.0</v>
      </c>
      <c r="P47" s="55">
        <v>0.0</v>
      </c>
      <c r="Q47" s="43">
        <f t="shared" si="2"/>
        <v>22</v>
      </c>
      <c r="R47" s="43"/>
      <c r="S47" s="55" t="s">
        <v>88</v>
      </c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41.0</v>
      </c>
      <c r="B48" s="151" t="s">
        <v>1931</v>
      </c>
      <c r="C48" s="37" t="s">
        <v>1932</v>
      </c>
      <c r="D48" s="37" t="s">
        <v>1716</v>
      </c>
      <c r="E48" s="133" t="s">
        <v>338</v>
      </c>
      <c r="F48" s="134">
        <v>45.0</v>
      </c>
      <c r="G48" s="134" t="s">
        <v>339</v>
      </c>
      <c r="H48" s="134" t="s">
        <v>833</v>
      </c>
      <c r="I48" s="134">
        <v>9.167579682E9</v>
      </c>
      <c r="J48" s="87">
        <v>25.0</v>
      </c>
      <c r="K48" s="55">
        <v>21.0</v>
      </c>
      <c r="L48" s="55">
        <v>2.0</v>
      </c>
      <c r="M48" s="55">
        <v>0.0</v>
      </c>
      <c r="N48" s="43">
        <f t="shared" si="3"/>
        <v>2</v>
      </c>
      <c r="O48" s="55">
        <v>7.0</v>
      </c>
      <c r="P48" s="55">
        <v>2.0</v>
      </c>
      <c r="Q48" s="43">
        <f t="shared" si="2"/>
        <v>11</v>
      </c>
      <c r="R48" s="43"/>
      <c r="S48" s="43"/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42.0</v>
      </c>
      <c r="B49" s="151" t="s">
        <v>1933</v>
      </c>
      <c r="C49" s="37" t="s">
        <v>1934</v>
      </c>
      <c r="D49" s="37" t="s">
        <v>1935</v>
      </c>
      <c r="E49" s="133" t="s">
        <v>338</v>
      </c>
      <c r="F49" s="134">
        <v>30.0</v>
      </c>
      <c r="G49" s="134" t="s">
        <v>339</v>
      </c>
      <c r="H49" s="134" t="s">
        <v>340</v>
      </c>
      <c r="I49" s="134">
        <v>9.950329898E9</v>
      </c>
      <c r="J49" s="83"/>
      <c r="K49" s="43"/>
      <c r="L49" s="43"/>
      <c r="M49" s="43"/>
      <c r="N49" s="43">
        <f t="shared" si="3"/>
        <v>0</v>
      </c>
      <c r="O49" s="43"/>
      <c r="P49" s="43"/>
      <c r="Q49" s="43">
        <f t="shared" si="2"/>
        <v>0</v>
      </c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43.0</v>
      </c>
      <c r="B50" s="151" t="s">
        <v>1480</v>
      </c>
      <c r="C50" s="37" t="s">
        <v>1083</v>
      </c>
      <c r="D50" s="37" t="s">
        <v>1481</v>
      </c>
      <c r="E50" s="133" t="s">
        <v>338</v>
      </c>
      <c r="F50" s="134">
        <v>28.0</v>
      </c>
      <c r="G50" s="134" t="s">
        <v>339</v>
      </c>
      <c r="H50" s="134" t="s">
        <v>340</v>
      </c>
      <c r="I50" s="134">
        <v>9.094156228E9</v>
      </c>
      <c r="J50" s="87">
        <v>32.0</v>
      </c>
      <c r="K50" s="55">
        <v>28.0</v>
      </c>
      <c r="L50" s="55">
        <v>0.0</v>
      </c>
      <c r="M50" s="55">
        <v>4.0</v>
      </c>
      <c r="N50" s="43">
        <f t="shared" si="3"/>
        <v>4</v>
      </c>
      <c r="O50" s="55">
        <v>0.0</v>
      </c>
      <c r="P50" s="55">
        <v>0.0</v>
      </c>
      <c r="Q50" s="43">
        <f t="shared" si="2"/>
        <v>4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44.0</v>
      </c>
      <c r="B51" s="156" t="s">
        <v>1936</v>
      </c>
      <c r="C51" s="37" t="s">
        <v>1548</v>
      </c>
      <c r="D51" s="37" t="s">
        <v>1937</v>
      </c>
      <c r="E51" s="133" t="s">
        <v>338</v>
      </c>
      <c r="F51" s="134">
        <v>43.0</v>
      </c>
      <c r="G51" s="134" t="s">
        <v>339</v>
      </c>
      <c r="H51" s="134" t="s">
        <v>340</v>
      </c>
      <c r="I51" s="134">
        <v>9.770184849E9</v>
      </c>
      <c r="J51" s="87">
        <v>27.0</v>
      </c>
      <c r="K51" s="55">
        <v>23.0</v>
      </c>
      <c r="L51" s="55">
        <v>0.0</v>
      </c>
      <c r="M51" s="55">
        <v>0.0</v>
      </c>
      <c r="N51" s="43">
        <f t="shared" si="3"/>
        <v>0</v>
      </c>
      <c r="O51" s="55">
        <v>5.0</v>
      </c>
      <c r="P51" s="55">
        <v>4.0</v>
      </c>
      <c r="Q51" s="43">
        <f t="shared" si="2"/>
        <v>9</v>
      </c>
      <c r="R51" s="43"/>
      <c r="S51" s="43"/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45.0</v>
      </c>
      <c r="B52" s="160" t="s">
        <v>44</v>
      </c>
      <c r="C52" s="37" t="s">
        <v>1938</v>
      </c>
      <c r="D52" s="37" t="s">
        <v>205</v>
      </c>
      <c r="E52" s="133" t="s">
        <v>338</v>
      </c>
      <c r="F52" s="134">
        <v>42.0</v>
      </c>
      <c r="G52" s="134" t="s">
        <v>339</v>
      </c>
      <c r="H52" s="134" t="s">
        <v>340</v>
      </c>
      <c r="I52" s="134">
        <v>9.684992902E9</v>
      </c>
      <c r="J52" s="87">
        <v>28.0</v>
      </c>
      <c r="K52" s="55">
        <v>18.0</v>
      </c>
      <c r="L52" s="55">
        <v>0.0</v>
      </c>
      <c r="M52" s="55">
        <v>0.0</v>
      </c>
      <c r="N52" s="43">
        <f t="shared" si="3"/>
        <v>0</v>
      </c>
      <c r="O52" s="55">
        <v>4.0</v>
      </c>
      <c r="P52" s="55">
        <v>10.0</v>
      </c>
      <c r="Q52" s="43">
        <f t="shared" si="2"/>
        <v>14</v>
      </c>
      <c r="R52" s="43"/>
      <c r="S52" s="43"/>
      <c r="T52" s="43"/>
      <c r="U52" s="43"/>
      <c r="V52" s="43"/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46.0</v>
      </c>
      <c r="B53" s="151" t="s">
        <v>1939</v>
      </c>
      <c r="C53" s="37" t="s">
        <v>1940</v>
      </c>
      <c r="D53" s="37" t="s">
        <v>1941</v>
      </c>
      <c r="E53" s="133" t="s">
        <v>338</v>
      </c>
      <c r="F53" s="134">
        <v>51.0</v>
      </c>
      <c r="G53" s="134" t="s">
        <v>339</v>
      </c>
      <c r="H53" s="134" t="s">
        <v>839</v>
      </c>
      <c r="I53" s="134">
        <v>9.974526652E9</v>
      </c>
      <c r="J53" s="87">
        <v>4.0</v>
      </c>
      <c r="K53" s="55">
        <v>2.0</v>
      </c>
      <c r="L53" s="55">
        <v>0.0</v>
      </c>
      <c r="M53" s="55">
        <v>0.0</v>
      </c>
      <c r="N53" s="43">
        <f t="shared" si="3"/>
        <v>0</v>
      </c>
      <c r="O53" s="55">
        <v>28.0</v>
      </c>
      <c r="P53" s="55">
        <v>0.0</v>
      </c>
      <c r="Q53" s="43">
        <f t="shared" si="2"/>
        <v>28</v>
      </c>
      <c r="R53" s="43"/>
      <c r="S53" s="55" t="s">
        <v>1942</v>
      </c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47.0</v>
      </c>
      <c r="B54" s="151" t="s">
        <v>1943</v>
      </c>
      <c r="C54" s="37" t="s">
        <v>1944</v>
      </c>
      <c r="D54" s="37" t="s">
        <v>1586</v>
      </c>
      <c r="E54" s="133" t="s">
        <v>338</v>
      </c>
      <c r="F54" s="134">
        <v>40.0</v>
      </c>
      <c r="G54" s="134" t="s">
        <v>339</v>
      </c>
      <c r="H54" s="134" t="s">
        <v>839</v>
      </c>
      <c r="I54" s="134">
        <v>9.273303924E9</v>
      </c>
      <c r="J54" s="87">
        <v>13.0</v>
      </c>
      <c r="K54" s="55">
        <v>8.0</v>
      </c>
      <c r="L54" s="55">
        <v>0.0</v>
      </c>
      <c r="M54" s="55">
        <v>2.0</v>
      </c>
      <c r="N54" s="43">
        <f t="shared" si="3"/>
        <v>2</v>
      </c>
      <c r="O54" s="55">
        <v>18.0</v>
      </c>
      <c r="P54" s="55">
        <v>3.0</v>
      </c>
      <c r="Q54" s="43">
        <f t="shared" si="2"/>
        <v>23</v>
      </c>
      <c r="R54" s="43"/>
      <c r="S54" s="55" t="s">
        <v>88</v>
      </c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48.0</v>
      </c>
      <c r="B55" s="37" t="s">
        <v>864</v>
      </c>
      <c r="C55" s="37" t="s">
        <v>1940</v>
      </c>
      <c r="D55" s="37" t="s">
        <v>1217</v>
      </c>
      <c r="E55" s="133" t="s">
        <v>338</v>
      </c>
      <c r="F55" s="134">
        <v>55.0</v>
      </c>
      <c r="G55" s="134" t="s">
        <v>339</v>
      </c>
      <c r="H55" s="134" t="s">
        <v>508</v>
      </c>
      <c r="I55" s="134">
        <v>9.171405518E9</v>
      </c>
      <c r="J55" s="83"/>
      <c r="K55" s="43"/>
      <c r="L55" s="43"/>
      <c r="M55" s="43"/>
      <c r="N55" s="43">
        <f t="shared" si="3"/>
        <v>0</v>
      </c>
      <c r="O55" s="43"/>
      <c r="P55" s="43"/>
      <c r="Q55" s="43">
        <f t="shared" si="2"/>
        <v>0</v>
      </c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49.0</v>
      </c>
      <c r="B56" s="37" t="s">
        <v>1945</v>
      </c>
      <c r="C56" s="37" t="s">
        <v>1946</v>
      </c>
      <c r="D56" s="37" t="s">
        <v>1947</v>
      </c>
      <c r="E56" s="133" t="s">
        <v>338</v>
      </c>
      <c r="F56" s="134">
        <v>49.0</v>
      </c>
      <c r="G56" s="134" t="s">
        <v>385</v>
      </c>
      <c r="H56" s="134" t="s">
        <v>1948</v>
      </c>
      <c r="I56" s="134">
        <v>9.949336479E9</v>
      </c>
      <c r="J56" s="83"/>
      <c r="K56" s="43"/>
      <c r="L56" s="43"/>
      <c r="M56" s="43"/>
      <c r="N56" s="43">
        <f t="shared" si="3"/>
        <v>0</v>
      </c>
      <c r="O56" s="43"/>
      <c r="P56" s="43"/>
      <c r="Q56" s="43">
        <f t="shared" si="2"/>
        <v>0</v>
      </c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50.0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>
        <f t="shared" si="2"/>
        <v>0</v>
      </c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51.0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>
        <f t="shared" si="2"/>
        <v>0</v>
      </c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52.0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>
        <f t="shared" si="2"/>
        <v>0</v>
      </c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53.0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>
        <f t="shared" si="2"/>
        <v>0</v>
      </c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54.0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>
        <f t="shared" si="2"/>
        <v>0</v>
      </c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55.0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>
        <f t="shared" si="2"/>
        <v>0</v>
      </c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56.0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>
        <f t="shared" si="2"/>
        <v>0</v>
      </c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57.0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>
        <f t="shared" si="2"/>
        <v>0</v>
      </c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58.0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>
        <f t="shared" si="2"/>
        <v>0</v>
      </c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59.0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>
        <f t="shared" si="2"/>
        <v>0</v>
      </c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60.0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>
        <f t="shared" si="2"/>
        <v>0</v>
      </c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61.0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>
        <f t="shared" si="2"/>
        <v>0</v>
      </c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62.0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>
        <f t="shared" si="2"/>
        <v>0</v>
      </c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63.0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>
        <f t="shared" si="2"/>
        <v>0</v>
      </c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64.0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65.0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66.0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67.0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68.0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69.0</v>
      </c>
      <c r="B76" s="106"/>
      <c r="C76" s="106"/>
      <c r="D76" s="106"/>
      <c r="E76" s="53"/>
      <c r="F76" s="53"/>
      <c r="G76" s="53"/>
      <c r="H76" s="53"/>
      <c r="I76" s="82"/>
      <c r="J76" s="8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70.0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71.0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72.0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73.0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74.0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75.0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76.0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77.0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78.0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79.0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80.0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81.0</v>
      </c>
      <c r="B88" s="106"/>
      <c r="C88" s="106"/>
      <c r="D88" s="106"/>
      <c r="E88" s="53"/>
      <c r="F88" s="53"/>
      <c r="G88" s="53"/>
      <c r="H88" s="53"/>
      <c r="I88" s="53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82.0</v>
      </c>
      <c r="B89" s="106"/>
      <c r="C89" s="106"/>
      <c r="D89" s="106"/>
      <c r="E89" s="53"/>
      <c r="F89" s="53"/>
      <c r="G89" s="53"/>
      <c r="H89" s="53"/>
      <c r="I89" s="105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83.0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84.0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85.0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86.0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87.0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88.0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89.0</v>
      </c>
      <c r="B96" s="106"/>
      <c r="C96" s="106"/>
      <c r="D96" s="106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90.0</v>
      </c>
      <c r="B97" s="107"/>
      <c r="C97" s="107"/>
      <c r="D97" s="107"/>
      <c r="E97" s="53"/>
      <c r="F97" s="53"/>
      <c r="G97" s="53"/>
      <c r="H97" s="53"/>
      <c r="I97" s="53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91.0</v>
      </c>
      <c r="B98" s="108"/>
      <c r="C98" s="108"/>
      <c r="D98" s="108"/>
      <c r="E98" s="109"/>
      <c r="F98" s="110"/>
      <c r="G98" s="53"/>
      <c r="H98" s="53"/>
      <c r="I98" s="111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92.0</v>
      </c>
      <c r="B99" s="112"/>
      <c r="C99" s="112"/>
      <c r="D99" s="112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93.0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94.0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95.0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96.0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97.0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98.0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99.0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100.0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101.0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102.0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103.0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104.0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105.0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106.0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107.0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108.0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109.0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110.0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111.0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112.0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113.0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114.0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115.0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116.0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117.0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118.0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119.0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120.0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121.0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122.0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123.0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124.0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125.0</v>
      </c>
      <c r="B132" s="106"/>
      <c r="C132" s="106"/>
      <c r="D132" s="106"/>
      <c r="E132" s="53"/>
      <c r="F132" s="53"/>
      <c r="G132" s="53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126.0</v>
      </c>
      <c r="B133" s="107"/>
      <c r="C133" s="107"/>
      <c r="D133" s="107"/>
      <c r="E133" s="109"/>
      <c r="F133" s="53"/>
      <c r="G133" s="80"/>
      <c r="H133" s="53"/>
      <c r="I133" s="53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127.0</v>
      </c>
      <c r="B134" s="108"/>
      <c r="C134" s="108"/>
      <c r="D134" s="108"/>
      <c r="E134" s="113"/>
      <c r="F134" s="110"/>
      <c r="G134" s="53"/>
      <c r="H134" s="80"/>
      <c r="I134" s="111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128.0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129.0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130.0</v>
      </c>
      <c r="B137" s="108"/>
      <c r="C137" s="108"/>
      <c r="D137" s="108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131.0</v>
      </c>
      <c r="B138" s="106"/>
      <c r="C138" s="106"/>
      <c r="D138" s="106"/>
      <c r="E138" s="113"/>
      <c r="F138" s="50"/>
      <c r="G138" s="53"/>
      <c r="H138" s="53"/>
      <c r="I138" s="50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132.0</v>
      </c>
      <c r="B139" s="106"/>
      <c r="C139" s="106"/>
      <c r="D139" s="106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133.0</v>
      </c>
      <c r="B140" s="114"/>
      <c r="C140" s="108"/>
      <c r="D140" s="108"/>
      <c r="E140" s="113"/>
      <c r="F140" s="53"/>
      <c r="G140" s="53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134.0</v>
      </c>
      <c r="B141" s="106"/>
      <c r="C141" s="106"/>
      <c r="D141" s="106"/>
      <c r="E141" s="109"/>
      <c r="F141" s="53"/>
      <c r="G141" s="79"/>
      <c r="H141" s="53"/>
      <c r="I141" s="53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135.0</v>
      </c>
      <c r="B142" s="106"/>
      <c r="C142" s="106"/>
      <c r="D142" s="106"/>
      <c r="E142" s="109"/>
      <c r="F142" s="79"/>
      <c r="G142" s="53"/>
      <c r="H142" s="79"/>
      <c r="I142" s="79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136.0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137.0</v>
      </c>
      <c r="B144" s="106"/>
      <c r="C144" s="106"/>
      <c r="D144" s="106"/>
      <c r="E144" s="109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138.0</v>
      </c>
      <c r="B145" s="106"/>
      <c r="C145" s="106"/>
      <c r="D145" s="106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139.0</v>
      </c>
      <c r="B146" s="112"/>
      <c r="C146" s="112"/>
      <c r="D146" s="112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140.0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141.0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142.0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143.0</v>
      </c>
      <c r="B150" s="106"/>
      <c r="C150" s="106"/>
      <c r="D150" s="106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144.0</v>
      </c>
      <c r="B151" s="107"/>
      <c r="C151" s="107"/>
      <c r="D151" s="107"/>
      <c r="E151" s="53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145.0</v>
      </c>
      <c r="B152" s="106"/>
      <c r="C152" s="106"/>
      <c r="D152" s="106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146.0</v>
      </c>
      <c r="B153" s="115"/>
      <c r="C153" s="115"/>
      <c r="D153" s="115"/>
      <c r="E153" s="109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147.0</v>
      </c>
      <c r="B154" s="112"/>
      <c r="C154" s="112"/>
      <c r="D154" s="112"/>
      <c r="E154" s="53"/>
      <c r="F154" s="53"/>
      <c r="G154" s="53"/>
      <c r="H154" s="53"/>
      <c r="I154" s="53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148.0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149.0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28">
        <v>150.0</v>
      </c>
      <c r="B157" s="116"/>
      <c r="C157" s="116"/>
      <c r="D157" s="116"/>
      <c r="E157" s="117"/>
      <c r="F157" s="117"/>
      <c r="G157" s="117"/>
      <c r="H157" s="117"/>
      <c r="I157" s="117"/>
      <c r="J157" s="42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4"/>
      <c r="Z157" s="61"/>
      <c r="AA157" s="61"/>
      <c r="AB157" s="66"/>
      <c r="AC157" s="34"/>
      <c r="AD157" s="34"/>
    </row>
    <row r="158" ht="13.5" customHeight="1">
      <c r="A158" s="118"/>
      <c r="B158" s="119"/>
      <c r="C158" s="119"/>
      <c r="D158" s="120"/>
      <c r="E158" s="121"/>
      <c r="F158" s="121"/>
      <c r="G158" s="121"/>
      <c r="H158" s="121"/>
      <c r="I158" s="122" t="s">
        <v>329</v>
      </c>
      <c r="J158" s="123">
        <f t="shared" ref="J158:Q158" si="4">SUM(J8:J157)</f>
        <v>932</v>
      </c>
      <c r="K158" s="123">
        <f t="shared" si="4"/>
        <v>702</v>
      </c>
      <c r="L158" s="123">
        <f t="shared" si="4"/>
        <v>19</v>
      </c>
      <c r="M158" s="123">
        <f t="shared" si="4"/>
        <v>107</v>
      </c>
      <c r="N158" s="123">
        <f t="shared" si="4"/>
        <v>120</v>
      </c>
      <c r="O158" s="123">
        <f t="shared" si="4"/>
        <v>289</v>
      </c>
      <c r="P158" s="123">
        <f t="shared" si="4"/>
        <v>100</v>
      </c>
      <c r="Q158" s="123">
        <f t="shared" si="4"/>
        <v>509</v>
      </c>
      <c r="R158" s="124"/>
      <c r="S158" s="124"/>
      <c r="T158" s="125"/>
      <c r="U158" s="145" t="s">
        <v>330</v>
      </c>
      <c r="V158" s="5"/>
      <c r="W158" s="126">
        <f>COUNTIF(W8:W157,"YES")</f>
        <v>38</v>
      </c>
      <c r="Z158" s="34"/>
      <c r="AA158" s="34"/>
      <c r="AB158" s="34"/>
      <c r="AC158" s="34"/>
      <c r="AD158" s="34"/>
    </row>
    <row r="159" ht="13.5" customHeight="1">
      <c r="A159" s="127"/>
      <c r="B159" s="128"/>
      <c r="C159" s="128"/>
      <c r="D159" s="129"/>
      <c r="E159" s="130"/>
      <c r="F159" s="130"/>
      <c r="G159" s="130"/>
      <c r="H159" s="130"/>
      <c r="I159" s="130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46" t="s">
        <v>331</v>
      </c>
      <c r="V159" s="147"/>
      <c r="W159" s="126" t="s">
        <v>116</v>
      </c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2:W2"/>
    <mergeCell ref="A3:B3"/>
    <mergeCell ref="C3:I3"/>
    <mergeCell ref="V3:W3"/>
    <mergeCell ref="A4:B4"/>
    <mergeCell ref="C4:I4"/>
    <mergeCell ref="V4:W4"/>
    <mergeCell ref="A5:B5"/>
    <mergeCell ref="C5:I5"/>
    <mergeCell ref="B6:D6"/>
    <mergeCell ref="E6:E7"/>
    <mergeCell ref="F6:F7"/>
    <mergeCell ref="G6:G7"/>
    <mergeCell ref="H6:H7"/>
    <mergeCell ref="I6:I7"/>
    <mergeCell ref="J6:J7"/>
    <mergeCell ref="K6:K7"/>
    <mergeCell ref="L6:P6"/>
    <mergeCell ref="Q6:Q7"/>
    <mergeCell ref="R6:R7"/>
    <mergeCell ref="S6:S7"/>
    <mergeCell ref="V6:V7"/>
    <mergeCell ref="U158:V158"/>
    <mergeCell ref="U159:V159"/>
    <mergeCell ref="T6:T7"/>
    <mergeCell ref="U6:U7"/>
    <mergeCell ref="W6:W7"/>
    <mergeCell ref="AA6:AD6"/>
    <mergeCell ref="AA7:AC7"/>
    <mergeCell ref="AA8:AC8"/>
    <mergeCell ref="AA9:AC9"/>
  </mergeCells>
  <dataValidations>
    <dataValidation type="list" allowBlank="1" sqref="W8:W157">
      <formula1>"YES,NO"</formula1>
    </dataValidation>
    <dataValidation type="list" allowBlank="1" showErrorMessage="1" sqref="E158:E159">
      <formula1>'Data Dont Use'!$A$8:$A$9</formula1>
    </dataValidation>
    <dataValidation type="list" allowBlank="1" showErrorMessage="1" sqref="G158:G159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21.75"/>
    <col customWidth="1" min="3" max="3" width="36.88"/>
    <col customWidth="1" min="4" max="4" width="16.38"/>
    <col customWidth="1" min="5" max="5" width="24.75"/>
    <col customWidth="1" min="6" max="7" width="16.38"/>
    <col customWidth="1" min="8" max="8" width="20.5"/>
    <col customWidth="1" min="9" max="9" width="32.5"/>
    <col customWidth="1" min="10" max="14" width="13.38"/>
    <col customWidth="1" min="15" max="15" width="11.5"/>
    <col customWidth="1" min="16" max="17" width="11.13"/>
    <col customWidth="1" min="18" max="18" width="11.88"/>
    <col customWidth="1" min="19" max="19" width="13.0"/>
    <col customWidth="1" min="20" max="20" width="15.13"/>
    <col customWidth="1" min="21" max="21" width="14.63"/>
    <col customWidth="1" min="22" max="22" width="25.13"/>
    <col customWidth="1" min="23" max="23" width="9.88"/>
    <col customWidth="1" min="24" max="24" width="9.75"/>
    <col customWidth="1" min="25" max="25" width="4.38"/>
    <col customWidth="1" min="26" max="26" width="23.38"/>
    <col customWidth="1" min="27" max="27" width="14.13"/>
    <col customWidth="1" min="28" max="28" width="22.63"/>
    <col customWidth="1" min="29" max="30" width="8.0"/>
    <col customWidth="1" min="31" max="31" width="22.63"/>
    <col customWidth="1" min="32" max="41" width="8.0"/>
  </cols>
  <sheetData>
    <row r="1" ht="1.5" customHeight="1">
      <c r="A1" s="230"/>
      <c r="B1" s="230"/>
      <c r="C1" s="230"/>
      <c r="D1" s="230"/>
      <c r="E1" s="230"/>
      <c r="F1" s="230"/>
      <c r="G1" s="230"/>
      <c r="H1" s="230"/>
      <c r="I1" s="230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ht="15.75" customHeight="1">
      <c r="A2" s="1" t="s">
        <v>630</v>
      </c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5"/>
    </row>
    <row r="3" ht="16.5" customHeight="1">
      <c r="A3" s="6" t="s">
        <v>1</v>
      </c>
      <c r="B3" s="5"/>
      <c r="C3" s="225" t="s">
        <v>1949</v>
      </c>
      <c r="D3" s="18"/>
      <c r="E3" s="18"/>
      <c r="F3" s="18"/>
      <c r="G3" s="18"/>
      <c r="H3" s="18"/>
      <c r="I3" s="5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22.5" customHeight="1">
      <c r="A4" s="6" t="s">
        <v>3</v>
      </c>
      <c r="B4" s="5"/>
      <c r="C4" s="225" t="s">
        <v>1950</v>
      </c>
      <c r="D4" s="18"/>
      <c r="E4" s="18"/>
      <c r="F4" s="18"/>
      <c r="G4" s="18"/>
      <c r="H4" s="18"/>
      <c r="I4" s="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  <c r="W4" s="5"/>
    </row>
    <row r="5" ht="15.75" customHeight="1">
      <c r="A5" s="12" t="s">
        <v>5</v>
      </c>
      <c r="B5" s="5"/>
      <c r="C5" s="225" t="s">
        <v>1951</v>
      </c>
      <c r="D5" s="18"/>
      <c r="E5" s="18"/>
      <c r="F5" s="18"/>
      <c r="G5" s="18"/>
      <c r="H5" s="18"/>
      <c r="I5" s="5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4"/>
      <c r="W5" s="15"/>
    </row>
    <row r="6" ht="34.5" customHeight="1">
      <c r="A6" s="16"/>
      <c r="B6" s="17" t="s">
        <v>6</v>
      </c>
      <c r="C6" s="18"/>
      <c r="D6" s="5"/>
      <c r="E6" s="19" t="s">
        <v>7</v>
      </c>
      <c r="F6" s="19" t="s">
        <v>8</v>
      </c>
      <c r="G6" s="19" t="s">
        <v>9</v>
      </c>
      <c r="H6" s="19" t="s">
        <v>10</v>
      </c>
      <c r="I6" s="20" t="s">
        <v>11</v>
      </c>
      <c r="J6" s="21" t="s">
        <v>12</v>
      </c>
      <c r="K6" s="21" t="s">
        <v>13</v>
      </c>
      <c r="L6" s="22" t="s">
        <v>14</v>
      </c>
      <c r="M6" s="23"/>
      <c r="N6" s="23"/>
      <c r="O6" s="23"/>
      <c r="P6" s="24"/>
      <c r="Q6" s="25" t="s">
        <v>15</v>
      </c>
      <c r="R6" s="25" t="s">
        <v>16</v>
      </c>
      <c r="S6" s="26" t="s">
        <v>17</v>
      </c>
      <c r="T6" s="26" t="s">
        <v>18</v>
      </c>
      <c r="U6" s="26" t="s">
        <v>19</v>
      </c>
      <c r="V6" s="26" t="s">
        <v>20</v>
      </c>
      <c r="W6" s="27" t="s">
        <v>21</v>
      </c>
      <c r="X6" s="34"/>
      <c r="Y6" s="34"/>
      <c r="Z6" s="34"/>
      <c r="AA6" s="35" t="s">
        <v>31</v>
      </c>
      <c r="AB6" s="18"/>
      <c r="AC6" s="18"/>
      <c r="AD6" s="5"/>
      <c r="AE6" s="231"/>
      <c r="AF6" s="231"/>
      <c r="AG6" s="232"/>
      <c r="AH6" s="34"/>
      <c r="AI6" s="34"/>
      <c r="AJ6" s="34"/>
      <c r="AK6" s="34"/>
      <c r="AL6" s="34"/>
      <c r="AM6" s="34"/>
      <c r="AN6" s="34"/>
      <c r="AO6" s="34"/>
    </row>
    <row r="7" ht="28.5" customHeight="1">
      <c r="A7" s="28" t="s">
        <v>22</v>
      </c>
      <c r="B7" s="28" t="s">
        <v>23</v>
      </c>
      <c r="C7" s="28" t="s">
        <v>24</v>
      </c>
      <c r="D7" s="28" t="s">
        <v>25</v>
      </c>
      <c r="E7" s="29"/>
      <c r="F7" s="29"/>
      <c r="G7" s="29"/>
      <c r="H7" s="29"/>
      <c r="I7" s="30"/>
      <c r="J7" s="31"/>
      <c r="K7" s="31"/>
      <c r="L7" s="32" t="s">
        <v>26</v>
      </c>
      <c r="M7" s="33" t="s">
        <v>27</v>
      </c>
      <c r="N7" s="32" t="s">
        <v>28</v>
      </c>
      <c r="O7" s="32" t="s">
        <v>29</v>
      </c>
      <c r="P7" s="32" t="s">
        <v>30</v>
      </c>
      <c r="Q7" s="31"/>
      <c r="R7" s="31"/>
      <c r="S7" s="31"/>
      <c r="T7" s="31"/>
      <c r="U7" s="31"/>
      <c r="V7" s="31"/>
      <c r="W7" s="31"/>
      <c r="X7" s="233"/>
      <c r="Y7" s="233"/>
      <c r="Z7" s="34"/>
      <c r="AA7" s="45" t="s">
        <v>36</v>
      </c>
      <c r="AB7" s="18"/>
      <c r="AC7" s="5"/>
      <c r="AD7" s="46">
        <f>COUNTIF(D8:D157, "Male")</f>
        <v>0</v>
      </c>
      <c r="AE7" s="234"/>
      <c r="AF7" s="235"/>
      <c r="AG7" s="236"/>
      <c r="AH7" s="34"/>
      <c r="AI7" s="34"/>
      <c r="AJ7" s="34"/>
      <c r="AK7" s="34"/>
      <c r="AL7" s="34"/>
      <c r="AM7" s="34"/>
      <c r="AN7" s="34"/>
      <c r="AO7" s="34"/>
    </row>
    <row r="8" ht="21.0" customHeight="1">
      <c r="A8" s="28">
        <v>1.0</v>
      </c>
      <c r="B8" s="37" t="s">
        <v>1952</v>
      </c>
      <c r="C8" s="37" t="s">
        <v>1354</v>
      </c>
      <c r="D8" s="37" t="s">
        <v>1953</v>
      </c>
      <c r="E8" s="133" t="s">
        <v>338</v>
      </c>
      <c r="F8" s="134">
        <v>46.0</v>
      </c>
      <c r="G8" s="134" t="s">
        <v>385</v>
      </c>
      <c r="H8" s="134" t="s">
        <v>1954</v>
      </c>
      <c r="I8" s="134">
        <v>9.06094384E8</v>
      </c>
      <c r="J8" s="54">
        <v>29.0</v>
      </c>
      <c r="K8" s="55">
        <v>24.0</v>
      </c>
      <c r="L8" s="55">
        <v>0.0</v>
      </c>
      <c r="M8" s="55">
        <v>5.0</v>
      </c>
      <c r="N8" s="43">
        <f t="shared" ref="N8:N58" si="1">(L8+M8)</f>
        <v>5</v>
      </c>
      <c r="O8" s="55">
        <v>3.0</v>
      </c>
      <c r="P8" s="55">
        <v>0.0</v>
      </c>
      <c r="Q8" s="43">
        <f t="shared" ref="Q8:Q143" si="2">SUM(N8:P8)</f>
        <v>8</v>
      </c>
      <c r="R8" s="43"/>
      <c r="S8" s="43"/>
      <c r="T8" s="43"/>
      <c r="U8" s="43"/>
      <c r="V8" s="55" t="s">
        <v>1955</v>
      </c>
      <c r="W8" s="56" t="s">
        <v>46</v>
      </c>
      <c r="X8" s="233"/>
      <c r="Y8" s="233"/>
      <c r="Z8" s="34"/>
      <c r="AA8" s="45" t="s">
        <v>41</v>
      </c>
      <c r="AB8" s="18"/>
      <c r="AC8" s="5"/>
      <c r="AD8" s="46">
        <f>COUNTIF(D8:D157, "Female")</f>
        <v>0</v>
      </c>
      <c r="AE8" s="234"/>
      <c r="AF8" s="235"/>
      <c r="AG8" s="236"/>
      <c r="AH8" s="34"/>
      <c r="AI8" s="34"/>
      <c r="AJ8" s="34"/>
      <c r="AK8" s="34"/>
      <c r="AL8" s="34"/>
      <c r="AM8" s="34"/>
      <c r="AN8" s="34"/>
      <c r="AO8" s="34"/>
    </row>
    <row r="9" ht="15.75" customHeight="1">
      <c r="A9" s="28">
        <v>2.0</v>
      </c>
      <c r="B9" s="37" t="s">
        <v>1956</v>
      </c>
      <c r="C9" s="37" t="s">
        <v>1957</v>
      </c>
      <c r="D9" s="37" t="s">
        <v>1958</v>
      </c>
      <c r="E9" s="133" t="s">
        <v>338</v>
      </c>
      <c r="F9" s="134">
        <v>45.0</v>
      </c>
      <c r="G9" s="134" t="s">
        <v>339</v>
      </c>
      <c r="H9" s="134" t="s">
        <v>663</v>
      </c>
      <c r="I9" s="134">
        <v>9.287251773E9</v>
      </c>
      <c r="J9" s="54">
        <v>21.0</v>
      </c>
      <c r="K9" s="55">
        <v>11.0</v>
      </c>
      <c r="L9" s="55">
        <v>4.0</v>
      </c>
      <c r="M9" s="55">
        <v>6.0</v>
      </c>
      <c r="N9" s="43">
        <f t="shared" si="1"/>
        <v>10</v>
      </c>
      <c r="O9" s="55">
        <v>11.0</v>
      </c>
      <c r="P9" s="55">
        <v>0.0</v>
      </c>
      <c r="Q9" s="43">
        <f t="shared" si="2"/>
        <v>21</v>
      </c>
      <c r="R9" s="43"/>
      <c r="S9" s="55" t="s">
        <v>88</v>
      </c>
      <c r="T9" s="43"/>
      <c r="U9" s="43"/>
      <c r="V9" s="43"/>
      <c r="W9" s="56" t="s">
        <v>46</v>
      </c>
      <c r="X9" s="34"/>
      <c r="Y9" s="34"/>
      <c r="Z9" s="34"/>
      <c r="AA9" s="45" t="s">
        <v>47</v>
      </c>
      <c r="AB9" s="18"/>
      <c r="AC9" s="5"/>
      <c r="AD9" s="46">
        <f>COUNTIF(B8:B157, "National")</f>
        <v>0</v>
      </c>
      <c r="AE9" s="234"/>
      <c r="AF9" s="235"/>
      <c r="AG9" s="236"/>
      <c r="AH9" s="34"/>
      <c r="AI9" s="34"/>
      <c r="AJ9" s="34"/>
      <c r="AK9" s="34"/>
      <c r="AL9" s="34"/>
      <c r="AM9" s="34"/>
      <c r="AN9" s="34"/>
      <c r="AO9" s="34"/>
    </row>
    <row r="10" ht="15.75" customHeight="1">
      <c r="A10" s="28">
        <v>3.0</v>
      </c>
      <c r="B10" s="237" t="s">
        <v>1959</v>
      </c>
      <c r="C10" s="37" t="s">
        <v>1960</v>
      </c>
      <c r="D10" s="37" t="s">
        <v>1961</v>
      </c>
      <c r="E10" s="133" t="s">
        <v>338</v>
      </c>
      <c r="F10" s="134">
        <v>29.0</v>
      </c>
      <c r="G10" s="134" t="s">
        <v>339</v>
      </c>
      <c r="H10" s="134" t="s">
        <v>1312</v>
      </c>
      <c r="I10" s="134">
        <v>9.06826743E9</v>
      </c>
      <c r="J10" s="54">
        <v>29.0</v>
      </c>
      <c r="K10" s="55">
        <v>23.0</v>
      </c>
      <c r="L10" s="55">
        <v>0.0</v>
      </c>
      <c r="M10" s="55">
        <v>5.0</v>
      </c>
      <c r="N10" s="43">
        <f t="shared" si="1"/>
        <v>5</v>
      </c>
      <c r="O10" s="55">
        <v>3.0</v>
      </c>
      <c r="P10" s="55">
        <v>1.0</v>
      </c>
      <c r="Q10" s="43">
        <f t="shared" si="2"/>
        <v>9</v>
      </c>
      <c r="R10" s="43"/>
      <c r="S10" s="55" t="s">
        <v>277</v>
      </c>
      <c r="T10" s="43"/>
      <c r="U10" s="43"/>
      <c r="V10" s="43"/>
      <c r="W10" s="56" t="s">
        <v>46</v>
      </c>
      <c r="X10" s="34"/>
      <c r="Y10" s="34"/>
      <c r="Z10" s="34"/>
      <c r="AA10" s="58" t="s">
        <v>52</v>
      </c>
      <c r="AB10" s="58"/>
      <c r="AC10" s="58"/>
      <c r="AD10" s="46">
        <f>COUNTIF(B8:B157, "Local School Board")</f>
        <v>0</v>
      </c>
      <c r="AE10" s="238"/>
      <c r="AF10" s="238"/>
      <c r="AG10" s="236"/>
      <c r="AH10" s="34"/>
      <c r="AI10" s="34"/>
      <c r="AJ10" s="34"/>
      <c r="AK10" s="34"/>
      <c r="AL10" s="34"/>
      <c r="AM10" s="34"/>
      <c r="AN10" s="34"/>
      <c r="AO10" s="34"/>
    </row>
    <row r="11" ht="15.75" customHeight="1">
      <c r="A11" s="28">
        <v>4.0</v>
      </c>
      <c r="B11" s="237" t="s">
        <v>1656</v>
      </c>
      <c r="C11" s="37" t="s">
        <v>1686</v>
      </c>
      <c r="D11" s="37" t="s">
        <v>1962</v>
      </c>
      <c r="E11" s="133" t="s">
        <v>338</v>
      </c>
      <c r="F11" s="208">
        <v>47.0</v>
      </c>
      <c r="G11" s="134" t="s">
        <v>339</v>
      </c>
      <c r="H11" s="134" t="s">
        <v>435</v>
      </c>
      <c r="I11" s="208">
        <v>9.1023896E9</v>
      </c>
      <c r="J11" s="54">
        <v>26.0</v>
      </c>
      <c r="K11" s="55">
        <v>23.0</v>
      </c>
      <c r="L11" s="55">
        <v>0.0</v>
      </c>
      <c r="M11" s="55">
        <v>3.0</v>
      </c>
      <c r="N11" s="43">
        <f t="shared" si="1"/>
        <v>3</v>
      </c>
      <c r="O11" s="55">
        <v>4.0</v>
      </c>
      <c r="P11" s="55">
        <v>0.0</v>
      </c>
      <c r="Q11" s="43">
        <f t="shared" si="2"/>
        <v>7</v>
      </c>
      <c r="R11" s="43"/>
      <c r="S11" s="43"/>
      <c r="T11" s="43"/>
      <c r="U11" s="43"/>
      <c r="V11" s="43"/>
      <c r="W11" s="56" t="s">
        <v>46</v>
      </c>
      <c r="X11" s="34"/>
      <c r="Y11" s="34"/>
      <c r="Z11" s="34"/>
      <c r="AA11" s="58" t="s">
        <v>57</v>
      </c>
      <c r="AB11" s="58"/>
      <c r="AC11" s="58"/>
      <c r="AD11" s="46">
        <f>SUM(AD7:AD8)</f>
        <v>0</v>
      </c>
      <c r="AE11" s="238"/>
      <c r="AF11" s="238"/>
      <c r="AG11" s="236"/>
      <c r="AH11" s="34"/>
      <c r="AI11" s="34"/>
      <c r="AJ11" s="34"/>
      <c r="AK11" s="34"/>
      <c r="AL11" s="34"/>
      <c r="AM11" s="34"/>
      <c r="AN11" s="34"/>
      <c r="AO11" s="34"/>
    </row>
    <row r="12" ht="15.75" customHeight="1">
      <c r="A12" s="28">
        <v>5.0</v>
      </c>
      <c r="B12" s="237" t="s">
        <v>1963</v>
      </c>
      <c r="C12" s="37" t="s">
        <v>1964</v>
      </c>
      <c r="D12" s="37" t="s">
        <v>1965</v>
      </c>
      <c r="E12" s="133" t="s">
        <v>338</v>
      </c>
      <c r="F12" s="134">
        <v>27.0</v>
      </c>
      <c r="G12" s="134" t="s">
        <v>339</v>
      </c>
      <c r="H12" s="134" t="s">
        <v>435</v>
      </c>
      <c r="I12" s="163" t="s">
        <v>1966</v>
      </c>
      <c r="J12" s="54">
        <v>29.0</v>
      </c>
      <c r="K12" s="55">
        <v>23.0</v>
      </c>
      <c r="L12" s="55">
        <v>0.0</v>
      </c>
      <c r="M12" s="55">
        <v>0.0</v>
      </c>
      <c r="N12" s="43">
        <f t="shared" si="1"/>
        <v>0</v>
      </c>
      <c r="O12" s="55">
        <v>3.0</v>
      </c>
      <c r="P12" s="55">
        <v>6.0</v>
      </c>
      <c r="Q12" s="43">
        <f t="shared" si="2"/>
        <v>9</v>
      </c>
      <c r="R12" s="43"/>
      <c r="S12" s="55" t="s">
        <v>277</v>
      </c>
      <c r="T12" s="43"/>
      <c r="U12" s="43"/>
      <c r="V12" s="43"/>
      <c r="W12" s="56" t="s">
        <v>46</v>
      </c>
      <c r="X12" s="34"/>
      <c r="Y12" s="34"/>
      <c r="Z12" s="34"/>
      <c r="AA12" s="60" t="s">
        <v>62</v>
      </c>
      <c r="AB12" s="58"/>
      <c r="AC12" s="58"/>
      <c r="AD12" s="46" t="str">
        <f>W157</f>
        <v>YES</v>
      </c>
      <c r="AE12" s="238"/>
      <c r="AF12" s="238"/>
      <c r="AG12" s="236"/>
      <c r="AH12" s="34"/>
      <c r="AI12" s="34"/>
      <c r="AJ12" s="34"/>
      <c r="AK12" s="34"/>
      <c r="AL12" s="34"/>
      <c r="AM12" s="34"/>
      <c r="AN12" s="34"/>
      <c r="AO12" s="34"/>
    </row>
    <row r="13" ht="15.75" customHeight="1">
      <c r="A13" s="28">
        <v>6.0</v>
      </c>
      <c r="B13" s="239" t="s">
        <v>1941</v>
      </c>
      <c r="C13" s="37" t="s">
        <v>1967</v>
      </c>
      <c r="D13" s="37" t="s">
        <v>1968</v>
      </c>
      <c r="E13" s="133" t="s">
        <v>338</v>
      </c>
      <c r="F13" s="134">
        <v>28.0</v>
      </c>
      <c r="G13" s="134" t="s">
        <v>339</v>
      </c>
      <c r="H13" s="134" t="s">
        <v>435</v>
      </c>
      <c r="I13" s="134">
        <v>9.506862123E9</v>
      </c>
      <c r="J13" s="54">
        <v>26.0</v>
      </c>
      <c r="K13" s="55">
        <v>15.0</v>
      </c>
      <c r="L13" s="55">
        <v>1.0</v>
      </c>
      <c r="M13" s="55">
        <v>4.0</v>
      </c>
      <c r="N13" s="43">
        <f t="shared" si="1"/>
        <v>5</v>
      </c>
      <c r="O13" s="55">
        <v>6.0</v>
      </c>
      <c r="P13" s="55">
        <v>6.0</v>
      </c>
      <c r="Q13" s="43">
        <f t="shared" si="2"/>
        <v>17</v>
      </c>
      <c r="R13" s="43"/>
      <c r="S13" s="55" t="s">
        <v>277</v>
      </c>
      <c r="T13" s="43"/>
      <c r="U13" s="43"/>
      <c r="V13" s="43"/>
      <c r="W13" s="56" t="s">
        <v>46</v>
      </c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</row>
    <row r="14" ht="15.75" customHeight="1">
      <c r="A14" s="28">
        <v>7.0</v>
      </c>
      <c r="B14" s="240" t="s">
        <v>1969</v>
      </c>
      <c r="C14" s="37" t="s">
        <v>1970</v>
      </c>
      <c r="D14" s="37" t="s">
        <v>1971</v>
      </c>
      <c r="E14" s="133" t="s">
        <v>338</v>
      </c>
      <c r="F14" s="134">
        <v>29.0</v>
      </c>
      <c r="G14" s="134" t="s">
        <v>339</v>
      </c>
      <c r="H14" s="134" t="s">
        <v>435</v>
      </c>
      <c r="I14" s="134">
        <v>9.5663206E9</v>
      </c>
      <c r="J14" s="54">
        <v>28.0</v>
      </c>
      <c r="K14" s="55">
        <v>25.0</v>
      </c>
      <c r="L14" s="55">
        <v>0.0</v>
      </c>
      <c r="M14" s="55">
        <v>1.0</v>
      </c>
      <c r="N14" s="43">
        <f t="shared" si="1"/>
        <v>1</v>
      </c>
      <c r="O14" s="55">
        <v>4.0</v>
      </c>
      <c r="P14" s="55">
        <v>2.0</v>
      </c>
      <c r="Q14" s="43">
        <f t="shared" si="2"/>
        <v>7</v>
      </c>
      <c r="R14" s="43"/>
      <c r="S14" s="43"/>
      <c r="T14" s="43"/>
      <c r="U14" s="43"/>
      <c r="V14" s="43"/>
      <c r="W14" s="56" t="s">
        <v>46</v>
      </c>
      <c r="X14" s="61"/>
      <c r="Y14" s="61"/>
      <c r="Z14" s="61" t="s">
        <v>70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</row>
    <row r="15" ht="15.75" customHeight="1">
      <c r="A15" s="28">
        <v>8.0</v>
      </c>
      <c r="B15" s="237" t="s">
        <v>1972</v>
      </c>
      <c r="C15" s="37" t="s">
        <v>1973</v>
      </c>
      <c r="D15" s="37" t="s">
        <v>1974</v>
      </c>
      <c r="E15" s="133" t="s">
        <v>338</v>
      </c>
      <c r="F15" s="134">
        <v>52.0</v>
      </c>
      <c r="G15" s="134" t="s">
        <v>339</v>
      </c>
      <c r="H15" s="134" t="s">
        <v>435</v>
      </c>
      <c r="I15" s="134">
        <v>9.934019004E9</v>
      </c>
      <c r="J15" s="54">
        <v>21.0</v>
      </c>
      <c r="K15" s="55">
        <v>17.0</v>
      </c>
      <c r="L15" s="55">
        <v>0.0</v>
      </c>
      <c r="M15" s="55">
        <v>2.0</v>
      </c>
      <c r="N15" s="43">
        <f t="shared" si="1"/>
        <v>2</v>
      </c>
      <c r="O15" s="55">
        <v>11.0</v>
      </c>
      <c r="P15" s="55">
        <v>2.0</v>
      </c>
      <c r="Q15" s="43">
        <f t="shared" si="2"/>
        <v>15</v>
      </c>
      <c r="R15" s="43"/>
      <c r="S15" s="55"/>
      <c r="T15" s="43"/>
      <c r="U15" s="43"/>
      <c r="V15" s="43"/>
      <c r="W15" s="56" t="s">
        <v>46</v>
      </c>
      <c r="X15" s="34"/>
      <c r="Y15" s="34"/>
      <c r="Z15" s="62"/>
      <c r="AA15" s="63" t="s">
        <v>74</v>
      </c>
      <c r="AB15" s="64">
        <f>COUNTIF(S7:S157, "CD")</f>
        <v>0</v>
      </c>
      <c r="AC15" s="62"/>
      <c r="AD15" s="62"/>
      <c r="AE15" s="66"/>
      <c r="AF15" s="34"/>
      <c r="AG15" s="34"/>
      <c r="AH15" s="34"/>
      <c r="AI15" s="34"/>
      <c r="AJ15" s="34"/>
      <c r="AK15" s="34"/>
      <c r="AL15" s="34"/>
      <c r="AM15" s="34"/>
      <c r="AN15" s="34"/>
      <c r="AO15" s="34"/>
    </row>
    <row r="16" ht="15.75" customHeight="1">
      <c r="A16" s="28">
        <v>9.0</v>
      </c>
      <c r="B16" s="237" t="s">
        <v>1975</v>
      </c>
      <c r="C16" s="37" t="s">
        <v>1976</v>
      </c>
      <c r="D16" s="37" t="s">
        <v>1977</v>
      </c>
      <c r="E16" s="133" t="s">
        <v>338</v>
      </c>
      <c r="F16" s="134">
        <v>30.0</v>
      </c>
      <c r="G16" s="134" t="s">
        <v>339</v>
      </c>
      <c r="H16" s="134" t="s">
        <v>435</v>
      </c>
      <c r="I16" s="134">
        <v>9.124804582E9</v>
      </c>
      <c r="J16" s="54">
        <v>27.0</v>
      </c>
      <c r="K16" s="55">
        <v>17.0</v>
      </c>
      <c r="L16" s="55">
        <v>0.0</v>
      </c>
      <c r="M16" s="55">
        <v>2.0</v>
      </c>
      <c r="N16" s="43">
        <f t="shared" si="1"/>
        <v>2</v>
      </c>
      <c r="O16" s="55">
        <v>2.0</v>
      </c>
      <c r="P16" s="55">
        <v>8.0</v>
      </c>
      <c r="Q16" s="43">
        <f t="shared" si="2"/>
        <v>12</v>
      </c>
      <c r="R16" s="43"/>
      <c r="S16" s="43"/>
      <c r="T16" s="43"/>
      <c r="U16" s="43"/>
      <c r="V16" s="43"/>
      <c r="W16" s="56" t="s">
        <v>46</v>
      </c>
      <c r="X16" s="34"/>
      <c r="Y16" s="34"/>
      <c r="Z16" s="34"/>
      <c r="AA16" s="65" t="s">
        <v>79</v>
      </c>
      <c r="AB16" s="66">
        <f>COUNTIF(S7:S157, "CDU")</f>
        <v>2</v>
      </c>
      <c r="AC16" s="34"/>
      <c r="AD16" s="34"/>
      <c r="AE16" s="66"/>
      <c r="AF16" s="34"/>
      <c r="AG16" s="34"/>
      <c r="AH16" s="34"/>
      <c r="AI16" s="34"/>
      <c r="AJ16" s="34"/>
      <c r="AK16" s="34"/>
      <c r="AL16" s="34"/>
      <c r="AM16" s="34"/>
      <c r="AN16" s="34"/>
      <c r="AO16" s="34"/>
    </row>
    <row r="17" ht="15.75" customHeight="1">
      <c r="A17" s="28">
        <v>10.0</v>
      </c>
      <c r="B17" s="237" t="s">
        <v>1978</v>
      </c>
      <c r="C17" s="37" t="s">
        <v>1548</v>
      </c>
      <c r="D17" s="37" t="s">
        <v>382</v>
      </c>
      <c r="E17" s="133" t="s">
        <v>338</v>
      </c>
      <c r="F17" s="134">
        <v>52.0</v>
      </c>
      <c r="G17" s="134" t="s">
        <v>339</v>
      </c>
      <c r="H17" s="134" t="s">
        <v>435</v>
      </c>
      <c r="I17" s="134">
        <v>9.198000721E9</v>
      </c>
      <c r="J17" s="54">
        <v>25.0</v>
      </c>
      <c r="K17" s="55">
        <v>18.0</v>
      </c>
      <c r="L17" s="55">
        <v>4.0</v>
      </c>
      <c r="M17" s="55">
        <v>3.0</v>
      </c>
      <c r="N17" s="43">
        <f t="shared" si="1"/>
        <v>7</v>
      </c>
      <c r="O17" s="55">
        <v>7.0</v>
      </c>
      <c r="P17" s="55">
        <v>0.0</v>
      </c>
      <c r="Q17" s="43">
        <f t="shared" si="2"/>
        <v>14</v>
      </c>
      <c r="R17" s="43"/>
      <c r="S17" s="43"/>
      <c r="T17" s="43"/>
      <c r="U17" s="43"/>
      <c r="V17" s="43"/>
      <c r="W17" s="56" t="s">
        <v>46</v>
      </c>
      <c r="X17" s="34"/>
      <c r="Y17" s="34"/>
      <c r="Z17" s="34"/>
      <c r="AA17" s="65" t="s">
        <v>83</v>
      </c>
      <c r="AB17" s="66">
        <f>COUNTIF(S7:S157, "CDL")</f>
        <v>0</v>
      </c>
      <c r="AC17" s="34"/>
      <c r="AD17" s="34"/>
      <c r="AE17" s="66"/>
      <c r="AF17" s="34"/>
      <c r="AG17" s="34"/>
      <c r="AH17" s="34"/>
      <c r="AI17" s="34"/>
      <c r="AJ17" s="34"/>
      <c r="AK17" s="34"/>
      <c r="AL17" s="34"/>
      <c r="AM17" s="34"/>
      <c r="AN17" s="34"/>
      <c r="AO17" s="34"/>
    </row>
    <row r="18" ht="15.75" customHeight="1">
      <c r="A18" s="28">
        <v>11.0</v>
      </c>
      <c r="B18" s="237" t="s">
        <v>341</v>
      </c>
      <c r="C18" s="37" t="s">
        <v>1979</v>
      </c>
      <c r="D18" s="37" t="s">
        <v>1980</v>
      </c>
      <c r="E18" s="133" t="s">
        <v>338</v>
      </c>
      <c r="F18" s="134">
        <v>57.0</v>
      </c>
      <c r="G18" s="134" t="s">
        <v>339</v>
      </c>
      <c r="H18" s="134" t="s">
        <v>646</v>
      </c>
      <c r="I18" s="134">
        <v>9.912567836E9</v>
      </c>
      <c r="J18" s="54">
        <v>20.0</v>
      </c>
      <c r="K18" s="55">
        <v>14.0</v>
      </c>
      <c r="L18" s="55">
        <v>2.0</v>
      </c>
      <c r="M18" s="55">
        <v>4.0</v>
      </c>
      <c r="N18" s="43">
        <f t="shared" si="1"/>
        <v>6</v>
      </c>
      <c r="O18" s="55">
        <v>12.0</v>
      </c>
      <c r="P18" s="55">
        <v>0.0</v>
      </c>
      <c r="Q18" s="43">
        <f t="shared" si="2"/>
        <v>18</v>
      </c>
      <c r="R18" s="43"/>
      <c r="S18" s="43"/>
      <c r="T18" s="43"/>
      <c r="U18" s="43"/>
      <c r="V18" s="43"/>
      <c r="W18" s="56" t="s">
        <v>46</v>
      </c>
      <c r="X18" s="34"/>
      <c r="Y18" s="34"/>
      <c r="Z18" s="34"/>
      <c r="AA18" s="61" t="s">
        <v>88</v>
      </c>
      <c r="AB18" s="66">
        <f>COUNTIF(S7:S157, "RPDU")</f>
        <v>24</v>
      </c>
      <c r="AC18" s="34"/>
      <c r="AD18" s="34"/>
      <c r="AE18" s="66"/>
      <c r="AF18" s="34"/>
      <c r="AG18" s="34"/>
      <c r="AH18" s="34"/>
      <c r="AI18" s="34"/>
      <c r="AJ18" s="34"/>
      <c r="AK18" s="34"/>
      <c r="AL18" s="34"/>
      <c r="AM18" s="34"/>
      <c r="AN18" s="34"/>
      <c r="AO18" s="34"/>
    </row>
    <row r="19" ht="15.75" customHeight="1">
      <c r="A19" s="28">
        <v>12.0</v>
      </c>
      <c r="B19" s="241" t="s">
        <v>1981</v>
      </c>
      <c r="C19" s="37" t="s">
        <v>1982</v>
      </c>
      <c r="D19" s="37" t="s">
        <v>1983</v>
      </c>
      <c r="E19" s="133" t="s">
        <v>338</v>
      </c>
      <c r="F19" s="134">
        <v>33.0</v>
      </c>
      <c r="G19" s="134" t="s">
        <v>385</v>
      </c>
      <c r="H19" s="134" t="s">
        <v>646</v>
      </c>
      <c r="I19" s="134">
        <v>9.458256692E9</v>
      </c>
      <c r="J19" s="54">
        <v>29.0</v>
      </c>
      <c r="K19" s="55">
        <v>28.0</v>
      </c>
      <c r="L19" s="55">
        <v>0.0</v>
      </c>
      <c r="M19" s="55">
        <v>1.0</v>
      </c>
      <c r="N19" s="43">
        <f t="shared" si="1"/>
        <v>1</v>
      </c>
      <c r="O19" s="55">
        <v>3.0</v>
      </c>
      <c r="P19" s="55">
        <v>0.0</v>
      </c>
      <c r="Q19" s="43">
        <f t="shared" si="2"/>
        <v>4</v>
      </c>
      <c r="R19" s="43"/>
      <c r="S19" s="43"/>
      <c r="T19" s="43"/>
      <c r="U19" s="43"/>
      <c r="V19" s="43"/>
      <c r="W19" s="56" t="s">
        <v>46</v>
      </c>
      <c r="X19" s="34"/>
      <c r="Y19" s="34"/>
      <c r="Z19" s="34"/>
      <c r="AA19" s="61" t="s">
        <v>93</v>
      </c>
      <c r="AB19" s="66">
        <f>COUNTIF(S7:S157, "RPDL")</f>
        <v>5</v>
      </c>
      <c r="AC19" s="34"/>
      <c r="AD19" s="34"/>
      <c r="AE19" s="66"/>
      <c r="AF19" s="34"/>
      <c r="AG19" s="34"/>
      <c r="AH19" s="34"/>
      <c r="AI19" s="34"/>
      <c r="AJ19" s="34"/>
      <c r="AK19" s="34"/>
      <c r="AL19" s="34"/>
      <c r="AM19" s="34"/>
      <c r="AN19" s="34"/>
      <c r="AO19" s="34"/>
    </row>
    <row r="20" ht="15.75" customHeight="1">
      <c r="A20" s="28">
        <v>13.0</v>
      </c>
      <c r="B20" s="242" t="s">
        <v>1984</v>
      </c>
      <c r="C20" s="37" t="s">
        <v>1731</v>
      </c>
      <c r="D20" s="37" t="s">
        <v>96</v>
      </c>
      <c r="E20" s="133" t="s">
        <v>338</v>
      </c>
      <c r="F20" s="134">
        <v>30.0</v>
      </c>
      <c r="G20" s="134" t="s">
        <v>339</v>
      </c>
      <c r="H20" s="134" t="s">
        <v>435</v>
      </c>
      <c r="I20" s="134">
        <v>9.064365168E9</v>
      </c>
      <c r="J20" s="54">
        <v>27.0</v>
      </c>
      <c r="K20" s="55">
        <v>20.0</v>
      </c>
      <c r="L20" s="55">
        <v>0.0</v>
      </c>
      <c r="M20" s="55">
        <v>0.0</v>
      </c>
      <c r="N20" s="43">
        <f t="shared" si="1"/>
        <v>0</v>
      </c>
      <c r="O20" s="55">
        <v>3.0</v>
      </c>
      <c r="P20" s="55">
        <v>7.0</v>
      </c>
      <c r="Q20" s="43">
        <f t="shared" si="2"/>
        <v>10</v>
      </c>
      <c r="R20" s="43"/>
      <c r="S20" s="43"/>
      <c r="T20" s="43"/>
      <c r="U20" s="43"/>
      <c r="V20" s="43"/>
      <c r="W20" s="56" t="s">
        <v>46</v>
      </c>
      <c r="X20" s="34"/>
      <c r="Y20" s="34"/>
      <c r="Z20" s="34"/>
      <c r="AA20" s="61" t="s">
        <v>97</v>
      </c>
      <c r="AB20" s="66">
        <f>COUNTIF(S7:S157, "RPDUL")</f>
        <v>3</v>
      </c>
      <c r="AC20" s="34"/>
      <c r="AD20" s="34"/>
      <c r="AE20" s="66"/>
      <c r="AF20" s="34"/>
      <c r="AG20" s="34"/>
      <c r="AH20" s="34"/>
      <c r="AI20" s="34"/>
      <c r="AJ20" s="34"/>
      <c r="AK20" s="34"/>
      <c r="AL20" s="34"/>
      <c r="AM20" s="34"/>
      <c r="AN20" s="34"/>
      <c r="AO20" s="34"/>
    </row>
    <row r="21" ht="15.75" customHeight="1">
      <c r="A21" s="28">
        <v>14.0</v>
      </c>
      <c r="B21" s="237" t="s">
        <v>1985</v>
      </c>
      <c r="C21" s="37" t="s">
        <v>1986</v>
      </c>
      <c r="D21" s="37" t="s">
        <v>1987</v>
      </c>
      <c r="E21" s="133" t="s">
        <v>338</v>
      </c>
      <c r="F21" s="134">
        <v>28.0</v>
      </c>
      <c r="G21" s="134" t="s">
        <v>339</v>
      </c>
      <c r="H21" s="134" t="s">
        <v>435</v>
      </c>
      <c r="I21" s="134">
        <v>9.306211039E9</v>
      </c>
      <c r="J21" s="54">
        <v>27.0</v>
      </c>
      <c r="K21" s="55">
        <v>19.0</v>
      </c>
      <c r="L21" s="55">
        <v>0.0</v>
      </c>
      <c r="M21" s="55">
        <v>1.0</v>
      </c>
      <c r="N21" s="43">
        <f t="shared" si="1"/>
        <v>1</v>
      </c>
      <c r="O21" s="55">
        <v>3.0</v>
      </c>
      <c r="P21" s="55">
        <v>7.0</v>
      </c>
      <c r="Q21" s="43">
        <f t="shared" si="2"/>
        <v>11</v>
      </c>
      <c r="R21" s="43"/>
      <c r="S21" s="43"/>
      <c r="T21" s="43"/>
      <c r="U21" s="43"/>
      <c r="V21" s="43"/>
      <c r="W21" s="56" t="s">
        <v>46</v>
      </c>
      <c r="X21" s="34"/>
      <c r="Y21" s="34"/>
      <c r="Z21" s="34"/>
      <c r="AA21" s="61" t="s">
        <v>101</v>
      </c>
      <c r="AB21" s="66">
        <f>COUNTIF(U7:U157, "JC")</f>
        <v>2</v>
      </c>
      <c r="AC21" s="34"/>
      <c r="AD21" s="34"/>
      <c r="AE21" s="66"/>
      <c r="AF21" s="34"/>
      <c r="AG21" s="34"/>
      <c r="AH21" s="34"/>
      <c r="AI21" s="34"/>
      <c r="AJ21" s="34"/>
      <c r="AK21" s="34"/>
      <c r="AL21" s="34"/>
      <c r="AM21" s="34"/>
      <c r="AN21" s="34"/>
      <c r="AO21" s="34"/>
    </row>
    <row r="22" ht="15.75" customHeight="1">
      <c r="A22" s="28">
        <v>15.0</v>
      </c>
      <c r="B22" s="237" t="s">
        <v>1988</v>
      </c>
      <c r="C22" s="37" t="s">
        <v>1193</v>
      </c>
      <c r="D22" s="37" t="s">
        <v>1989</v>
      </c>
      <c r="E22" s="133" t="s">
        <v>338</v>
      </c>
      <c r="F22" s="134">
        <v>42.0</v>
      </c>
      <c r="G22" s="134" t="s">
        <v>339</v>
      </c>
      <c r="H22" s="134" t="s">
        <v>646</v>
      </c>
      <c r="I22" s="163" t="s">
        <v>1990</v>
      </c>
      <c r="J22" s="54">
        <v>10.0</v>
      </c>
      <c r="K22" s="55">
        <v>8.0</v>
      </c>
      <c r="L22" s="55">
        <v>0.0</v>
      </c>
      <c r="M22" s="55">
        <v>1.0</v>
      </c>
      <c r="N22" s="43">
        <f t="shared" si="1"/>
        <v>1</v>
      </c>
      <c r="O22" s="55">
        <v>22.0</v>
      </c>
      <c r="P22" s="55">
        <v>1.0</v>
      </c>
      <c r="Q22" s="43">
        <f t="shared" si="2"/>
        <v>24</v>
      </c>
      <c r="R22" s="43"/>
      <c r="S22" s="55" t="s">
        <v>79</v>
      </c>
      <c r="T22" s="43"/>
      <c r="U22" s="43"/>
      <c r="V22" s="43"/>
      <c r="W22" s="56" t="s">
        <v>46</v>
      </c>
      <c r="X22" s="34"/>
      <c r="Y22" s="34"/>
      <c r="Z22" s="62"/>
      <c r="AA22" s="63" t="s">
        <v>105</v>
      </c>
      <c r="AB22" s="64">
        <f>COUNTIF(U7:U157, "FPD")</f>
        <v>0</v>
      </c>
      <c r="AC22" s="62"/>
      <c r="AD22" s="62"/>
      <c r="AE22" s="66"/>
      <c r="AF22" s="34"/>
      <c r="AG22" s="34"/>
      <c r="AH22" s="34"/>
      <c r="AI22" s="34"/>
      <c r="AJ22" s="34"/>
      <c r="AK22" s="34"/>
      <c r="AL22" s="34"/>
      <c r="AM22" s="34"/>
      <c r="AN22" s="34"/>
      <c r="AO22" s="34"/>
    </row>
    <row r="23" ht="15.75" customHeight="1">
      <c r="A23" s="28">
        <v>16.0</v>
      </c>
      <c r="B23" s="237" t="s">
        <v>1991</v>
      </c>
      <c r="C23" s="37" t="s">
        <v>1992</v>
      </c>
      <c r="D23" s="37" t="s">
        <v>1993</v>
      </c>
      <c r="E23" s="133" t="s">
        <v>338</v>
      </c>
      <c r="F23" s="134">
        <v>42.0</v>
      </c>
      <c r="G23" s="134" t="s">
        <v>339</v>
      </c>
      <c r="H23" s="134" t="s">
        <v>646</v>
      </c>
      <c r="I23" s="134">
        <v>9.947452428E9</v>
      </c>
      <c r="J23" s="54">
        <v>24.0</v>
      </c>
      <c r="K23" s="55">
        <v>17.0</v>
      </c>
      <c r="L23" s="55">
        <v>2.0</v>
      </c>
      <c r="M23" s="55">
        <v>5.0</v>
      </c>
      <c r="N23" s="43">
        <f t="shared" si="1"/>
        <v>7</v>
      </c>
      <c r="O23" s="55">
        <v>7.0</v>
      </c>
      <c r="P23" s="55">
        <v>0.0</v>
      </c>
      <c r="Q23" s="43">
        <f t="shared" si="2"/>
        <v>14</v>
      </c>
      <c r="R23" s="43"/>
      <c r="S23" s="43"/>
      <c r="T23" s="43"/>
      <c r="U23" s="43"/>
      <c r="V23" s="55" t="s">
        <v>1994</v>
      </c>
      <c r="W23" s="56" t="s">
        <v>46</v>
      </c>
      <c r="X23" s="34"/>
      <c r="Y23" s="34"/>
      <c r="Z23" s="34"/>
      <c r="AA23" s="61" t="s">
        <v>109</v>
      </c>
      <c r="AB23" s="66">
        <f>COUNTIF(S7:S157, "Ortho")</f>
        <v>12</v>
      </c>
      <c r="AC23" s="34"/>
      <c r="AD23" s="34"/>
      <c r="AE23" s="66"/>
      <c r="AF23" s="34"/>
      <c r="AG23" s="34"/>
      <c r="AH23" s="34"/>
      <c r="AI23" s="34"/>
      <c r="AJ23" s="34"/>
      <c r="AK23" s="34"/>
      <c r="AL23" s="34"/>
      <c r="AM23" s="34"/>
      <c r="AN23" s="34"/>
      <c r="AO23" s="34"/>
    </row>
    <row r="24" ht="15.75" customHeight="1">
      <c r="A24" s="28">
        <v>17.0</v>
      </c>
      <c r="B24" s="237" t="s">
        <v>1995</v>
      </c>
      <c r="C24" s="37" t="s">
        <v>1996</v>
      </c>
      <c r="D24" s="37" t="s">
        <v>1997</v>
      </c>
      <c r="E24" s="133" t="s">
        <v>338</v>
      </c>
      <c r="F24" s="134">
        <v>33.0</v>
      </c>
      <c r="G24" s="134" t="s">
        <v>385</v>
      </c>
      <c r="H24" s="134" t="s">
        <v>646</v>
      </c>
      <c r="I24" s="142"/>
      <c r="J24" s="54">
        <v>29.0</v>
      </c>
      <c r="K24" s="55">
        <v>26.0</v>
      </c>
      <c r="L24" s="55">
        <v>0.0</v>
      </c>
      <c r="M24" s="55">
        <v>3.0</v>
      </c>
      <c r="N24" s="43">
        <f t="shared" si="1"/>
        <v>3</v>
      </c>
      <c r="O24" s="55">
        <v>3.0</v>
      </c>
      <c r="P24" s="55">
        <v>0.0</v>
      </c>
      <c r="Q24" s="43">
        <f t="shared" si="2"/>
        <v>6</v>
      </c>
      <c r="R24" s="43"/>
      <c r="S24" s="43"/>
      <c r="T24" s="43"/>
      <c r="U24" s="43"/>
      <c r="V24" s="43"/>
      <c r="W24" s="56" t="s">
        <v>46</v>
      </c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</row>
    <row r="25" ht="15.75" customHeight="1">
      <c r="A25" s="28">
        <v>18.0</v>
      </c>
      <c r="B25" s="237" t="s">
        <v>1998</v>
      </c>
      <c r="C25" s="37" t="s">
        <v>1999</v>
      </c>
      <c r="D25" s="37" t="s">
        <v>2000</v>
      </c>
      <c r="E25" s="133" t="s">
        <v>338</v>
      </c>
      <c r="F25" s="134">
        <v>43.0</v>
      </c>
      <c r="G25" s="134" t="s">
        <v>339</v>
      </c>
      <c r="H25" s="134" t="s">
        <v>435</v>
      </c>
      <c r="I25" s="134">
        <v>9.363921106E9</v>
      </c>
      <c r="J25" s="54">
        <v>28.0</v>
      </c>
      <c r="K25" s="55">
        <v>21.0</v>
      </c>
      <c r="L25" s="55">
        <v>0.0</v>
      </c>
      <c r="M25" s="55">
        <v>7.0</v>
      </c>
      <c r="N25" s="43">
        <f t="shared" si="1"/>
        <v>7</v>
      </c>
      <c r="O25" s="55">
        <v>4.0</v>
      </c>
      <c r="P25" s="55">
        <v>0.0</v>
      </c>
      <c r="Q25" s="43">
        <f t="shared" si="2"/>
        <v>11</v>
      </c>
      <c r="R25" s="43"/>
      <c r="S25" s="43"/>
      <c r="T25" s="43"/>
      <c r="U25" s="43"/>
      <c r="V25" s="43"/>
      <c r="W25" s="56" t="s">
        <v>46</v>
      </c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</row>
    <row r="26" ht="15.75" customHeight="1">
      <c r="A26" s="28">
        <v>19.0</v>
      </c>
      <c r="B26" s="241" t="s">
        <v>2001</v>
      </c>
      <c r="C26" s="37" t="s">
        <v>2002</v>
      </c>
      <c r="D26" s="37" t="s">
        <v>2003</v>
      </c>
      <c r="E26" s="133" t="s">
        <v>338</v>
      </c>
      <c r="F26" s="134">
        <v>46.0</v>
      </c>
      <c r="G26" s="134" t="s">
        <v>339</v>
      </c>
      <c r="H26" s="134" t="s">
        <v>435</v>
      </c>
      <c r="I26" s="134">
        <v>9.269171324E9</v>
      </c>
      <c r="J26" s="54">
        <v>16.0</v>
      </c>
      <c r="K26" s="55">
        <v>10.0</v>
      </c>
      <c r="L26" s="55">
        <v>0.0</v>
      </c>
      <c r="M26" s="55">
        <v>6.0</v>
      </c>
      <c r="N26" s="43">
        <f t="shared" si="1"/>
        <v>6</v>
      </c>
      <c r="O26" s="55">
        <v>15.0</v>
      </c>
      <c r="P26" s="55">
        <v>0.0</v>
      </c>
      <c r="Q26" s="43">
        <f t="shared" si="2"/>
        <v>21</v>
      </c>
      <c r="R26" s="43"/>
      <c r="S26" s="55" t="s">
        <v>88</v>
      </c>
      <c r="T26" s="43"/>
      <c r="U26" s="43"/>
      <c r="V26" s="43"/>
      <c r="W26" s="243" t="s">
        <v>46</v>
      </c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</row>
    <row r="27" ht="15.75" customHeight="1">
      <c r="A27" s="28">
        <v>20.0</v>
      </c>
      <c r="B27" s="240" t="s">
        <v>2004</v>
      </c>
      <c r="C27" s="37" t="s">
        <v>2005</v>
      </c>
      <c r="D27" s="37" t="s">
        <v>2006</v>
      </c>
      <c r="E27" s="133" t="s">
        <v>338</v>
      </c>
      <c r="F27" s="134">
        <v>37.0</v>
      </c>
      <c r="G27" s="134" t="s">
        <v>339</v>
      </c>
      <c r="H27" s="134" t="s">
        <v>646</v>
      </c>
      <c r="I27" s="134">
        <v>9.656033122E9</v>
      </c>
      <c r="J27" s="54">
        <v>19.0</v>
      </c>
      <c r="K27" s="55">
        <v>13.0</v>
      </c>
      <c r="L27" s="55">
        <v>4.0</v>
      </c>
      <c r="M27" s="55">
        <v>0.0</v>
      </c>
      <c r="N27" s="43">
        <f t="shared" si="1"/>
        <v>4</v>
      </c>
      <c r="O27" s="55">
        <v>10.0</v>
      </c>
      <c r="P27" s="55">
        <v>2.0</v>
      </c>
      <c r="Q27" s="43">
        <f t="shared" si="2"/>
        <v>16</v>
      </c>
      <c r="R27" s="43"/>
      <c r="S27" s="55" t="s">
        <v>88</v>
      </c>
      <c r="T27" s="43"/>
      <c r="U27" s="43"/>
      <c r="V27" s="43"/>
      <c r="W27" s="56" t="s">
        <v>46</v>
      </c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</row>
    <row r="28" ht="15.75" customHeight="1">
      <c r="A28" s="28">
        <v>21.0</v>
      </c>
      <c r="B28" s="237" t="s">
        <v>2007</v>
      </c>
      <c r="C28" s="37" t="s">
        <v>2008</v>
      </c>
      <c r="D28" s="37" t="s">
        <v>2009</v>
      </c>
      <c r="E28" s="133" t="s">
        <v>338</v>
      </c>
      <c r="F28" s="134">
        <v>50.0</v>
      </c>
      <c r="G28" s="134" t="s">
        <v>339</v>
      </c>
      <c r="H28" s="134" t="s">
        <v>663</v>
      </c>
      <c r="I28" s="134">
        <v>9.955069148E9</v>
      </c>
      <c r="J28" s="54">
        <v>32.0</v>
      </c>
      <c r="K28" s="55">
        <v>23.0</v>
      </c>
      <c r="L28" s="55">
        <v>0.0</v>
      </c>
      <c r="M28" s="55">
        <v>2.0</v>
      </c>
      <c r="N28" s="43">
        <f t="shared" si="1"/>
        <v>2</v>
      </c>
      <c r="O28" s="55">
        <v>0.0</v>
      </c>
      <c r="P28" s="55">
        <v>7.0</v>
      </c>
      <c r="Q28" s="43">
        <f t="shared" si="2"/>
        <v>9</v>
      </c>
      <c r="R28" s="43"/>
      <c r="S28" s="43"/>
      <c r="T28" s="43"/>
      <c r="U28" s="43"/>
      <c r="V28" s="43"/>
      <c r="W28" s="56" t="s">
        <v>46</v>
      </c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</row>
    <row r="29" ht="15.75" customHeight="1">
      <c r="A29" s="28">
        <v>22.0</v>
      </c>
      <c r="B29" s="237" t="s">
        <v>2010</v>
      </c>
      <c r="C29" s="37" t="s">
        <v>2011</v>
      </c>
      <c r="D29" s="37" t="s">
        <v>1075</v>
      </c>
      <c r="E29" s="133" t="s">
        <v>338</v>
      </c>
      <c r="F29" s="134">
        <v>50.0</v>
      </c>
      <c r="G29" s="134" t="s">
        <v>339</v>
      </c>
      <c r="H29" s="134" t="s">
        <v>663</v>
      </c>
      <c r="I29" s="134">
        <v>9.605314284E9</v>
      </c>
      <c r="J29" s="54">
        <v>26.0</v>
      </c>
      <c r="K29" s="55">
        <v>23.0</v>
      </c>
      <c r="L29" s="55">
        <v>0.0</v>
      </c>
      <c r="M29" s="55">
        <v>0.0</v>
      </c>
      <c r="N29" s="43">
        <f t="shared" si="1"/>
        <v>0</v>
      </c>
      <c r="O29" s="55">
        <v>6.0</v>
      </c>
      <c r="P29" s="55">
        <v>3.0</v>
      </c>
      <c r="Q29" s="43">
        <f t="shared" si="2"/>
        <v>9</v>
      </c>
      <c r="R29" s="43"/>
      <c r="S29" s="43"/>
      <c r="T29" s="43"/>
      <c r="U29" s="43"/>
      <c r="V29" s="43"/>
      <c r="W29" s="56" t="s">
        <v>46</v>
      </c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</row>
    <row r="30" ht="15.75" customHeight="1">
      <c r="A30" s="28">
        <v>23.0</v>
      </c>
      <c r="B30" s="237" t="s">
        <v>1255</v>
      </c>
      <c r="C30" s="37" t="s">
        <v>2012</v>
      </c>
      <c r="D30" s="37" t="s">
        <v>2013</v>
      </c>
      <c r="E30" s="133" t="s">
        <v>338</v>
      </c>
      <c r="F30" s="134">
        <v>42.0</v>
      </c>
      <c r="G30" s="134" t="s">
        <v>385</v>
      </c>
      <c r="H30" s="134" t="s">
        <v>708</v>
      </c>
      <c r="I30" s="134">
        <v>9.605314774E9</v>
      </c>
      <c r="J30" s="54">
        <v>18.0</v>
      </c>
      <c r="K30" s="55">
        <v>10.0</v>
      </c>
      <c r="L30" s="55">
        <v>0.0</v>
      </c>
      <c r="M30" s="55">
        <v>8.0</v>
      </c>
      <c r="N30" s="43">
        <f t="shared" si="1"/>
        <v>8</v>
      </c>
      <c r="O30" s="55">
        <v>13.0</v>
      </c>
      <c r="P30" s="55">
        <v>0.0</v>
      </c>
      <c r="Q30" s="43">
        <f t="shared" si="2"/>
        <v>21</v>
      </c>
      <c r="R30" s="43"/>
      <c r="S30" s="55" t="s">
        <v>93</v>
      </c>
      <c r="T30" s="43"/>
      <c r="U30" s="43"/>
      <c r="V30" s="43"/>
      <c r="W30" s="56" t="s">
        <v>46</v>
      </c>
      <c r="X30" s="34"/>
      <c r="Y30" s="34"/>
      <c r="Z30" s="77" t="s">
        <v>18</v>
      </c>
      <c r="AA30" s="78"/>
      <c r="AB30" s="78"/>
      <c r="AC30" s="78"/>
      <c r="AD30" s="78"/>
      <c r="AE30" s="78"/>
      <c r="AF30" s="78"/>
      <c r="AG30" s="78"/>
      <c r="AH30" s="78"/>
      <c r="AI30" s="78"/>
      <c r="AJ30" s="34"/>
      <c r="AK30" s="34"/>
      <c r="AL30" s="34"/>
      <c r="AM30" s="34"/>
      <c r="AN30" s="34"/>
      <c r="AO30" s="34"/>
    </row>
    <row r="31" ht="15.75" customHeight="1">
      <c r="A31" s="28">
        <v>24.0</v>
      </c>
      <c r="B31" s="237" t="s">
        <v>2014</v>
      </c>
      <c r="C31" s="37" t="s">
        <v>1731</v>
      </c>
      <c r="D31" s="37" t="s">
        <v>2015</v>
      </c>
      <c r="E31" s="133" t="s">
        <v>338</v>
      </c>
      <c r="F31" s="134">
        <v>51.0</v>
      </c>
      <c r="G31" s="134" t="s">
        <v>339</v>
      </c>
      <c r="H31" s="134" t="s">
        <v>708</v>
      </c>
      <c r="I31" s="134">
        <v>9.50531478E9</v>
      </c>
      <c r="J31" s="54">
        <v>28.0</v>
      </c>
      <c r="K31" s="55">
        <v>26.0</v>
      </c>
      <c r="L31" s="55">
        <v>0.0</v>
      </c>
      <c r="M31" s="55">
        <v>0.0</v>
      </c>
      <c r="N31" s="43">
        <f t="shared" si="1"/>
        <v>0</v>
      </c>
      <c r="O31" s="55">
        <v>4.0</v>
      </c>
      <c r="P31" s="55">
        <v>2.0</v>
      </c>
      <c r="Q31" s="43">
        <f t="shared" si="2"/>
        <v>6</v>
      </c>
      <c r="R31" s="43"/>
      <c r="S31" s="43"/>
      <c r="T31" s="43"/>
      <c r="U31" s="43"/>
      <c r="V31" s="43"/>
      <c r="W31" s="56" t="s">
        <v>46</v>
      </c>
      <c r="X31" s="34"/>
      <c r="Y31" s="34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34"/>
      <c r="AK31" s="34"/>
      <c r="AL31" s="34"/>
      <c r="AM31" s="34"/>
      <c r="AN31" s="34"/>
      <c r="AO31" s="34"/>
    </row>
    <row r="32" ht="15.75" customHeight="1">
      <c r="A32" s="28">
        <v>25.0</v>
      </c>
      <c r="B32" s="237" t="s">
        <v>2016</v>
      </c>
      <c r="C32" s="37" t="s">
        <v>2017</v>
      </c>
      <c r="D32" s="37" t="s">
        <v>2018</v>
      </c>
      <c r="E32" s="133" t="s">
        <v>338</v>
      </c>
      <c r="F32" s="134">
        <v>43.0</v>
      </c>
      <c r="G32" s="134" t="s">
        <v>339</v>
      </c>
      <c r="H32" s="134" t="s">
        <v>646</v>
      </c>
      <c r="I32" s="134">
        <v>9.774739753E9</v>
      </c>
      <c r="J32" s="54">
        <v>18.0</v>
      </c>
      <c r="K32" s="55">
        <v>12.0</v>
      </c>
      <c r="L32" s="55">
        <v>1.0</v>
      </c>
      <c r="M32" s="55">
        <v>5.0</v>
      </c>
      <c r="N32" s="43">
        <f t="shared" si="1"/>
        <v>6</v>
      </c>
      <c r="O32" s="55">
        <v>14.0</v>
      </c>
      <c r="P32" s="55">
        <v>0.0</v>
      </c>
      <c r="Q32" s="43">
        <f t="shared" si="2"/>
        <v>20</v>
      </c>
      <c r="R32" s="43"/>
      <c r="S32" s="55" t="s">
        <v>88</v>
      </c>
      <c r="T32" s="43"/>
      <c r="U32" s="43"/>
      <c r="V32" s="43"/>
      <c r="W32" s="56" t="s">
        <v>46</v>
      </c>
      <c r="X32" s="34"/>
      <c r="Y32" s="34"/>
      <c r="Z32" s="61" t="s">
        <v>139</v>
      </c>
      <c r="AA32" s="61" t="s">
        <v>140</v>
      </c>
      <c r="AB32" s="66">
        <f>COUNTIF(T7:T157, "G")</f>
        <v>2</v>
      </c>
      <c r="AC32" s="34"/>
      <c r="AD32" s="34"/>
      <c r="AE32" s="66"/>
      <c r="AF32" s="34"/>
      <c r="AG32" s="34"/>
      <c r="AH32" s="34"/>
      <c r="AI32" s="34"/>
      <c r="AJ32" s="34"/>
      <c r="AK32" s="34"/>
      <c r="AL32" s="34"/>
      <c r="AM32" s="34"/>
      <c r="AN32" s="34"/>
      <c r="AO32" s="34"/>
    </row>
    <row r="33" ht="15.75" customHeight="1">
      <c r="A33" s="28">
        <v>26.0</v>
      </c>
      <c r="B33" s="241" t="s">
        <v>2019</v>
      </c>
      <c r="C33" s="37" t="s">
        <v>2020</v>
      </c>
      <c r="D33" s="37" t="s">
        <v>2021</v>
      </c>
      <c r="E33" s="133" t="s">
        <v>338</v>
      </c>
      <c r="F33" s="134">
        <v>41.0</v>
      </c>
      <c r="G33" s="134" t="s">
        <v>339</v>
      </c>
      <c r="H33" s="134" t="s">
        <v>708</v>
      </c>
      <c r="I33" s="134">
        <v>9.474341309E9</v>
      </c>
      <c r="J33" s="54">
        <v>22.0</v>
      </c>
      <c r="K33" s="55">
        <v>19.0</v>
      </c>
      <c r="L33" s="55">
        <v>0.0</v>
      </c>
      <c r="M33" s="55">
        <v>0.0</v>
      </c>
      <c r="N33" s="43">
        <f t="shared" si="1"/>
        <v>0</v>
      </c>
      <c r="O33" s="55">
        <v>8.0</v>
      </c>
      <c r="P33" s="55">
        <v>3.0</v>
      </c>
      <c r="Q33" s="43">
        <f t="shared" si="2"/>
        <v>11</v>
      </c>
      <c r="R33" s="43"/>
      <c r="S33" s="43"/>
      <c r="T33" s="43"/>
      <c r="U33" s="43"/>
      <c r="V33" s="43"/>
      <c r="W33" s="56" t="s">
        <v>46</v>
      </c>
      <c r="X33" s="34"/>
      <c r="Y33" s="34"/>
      <c r="Z33" s="61" t="s">
        <v>144</v>
      </c>
      <c r="AA33" s="61" t="s">
        <v>145</v>
      </c>
      <c r="AB33" s="66">
        <f>COUNTIF(T7:T157, "O")</f>
        <v>0</v>
      </c>
      <c r="AC33" s="34"/>
      <c r="AD33" s="34"/>
      <c r="AE33" s="66"/>
      <c r="AF33" s="34"/>
      <c r="AG33" s="34"/>
      <c r="AH33" s="34"/>
      <c r="AI33" s="34"/>
      <c r="AJ33" s="34"/>
      <c r="AK33" s="34"/>
      <c r="AL33" s="34"/>
      <c r="AM33" s="34"/>
      <c r="AN33" s="34"/>
      <c r="AO33" s="34"/>
    </row>
    <row r="34" ht="15.75" customHeight="1">
      <c r="A34" s="28">
        <v>27.0</v>
      </c>
      <c r="B34" s="244" t="s">
        <v>2022</v>
      </c>
      <c r="C34" s="37" t="s">
        <v>2023</v>
      </c>
      <c r="D34" s="37" t="s">
        <v>2024</v>
      </c>
      <c r="E34" s="133" t="s">
        <v>338</v>
      </c>
      <c r="F34" s="134">
        <v>55.0</v>
      </c>
      <c r="G34" s="134" t="s">
        <v>339</v>
      </c>
      <c r="H34" s="134" t="s">
        <v>435</v>
      </c>
      <c r="I34" s="163" t="s">
        <v>2025</v>
      </c>
      <c r="J34" s="54">
        <v>32.0</v>
      </c>
      <c r="K34" s="55">
        <v>31.0</v>
      </c>
      <c r="L34" s="55">
        <v>0.0</v>
      </c>
      <c r="M34" s="55">
        <v>1.0</v>
      </c>
      <c r="N34" s="43">
        <f t="shared" si="1"/>
        <v>1</v>
      </c>
      <c r="O34" s="55">
        <v>0.0</v>
      </c>
      <c r="P34" s="55">
        <v>0.0</v>
      </c>
      <c r="Q34" s="43">
        <f t="shared" si="2"/>
        <v>1</v>
      </c>
      <c r="R34" s="43"/>
      <c r="S34" s="43"/>
      <c r="T34" s="43"/>
      <c r="U34" s="43"/>
      <c r="V34" s="43"/>
      <c r="W34" s="56" t="s">
        <v>46</v>
      </c>
      <c r="X34" s="34"/>
      <c r="Y34" s="34"/>
      <c r="Z34" s="61"/>
      <c r="AA34" s="61"/>
      <c r="AB34" s="66"/>
      <c r="AC34" s="34"/>
      <c r="AD34" s="34"/>
      <c r="AE34" s="66"/>
      <c r="AF34" s="34"/>
      <c r="AG34" s="34"/>
      <c r="AH34" s="34"/>
      <c r="AI34" s="34"/>
      <c r="AJ34" s="34"/>
      <c r="AK34" s="34"/>
      <c r="AL34" s="34"/>
      <c r="AM34" s="34"/>
      <c r="AN34" s="34"/>
      <c r="AO34" s="34"/>
    </row>
    <row r="35" ht="15.75" customHeight="1">
      <c r="A35" s="28">
        <v>28.0</v>
      </c>
      <c r="B35" s="237" t="s">
        <v>2026</v>
      </c>
      <c r="C35" s="37" t="s">
        <v>1425</v>
      </c>
      <c r="D35" s="37" t="s">
        <v>1550</v>
      </c>
      <c r="E35" s="133" t="s">
        <v>338</v>
      </c>
      <c r="F35" s="134">
        <v>42.0</v>
      </c>
      <c r="G35" s="134" t="s">
        <v>339</v>
      </c>
      <c r="H35" s="134" t="s">
        <v>663</v>
      </c>
      <c r="I35" s="134">
        <v>9.394481309E9</v>
      </c>
      <c r="J35" s="54">
        <v>20.0</v>
      </c>
      <c r="K35" s="55">
        <v>14.0</v>
      </c>
      <c r="L35" s="55">
        <v>0.0</v>
      </c>
      <c r="M35" s="55">
        <v>1.0</v>
      </c>
      <c r="N35" s="43">
        <f t="shared" si="1"/>
        <v>1</v>
      </c>
      <c r="O35" s="55">
        <v>12.0</v>
      </c>
      <c r="P35" s="55">
        <v>5.0</v>
      </c>
      <c r="Q35" s="43">
        <f t="shared" si="2"/>
        <v>18</v>
      </c>
      <c r="R35" s="43"/>
      <c r="S35" s="55" t="s">
        <v>88</v>
      </c>
      <c r="T35" s="43"/>
      <c r="U35" s="43"/>
      <c r="V35" s="55"/>
      <c r="W35" s="56" t="s">
        <v>46</v>
      </c>
      <c r="X35" s="34"/>
      <c r="Y35" s="34"/>
      <c r="Z35" s="61"/>
      <c r="AA35" s="61"/>
      <c r="AB35" s="66"/>
      <c r="AC35" s="34"/>
      <c r="AD35" s="34"/>
      <c r="AE35" s="66"/>
      <c r="AF35" s="34"/>
      <c r="AG35" s="34"/>
      <c r="AH35" s="34"/>
      <c r="AI35" s="34"/>
      <c r="AJ35" s="34"/>
      <c r="AK35" s="34"/>
      <c r="AL35" s="34"/>
      <c r="AM35" s="34"/>
      <c r="AN35" s="34"/>
      <c r="AO35" s="34"/>
    </row>
    <row r="36" ht="15.75" customHeight="1">
      <c r="A36" s="28">
        <v>29.0</v>
      </c>
      <c r="B36" s="237" t="s">
        <v>999</v>
      </c>
      <c r="C36" s="37" t="s">
        <v>2027</v>
      </c>
      <c r="D36" s="37" t="s">
        <v>2028</v>
      </c>
      <c r="E36" s="133" t="s">
        <v>338</v>
      </c>
      <c r="F36" s="134">
        <v>33.0</v>
      </c>
      <c r="G36" s="134" t="s">
        <v>339</v>
      </c>
      <c r="H36" s="134" t="s">
        <v>435</v>
      </c>
      <c r="I36" s="142"/>
      <c r="J36" s="81"/>
      <c r="K36" s="43"/>
      <c r="L36" s="43"/>
      <c r="M36" s="43"/>
      <c r="N36" s="43">
        <f t="shared" si="1"/>
        <v>0</v>
      </c>
      <c r="O36" s="43"/>
      <c r="P36" s="43"/>
      <c r="Q36" s="43">
        <f t="shared" si="2"/>
        <v>0</v>
      </c>
      <c r="R36" s="43"/>
      <c r="S36" s="43"/>
      <c r="T36" s="43"/>
      <c r="U36" s="43"/>
      <c r="V36" s="43"/>
      <c r="W36" s="44"/>
      <c r="X36" s="34"/>
      <c r="Y36" s="34"/>
      <c r="Z36" s="61"/>
      <c r="AA36" s="61"/>
      <c r="AB36" s="66"/>
      <c r="AC36" s="34"/>
      <c r="AD36" s="34"/>
      <c r="AE36" s="66"/>
      <c r="AF36" s="34"/>
      <c r="AG36" s="34"/>
      <c r="AH36" s="34"/>
      <c r="AI36" s="34"/>
      <c r="AJ36" s="34"/>
      <c r="AK36" s="34"/>
      <c r="AL36" s="34"/>
      <c r="AM36" s="34"/>
      <c r="AN36" s="34"/>
      <c r="AO36" s="34"/>
    </row>
    <row r="37" ht="15.75" customHeight="1">
      <c r="A37" s="28">
        <v>30.0</v>
      </c>
      <c r="B37" s="237" t="s">
        <v>2029</v>
      </c>
      <c r="C37" s="37" t="s">
        <v>2030</v>
      </c>
      <c r="D37" s="37" t="s">
        <v>2031</v>
      </c>
      <c r="E37" s="133" t="s">
        <v>338</v>
      </c>
      <c r="F37" s="134">
        <v>47.0</v>
      </c>
      <c r="G37" s="134" t="s">
        <v>339</v>
      </c>
      <c r="H37" s="134" t="s">
        <v>435</v>
      </c>
      <c r="I37" s="134">
        <v>9.301444875E9</v>
      </c>
      <c r="J37" s="87">
        <v>11.0</v>
      </c>
      <c r="K37" s="55">
        <v>8.0</v>
      </c>
      <c r="L37" s="55">
        <v>0.0</v>
      </c>
      <c r="M37" s="55">
        <v>3.0</v>
      </c>
      <c r="N37" s="43">
        <f t="shared" si="1"/>
        <v>3</v>
      </c>
      <c r="O37" s="55">
        <v>21.0</v>
      </c>
      <c r="P37" s="55">
        <v>0.0</v>
      </c>
      <c r="Q37" s="43">
        <f t="shared" si="2"/>
        <v>24</v>
      </c>
      <c r="R37" s="43"/>
      <c r="S37" s="55" t="s">
        <v>88</v>
      </c>
      <c r="T37" s="43"/>
      <c r="U37" s="43"/>
      <c r="V37" s="43"/>
      <c r="W37" s="56" t="s">
        <v>46</v>
      </c>
      <c r="X37" s="34"/>
      <c r="Y37" s="34"/>
      <c r="Z37" s="84"/>
      <c r="AA37" s="84"/>
      <c r="AB37" s="85"/>
      <c r="AC37" s="86"/>
      <c r="AD37" s="86"/>
      <c r="AE37" s="66"/>
      <c r="AF37" s="34"/>
      <c r="AG37" s="34"/>
      <c r="AH37" s="34"/>
      <c r="AI37" s="34"/>
      <c r="AJ37" s="34"/>
      <c r="AK37" s="34"/>
      <c r="AL37" s="34"/>
      <c r="AM37" s="34"/>
      <c r="AN37" s="34"/>
      <c r="AO37" s="34"/>
    </row>
    <row r="38" ht="15.75" customHeight="1">
      <c r="A38" s="28">
        <v>31.0</v>
      </c>
      <c r="B38" s="237" t="s">
        <v>2032</v>
      </c>
      <c r="C38" s="37" t="s">
        <v>1228</v>
      </c>
      <c r="D38" s="37" t="s">
        <v>2033</v>
      </c>
      <c r="E38" s="133" t="s">
        <v>338</v>
      </c>
      <c r="F38" s="187">
        <v>42.0</v>
      </c>
      <c r="G38" s="134" t="s">
        <v>339</v>
      </c>
      <c r="H38" s="134" t="s">
        <v>435</v>
      </c>
      <c r="I38" s="187">
        <v>9.167774757E9</v>
      </c>
      <c r="J38" s="87">
        <v>29.0</v>
      </c>
      <c r="K38" s="55">
        <v>26.0</v>
      </c>
      <c r="L38" s="55">
        <v>0.0</v>
      </c>
      <c r="M38" s="55">
        <v>1.0</v>
      </c>
      <c r="N38" s="43">
        <f t="shared" si="1"/>
        <v>1</v>
      </c>
      <c r="O38" s="55">
        <v>3.0</v>
      </c>
      <c r="P38" s="55">
        <v>2.0</v>
      </c>
      <c r="Q38" s="43">
        <f t="shared" si="2"/>
        <v>6</v>
      </c>
      <c r="R38" s="43"/>
      <c r="S38" s="43"/>
      <c r="T38" s="43"/>
      <c r="U38" s="43"/>
      <c r="V38" s="43"/>
      <c r="W38" s="56" t="s">
        <v>46</v>
      </c>
      <c r="X38" s="34"/>
      <c r="Y38" s="34"/>
      <c r="Z38" s="61"/>
      <c r="AA38" s="61"/>
      <c r="AB38" s="66"/>
      <c r="AC38" s="34"/>
      <c r="AD38" s="34"/>
      <c r="AE38" s="66"/>
      <c r="AF38" s="34"/>
      <c r="AG38" s="34"/>
      <c r="AH38" s="34"/>
      <c r="AI38" s="34"/>
      <c r="AJ38" s="34"/>
      <c r="AK38" s="34"/>
      <c r="AL38" s="34"/>
      <c r="AM38" s="34"/>
      <c r="AN38" s="34"/>
      <c r="AO38" s="34"/>
    </row>
    <row r="39" ht="15.75" customHeight="1">
      <c r="A39" s="28">
        <v>32.0</v>
      </c>
      <c r="B39" s="241" t="s">
        <v>2034</v>
      </c>
      <c r="C39" s="37" t="s">
        <v>427</v>
      </c>
      <c r="D39" s="37" t="s">
        <v>2035</v>
      </c>
      <c r="E39" s="133" t="s">
        <v>338</v>
      </c>
      <c r="F39" s="134">
        <v>41.0</v>
      </c>
      <c r="G39" s="134" t="s">
        <v>339</v>
      </c>
      <c r="H39" s="134" t="s">
        <v>646</v>
      </c>
      <c r="I39" s="134">
        <v>9.771572833E9</v>
      </c>
      <c r="J39" s="87">
        <v>27.0</v>
      </c>
      <c r="K39" s="55">
        <v>25.0</v>
      </c>
      <c r="L39" s="55">
        <v>0.0</v>
      </c>
      <c r="M39" s="55">
        <v>2.0</v>
      </c>
      <c r="N39" s="43">
        <f t="shared" si="1"/>
        <v>2</v>
      </c>
      <c r="O39" s="55">
        <v>5.0</v>
      </c>
      <c r="P39" s="55">
        <v>0.0</v>
      </c>
      <c r="Q39" s="43">
        <f t="shared" si="2"/>
        <v>7</v>
      </c>
      <c r="R39" s="43"/>
      <c r="S39" s="55" t="s">
        <v>277</v>
      </c>
      <c r="T39" s="43"/>
      <c r="U39" s="43"/>
      <c r="V39" s="55"/>
      <c r="W39" s="56" t="s">
        <v>46</v>
      </c>
      <c r="X39" s="34"/>
      <c r="Y39" s="34"/>
      <c r="Z39" s="61"/>
      <c r="AA39" s="61"/>
      <c r="AB39" s="66"/>
      <c r="AC39" s="34"/>
      <c r="AD39" s="34"/>
      <c r="AE39" s="66"/>
      <c r="AF39" s="34"/>
      <c r="AG39" s="34"/>
      <c r="AH39" s="34"/>
      <c r="AI39" s="34"/>
      <c r="AJ39" s="34"/>
      <c r="AK39" s="34"/>
      <c r="AL39" s="34"/>
      <c r="AM39" s="34"/>
      <c r="AN39" s="34"/>
      <c r="AO39" s="34"/>
    </row>
    <row r="40" ht="15.75" customHeight="1">
      <c r="A40" s="28">
        <v>33.0</v>
      </c>
      <c r="B40" s="240" t="s">
        <v>2036</v>
      </c>
      <c r="C40" s="37" t="s">
        <v>1899</v>
      </c>
      <c r="D40" s="37" t="s">
        <v>2037</v>
      </c>
      <c r="E40" s="133" t="s">
        <v>338</v>
      </c>
      <c r="F40" s="134">
        <v>47.0</v>
      </c>
      <c r="G40" s="134" t="s">
        <v>339</v>
      </c>
      <c r="H40" s="134" t="s">
        <v>435</v>
      </c>
      <c r="I40" s="134">
        <v>9.473773976E9</v>
      </c>
      <c r="J40" s="87">
        <v>26.0</v>
      </c>
      <c r="K40" s="55">
        <v>25.0</v>
      </c>
      <c r="L40" s="55">
        <v>1.0</v>
      </c>
      <c r="M40" s="55">
        <v>0.0</v>
      </c>
      <c r="N40" s="43">
        <f t="shared" si="1"/>
        <v>1</v>
      </c>
      <c r="O40" s="55">
        <v>6.0</v>
      </c>
      <c r="P40" s="55">
        <v>0.0</v>
      </c>
      <c r="Q40" s="43">
        <f t="shared" si="2"/>
        <v>7</v>
      </c>
      <c r="R40" s="43"/>
      <c r="S40" s="43"/>
      <c r="T40" s="43"/>
      <c r="U40" s="43"/>
      <c r="V40" s="43"/>
      <c r="W40" s="56" t="s">
        <v>46</v>
      </c>
      <c r="X40" s="34"/>
      <c r="Y40" s="34"/>
      <c r="Z40" s="61"/>
      <c r="AA40" s="61"/>
      <c r="AB40" s="66"/>
      <c r="AC40" s="34"/>
      <c r="AD40" s="34"/>
      <c r="AE40" s="66"/>
      <c r="AF40" s="34"/>
      <c r="AG40" s="34"/>
      <c r="AH40" s="34"/>
      <c r="AI40" s="34"/>
      <c r="AJ40" s="34"/>
      <c r="AK40" s="34"/>
      <c r="AL40" s="34"/>
      <c r="AM40" s="34"/>
      <c r="AN40" s="34"/>
      <c r="AO40" s="34"/>
    </row>
    <row r="41" ht="15.75" customHeight="1">
      <c r="A41" s="28">
        <v>34.0</v>
      </c>
      <c r="B41" s="237" t="s">
        <v>2038</v>
      </c>
      <c r="C41" s="37" t="s">
        <v>2039</v>
      </c>
      <c r="D41" s="37" t="s">
        <v>1424</v>
      </c>
      <c r="E41" s="133" t="s">
        <v>338</v>
      </c>
      <c r="F41" s="134">
        <v>32.0</v>
      </c>
      <c r="G41" s="134" t="s">
        <v>339</v>
      </c>
      <c r="H41" s="134" t="s">
        <v>435</v>
      </c>
      <c r="I41" s="134">
        <v>9.94324318E9</v>
      </c>
      <c r="J41" s="87">
        <v>30.0</v>
      </c>
      <c r="K41" s="55">
        <v>26.0</v>
      </c>
      <c r="L41" s="55">
        <v>0.0</v>
      </c>
      <c r="M41" s="55">
        <v>0.0</v>
      </c>
      <c r="N41" s="43">
        <f t="shared" si="1"/>
        <v>0</v>
      </c>
      <c r="O41" s="55">
        <v>2.0</v>
      </c>
      <c r="P41" s="55">
        <v>4.0</v>
      </c>
      <c r="Q41" s="43">
        <f t="shared" si="2"/>
        <v>6</v>
      </c>
      <c r="R41" s="43"/>
      <c r="S41" s="43"/>
      <c r="T41" s="43"/>
      <c r="U41" s="43"/>
      <c r="V41" s="43"/>
      <c r="W41" s="56" t="s">
        <v>46</v>
      </c>
      <c r="X41" s="34"/>
      <c r="Y41" s="34"/>
      <c r="Z41" s="61"/>
      <c r="AA41" s="61"/>
      <c r="AB41" s="66"/>
      <c r="AC41" s="34"/>
      <c r="AD41" s="34"/>
      <c r="AE41" s="66"/>
      <c r="AF41" s="34"/>
      <c r="AG41" s="34"/>
      <c r="AH41" s="34"/>
      <c r="AI41" s="34"/>
      <c r="AJ41" s="34"/>
      <c r="AK41" s="34"/>
      <c r="AL41" s="34"/>
      <c r="AM41" s="34"/>
      <c r="AN41" s="34"/>
      <c r="AO41" s="34"/>
    </row>
    <row r="42" ht="15.75" customHeight="1">
      <c r="A42" s="28">
        <v>35.0</v>
      </c>
      <c r="B42" s="237" t="s">
        <v>2040</v>
      </c>
      <c r="C42" s="37" t="s">
        <v>2041</v>
      </c>
      <c r="D42" s="37" t="s">
        <v>2042</v>
      </c>
      <c r="E42" s="133" t="s">
        <v>338</v>
      </c>
      <c r="F42" s="134">
        <v>26.0</v>
      </c>
      <c r="G42" s="134" t="s">
        <v>385</v>
      </c>
      <c r="H42" s="134" t="s">
        <v>435</v>
      </c>
      <c r="I42" s="134">
        <v>9.938557254E9</v>
      </c>
      <c r="J42" s="87">
        <v>28.0</v>
      </c>
      <c r="K42" s="55">
        <v>21.0</v>
      </c>
      <c r="L42" s="55">
        <v>0.0</v>
      </c>
      <c r="M42" s="55">
        <v>7.0</v>
      </c>
      <c r="N42" s="43">
        <f t="shared" si="1"/>
        <v>7</v>
      </c>
      <c r="O42" s="55">
        <v>4.0</v>
      </c>
      <c r="P42" s="55">
        <v>0.0</v>
      </c>
      <c r="Q42" s="43">
        <f t="shared" si="2"/>
        <v>11</v>
      </c>
      <c r="R42" s="43"/>
      <c r="S42" s="43"/>
      <c r="T42" s="43"/>
      <c r="U42" s="43"/>
      <c r="V42" s="43"/>
      <c r="W42" s="56" t="s">
        <v>46</v>
      </c>
      <c r="X42" s="34"/>
      <c r="Y42" s="34"/>
      <c r="Z42" s="61"/>
      <c r="AA42" s="61"/>
      <c r="AB42" s="66"/>
      <c r="AC42" s="34"/>
      <c r="AD42" s="34"/>
      <c r="AE42" s="66"/>
      <c r="AF42" s="34"/>
      <c r="AG42" s="34"/>
      <c r="AH42" s="34"/>
      <c r="AI42" s="34"/>
      <c r="AJ42" s="34"/>
      <c r="AK42" s="34"/>
      <c r="AL42" s="34"/>
      <c r="AM42" s="34"/>
      <c r="AN42" s="34"/>
      <c r="AO42" s="34"/>
    </row>
    <row r="43" ht="15.75" customHeight="1">
      <c r="A43" s="28">
        <v>36.0</v>
      </c>
      <c r="B43" s="237" t="s">
        <v>2043</v>
      </c>
      <c r="C43" s="37" t="s">
        <v>2044</v>
      </c>
      <c r="D43" s="37" t="s">
        <v>2045</v>
      </c>
      <c r="E43" s="133" t="s">
        <v>338</v>
      </c>
      <c r="F43" s="134">
        <v>34.0</v>
      </c>
      <c r="G43" s="134" t="s">
        <v>339</v>
      </c>
      <c r="H43" s="134" t="s">
        <v>663</v>
      </c>
      <c r="I43" s="134">
        <v>9.052654013E9</v>
      </c>
      <c r="J43" s="87">
        <v>28.0</v>
      </c>
      <c r="K43" s="55">
        <v>18.0</v>
      </c>
      <c r="L43" s="55">
        <v>0.0</v>
      </c>
      <c r="M43" s="55">
        <v>8.0</v>
      </c>
      <c r="N43" s="43">
        <f t="shared" si="1"/>
        <v>8</v>
      </c>
      <c r="O43" s="55">
        <v>4.0</v>
      </c>
      <c r="P43" s="55">
        <v>2.0</v>
      </c>
      <c r="Q43" s="43">
        <f t="shared" si="2"/>
        <v>14</v>
      </c>
      <c r="R43" s="43"/>
      <c r="S43" s="43"/>
      <c r="T43" s="43"/>
      <c r="U43" s="43"/>
      <c r="V43" s="43"/>
      <c r="W43" s="56" t="s">
        <v>46</v>
      </c>
      <c r="X43" s="34"/>
      <c r="Y43" s="34"/>
      <c r="Z43" s="61"/>
      <c r="AA43" s="61"/>
      <c r="AB43" s="66"/>
      <c r="AC43" s="34"/>
      <c r="AD43" s="34"/>
      <c r="AE43" s="66"/>
      <c r="AF43" s="34"/>
      <c r="AG43" s="34"/>
      <c r="AH43" s="34"/>
      <c r="AI43" s="34"/>
      <c r="AJ43" s="34"/>
      <c r="AK43" s="34"/>
      <c r="AL43" s="34"/>
      <c r="AM43" s="34"/>
      <c r="AN43" s="34"/>
      <c r="AO43" s="34"/>
    </row>
    <row r="44" ht="15.75" customHeight="1">
      <c r="A44" s="28">
        <v>37.0</v>
      </c>
      <c r="B44" s="237" t="s">
        <v>2046</v>
      </c>
      <c r="C44" s="37" t="s">
        <v>1673</v>
      </c>
      <c r="D44" s="37" t="s">
        <v>2047</v>
      </c>
      <c r="E44" s="133" t="s">
        <v>338</v>
      </c>
      <c r="F44" s="134">
        <v>49.0</v>
      </c>
      <c r="G44" s="134" t="s">
        <v>339</v>
      </c>
      <c r="H44" s="134" t="s">
        <v>646</v>
      </c>
      <c r="I44" s="134">
        <v>9.289157516E9</v>
      </c>
      <c r="J44" s="87">
        <v>2.0</v>
      </c>
      <c r="K44" s="55">
        <v>23.0</v>
      </c>
      <c r="L44" s="55">
        <v>0.0</v>
      </c>
      <c r="M44" s="55">
        <v>6.0</v>
      </c>
      <c r="N44" s="43">
        <f t="shared" si="1"/>
        <v>6</v>
      </c>
      <c r="O44" s="55">
        <v>3.0</v>
      </c>
      <c r="P44" s="55">
        <v>0.0</v>
      </c>
      <c r="Q44" s="43">
        <f t="shared" si="2"/>
        <v>9</v>
      </c>
      <c r="R44" s="43"/>
      <c r="S44" s="43"/>
      <c r="T44" s="43"/>
      <c r="U44" s="43"/>
      <c r="V44" s="43"/>
      <c r="W44" s="56" t="s">
        <v>46</v>
      </c>
      <c r="X44" s="34"/>
      <c r="Y44" s="34"/>
      <c r="Z44" s="61"/>
      <c r="AA44" s="61"/>
      <c r="AB44" s="66"/>
      <c r="AC44" s="34"/>
      <c r="AD44" s="34"/>
      <c r="AE44" s="66"/>
      <c r="AF44" s="34"/>
      <c r="AG44" s="34"/>
      <c r="AH44" s="34"/>
      <c r="AI44" s="34"/>
      <c r="AJ44" s="34"/>
      <c r="AK44" s="34"/>
      <c r="AL44" s="34"/>
      <c r="AM44" s="34"/>
      <c r="AN44" s="34"/>
      <c r="AO44" s="34"/>
    </row>
    <row r="45" ht="15.75" customHeight="1">
      <c r="A45" s="28">
        <v>38.0</v>
      </c>
      <c r="B45" s="237" t="s">
        <v>2048</v>
      </c>
      <c r="C45" s="37" t="s">
        <v>2049</v>
      </c>
      <c r="D45" s="37" t="s">
        <v>2050</v>
      </c>
      <c r="E45" s="133" t="s">
        <v>338</v>
      </c>
      <c r="F45" s="134">
        <v>29.0</v>
      </c>
      <c r="G45" s="134" t="s">
        <v>339</v>
      </c>
      <c r="H45" s="134" t="s">
        <v>646</v>
      </c>
      <c r="I45" s="134">
        <v>9.65742876E8</v>
      </c>
      <c r="J45" s="87">
        <v>29.0</v>
      </c>
      <c r="K45" s="55">
        <v>26.0</v>
      </c>
      <c r="L45" s="55">
        <v>1.0</v>
      </c>
      <c r="M45" s="55">
        <v>2.0</v>
      </c>
      <c r="N45" s="43">
        <f t="shared" si="1"/>
        <v>3</v>
      </c>
      <c r="O45" s="55">
        <v>3.0</v>
      </c>
      <c r="P45" s="55">
        <v>0.0</v>
      </c>
      <c r="Q45" s="43">
        <f t="shared" si="2"/>
        <v>6</v>
      </c>
      <c r="R45" s="43"/>
      <c r="S45" s="43"/>
      <c r="T45" s="43"/>
      <c r="U45" s="43"/>
      <c r="V45" s="43"/>
      <c r="W45" s="56" t="s">
        <v>46</v>
      </c>
      <c r="X45" s="34"/>
      <c r="Y45" s="34"/>
      <c r="Z45" s="61"/>
      <c r="AA45" s="61"/>
      <c r="AB45" s="66"/>
      <c r="AC45" s="34"/>
      <c r="AD45" s="34"/>
      <c r="AE45" s="66"/>
      <c r="AF45" s="34"/>
      <c r="AG45" s="34"/>
      <c r="AH45" s="34"/>
      <c r="AI45" s="34"/>
      <c r="AJ45" s="34"/>
      <c r="AK45" s="34"/>
      <c r="AL45" s="34"/>
      <c r="AM45" s="34"/>
      <c r="AN45" s="34"/>
      <c r="AO45" s="34"/>
    </row>
    <row r="46" ht="15.75" customHeight="1">
      <c r="A46" s="28">
        <v>39.0</v>
      </c>
      <c r="B46" s="241" t="s">
        <v>2051</v>
      </c>
      <c r="C46" s="37" t="s">
        <v>2052</v>
      </c>
      <c r="D46" s="37" t="s">
        <v>999</v>
      </c>
      <c r="E46" s="133" t="s">
        <v>338</v>
      </c>
      <c r="F46" s="134">
        <v>33.0</v>
      </c>
      <c r="G46" s="134" t="s">
        <v>339</v>
      </c>
      <c r="H46" s="134" t="s">
        <v>435</v>
      </c>
      <c r="I46" s="134">
        <v>9.353728699E9</v>
      </c>
      <c r="J46" s="87">
        <v>29.0</v>
      </c>
      <c r="K46" s="55">
        <v>25.0</v>
      </c>
      <c r="L46" s="55">
        <v>0.0</v>
      </c>
      <c r="M46" s="55">
        <v>0.0</v>
      </c>
      <c r="N46" s="43">
        <f t="shared" si="1"/>
        <v>0</v>
      </c>
      <c r="O46" s="55">
        <v>3.0</v>
      </c>
      <c r="P46" s="55">
        <v>4.0</v>
      </c>
      <c r="Q46" s="43">
        <f t="shared" si="2"/>
        <v>7</v>
      </c>
      <c r="R46" s="43"/>
      <c r="S46" s="55" t="s">
        <v>2053</v>
      </c>
      <c r="T46" s="43"/>
      <c r="U46" s="43"/>
      <c r="V46" s="43"/>
      <c r="W46" s="56" t="s">
        <v>46</v>
      </c>
      <c r="X46" s="34"/>
      <c r="Y46" s="34"/>
      <c r="Z46" s="61"/>
      <c r="AA46" s="61"/>
      <c r="AB46" s="66"/>
      <c r="AC46" s="34"/>
      <c r="AD46" s="34"/>
      <c r="AE46" s="66"/>
      <c r="AF46" s="34"/>
      <c r="AG46" s="34"/>
      <c r="AH46" s="34"/>
      <c r="AI46" s="34"/>
      <c r="AJ46" s="34"/>
      <c r="AK46" s="34"/>
      <c r="AL46" s="34"/>
      <c r="AM46" s="34"/>
      <c r="AN46" s="34"/>
      <c r="AO46" s="34"/>
    </row>
    <row r="47" ht="15.75" customHeight="1">
      <c r="A47" s="28">
        <v>40.0</v>
      </c>
      <c r="B47" s="244" t="s">
        <v>2054</v>
      </c>
      <c r="C47" s="37" t="s">
        <v>2055</v>
      </c>
      <c r="D47" s="37" t="s">
        <v>2056</v>
      </c>
      <c r="E47" s="133" t="s">
        <v>338</v>
      </c>
      <c r="F47" s="134">
        <v>37.0</v>
      </c>
      <c r="G47" s="134" t="s">
        <v>385</v>
      </c>
      <c r="H47" s="134" t="s">
        <v>435</v>
      </c>
      <c r="I47" s="134">
        <v>9.076404233E9</v>
      </c>
      <c r="J47" s="87">
        <v>19.0</v>
      </c>
      <c r="K47" s="55">
        <v>6.0</v>
      </c>
      <c r="L47" s="55">
        <v>3.0</v>
      </c>
      <c r="M47" s="55">
        <v>10.0</v>
      </c>
      <c r="N47" s="43">
        <f t="shared" si="1"/>
        <v>13</v>
      </c>
      <c r="O47" s="55">
        <v>13.0</v>
      </c>
      <c r="P47" s="55">
        <v>0.0</v>
      </c>
      <c r="Q47" s="43">
        <f t="shared" si="2"/>
        <v>26</v>
      </c>
      <c r="R47" s="43"/>
      <c r="S47" s="55" t="s">
        <v>88</v>
      </c>
      <c r="T47" s="43"/>
      <c r="U47" s="43"/>
      <c r="V47" s="43"/>
      <c r="W47" s="56" t="s">
        <v>46</v>
      </c>
      <c r="X47" s="34"/>
      <c r="Y47" s="34"/>
      <c r="Z47" s="61"/>
      <c r="AA47" s="61"/>
      <c r="AB47" s="66"/>
      <c r="AC47" s="34"/>
      <c r="AD47" s="34"/>
      <c r="AE47" s="66"/>
      <c r="AF47" s="34"/>
      <c r="AG47" s="34"/>
      <c r="AH47" s="34"/>
      <c r="AI47" s="34"/>
      <c r="AJ47" s="34"/>
      <c r="AK47" s="34"/>
      <c r="AL47" s="34"/>
      <c r="AM47" s="34"/>
      <c r="AN47" s="34"/>
      <c r="AO47" s="34"/>
    </row>
    <row r="48" ht="15.75" customHeight="1">
      <c r="A48" s="28">
        <v>41.0</v>
      </c>
      <c r="B48" s="237" t="s">
        <v>2057</v>
      </c>
      <c r="C48" s="37" t="s">
        <v>2058</v>
      </c>
      <c r="D48" s="37" t="s">
        <v>2059</v>
      </c>
      <c r="E48" s="133" t="s">
        <v>338</v>
      </c>
      <c r="F48" s="134">
        <v>26.0</v>
      </c>
      <c r="G48" s="134" t="s">
        <v>385</v>
      </c>
      <c r="H48" s="134" t="s">
        <v>435</v>
      </c>
      <c r="I48" s="134">
        <v>9.683150424E9</v>
      </c>
      <c r="J48" s="87">
        <v>28.0</v>
      </c>
      <c r="K48" s="55">
        <v>23.0</v>
      </c>
      <c r="L48" s="55">
        <v>0.0</v>
      </c>
      <c r="M48" s="55">
        <v>3.0</v>
      </c>
      <c r="N48" s="43">
        <f t="shared" si="1"/>
        <v>3</v>
      </c>
      <c r="O48" s="55">
        <v>4.0</v>
      </c>
      <c r="P48" s="55">
        <v>2.0</v>
      </c>
      <c r="Q48" s="43">
        <f t="shared" si="2"/>
        <v>9</v>
      </c>
      <c r="R48" s="43"/>
      <c r="S48" s="43"/>
      <c r="T48" s="43"/>
      <c r="U48" s="43"/>
      <c r="V48" s="43"/>
      <c r="W48" s="56" t="s">
        <v>46</v>
      </c>
      <c r="X48" s="34"/>
      <c r="Y48" s="34"/>
      <c r="Z48" s="61"/>
      <c r="AA48" s="61"/>
      <c r="AB48" s="66"/>
      <c r="AC48" s="34"/>
      <c r="AD48" s="34"/>
      <c r="AE48" s="66"/>
      <c r="AF48" s="34"/>
      <c r="AG48" s="34"/>
      <c r="AH48" s="34"/>
      <c r="AI48" s="34"/>
      <c r="AJ48" s="34"/>
      <c r="AK48" s="34"/>
      <c r="AL48" s="34"/>
      <c r="AM48" s="34"/>
      <c r="AN48" s="34"/>
      <c r="AO48" s="34"/>
    </row>
    <row r="49" ht="15.75" customHeight="1">
      <c r="A49" s="28">
        <v>42.0</v>
      </c>
      <c r="B49" s="37" t="s">
        <v>2060</v>
      </c>
      <c r="C49" s="37" t="s">
        <v>2061</v>
      </c>
      <c r="D49" s="37" t="s">
        <v>2062</v>
      </c>
      <c r="E49" s="133" t="s">
        <v>338</v>
      </c>
      <c r="F49" s="134">
        <v>38.0</v>
      </c>
      <c r="G49" s="134" t="s">
        <v>339</v>
      </c>
      <c r="H49" s="134" t="s">
        <v>708</v>
      </c>
      <c r="I49" s="134">
        <v>9.420758911E9</v>
      </c>
      <c r="J49" s="87">
        <v>22.0</v>
      </c>
      <c r="K49" s="55">
        <v>17.0</v>
      </c>
      <c r="L49" s="55">
        <v>0.0</v>
      </c>
      <c r="M49" s="55">
        <v>1.0</v>
      </c>
      <c r="N49" s="43">
        <f t="shared" si="1"/>
        <v>1</v>
      </c>
      <c r="O49" s="55">
        <v>10.0</v>
      </c>
      <c r="P49" s="55">
        <v>4.0</v>
      </c>
      <c r="Q49" s="43">
        <f t="shared" si="2"/>
        <v>15</v>
      </c>
      <c r="R49" s="43"/>
      <c r="S49" s="55" t="s">
        <v>2053</v>
      </c>
      <c r="T49" s="43"/>
      <c r="U49" s="43"/>
      <c r="V49" s="43"/>
      <c r="W49" s="56" t="s">
        <v>46</v>
      </c>
      <c r="X49" s="34"/>
      <c r="Y49" s="34"/>
      <c r="Z49" s="61"/>
      <c r="AA49" s="61"/>
      <c r="AB49" s="66"/>
      <c r="AC49" s="34"/>
      <c r="AD49" s="34"/>
      <c r="AE49" s="66"/>
      <c r="AF49" s="34"/>
      <c r="AG49" s="34"/>
      <c r="AH49" s="34"/>
      <c r="AI49" s="34"/>
      <c r="AJ49" s="34"/>
      <c r="AK49" s="34"/>
      <c r="AL49" s="34"/>
      <c r="AM49" s="34"/>
      <c r="AN49" s="34"/>
      <c r="AO49" s="34"/>
    </row>
    <row r="50" ht="15.75" customHeight="1">
      <c r="A50" s="28">
        <v>43.0</v>
      </c>
      <c r="B50" s="37" t="s">
        <v>1178</v>
      </c>
      <c r="C50" s="37" t="s">
        <v>2063</v>
      </c>
      <c r="D50" s="37" t="s">
        <v>2064</v>
      </c>
      <c r="E50" s="133" t="s">
        <v>338</v>
      </c>
      <c r="F50" s="134">
        <v>26.0</v>
      </c>
      <c r="G50" s="134" t="s">
        <v>339</v>
      </c>
      <c r="H50" s="134" t="s">
        <v>435</v>
      </c>
      <c r="I50" s="134">
        <v>9.265538278E9</v>
      </c>
      <c r="J50" s="87">
        <v>28.0</v>
      </c>
      <c r="K50" s="55">
        <v>26.0</v>
      </c>
      <c r="L50" s="55">
        <v>0.0</v>
      </c>
      <c r="M50" s="55">
        <v>1.0</v>
      </c>
      <c r="N50" s="43">
        <f t="shared" si="1"/>
        <v>1</v>
      </c>
      <c r="O50" s="55">
        <v>4.0</v>
      </c>
      <c r="P50" s="55">
        <v>1.0</v>
      </c>
      <c r="Q50" s="43">
        <f t="shared" si="2"/>
        <v>6</v>
      </c>
      <c r="R50" s="43"/>
      <c r="S50" s="43"/>
      <c r="T50" s="43"/>
      <c r="U50" s="43"/>
      <c r="V50" s="43"/>
      <c r="W50" s="56" t="s">
        <v>46</v>
      </c>
      <c r="X50" s="34"/>
      <c r="Y50" s="34"/>
      <c r="Z50" s="61"/>
      <c r="AA50" s="61"/>
      <c r="AB50" s="66"/>
      <c r="AC50" s="34"/>
      <c r="AD50" s="34"/>
      <c r="AE50" s="66"/>
      <c r="AF50" s="34"/>
      <c r="AG50" s="34"/>
      <c r="AH50" s="34"/>
      <c r="AI50" s="34"/>
      <c r="AJ50" s="34"/>
      <c r="AK50" s="34"/>
      <c r="AL50" s="34"/>
      <c r="AM50" s="34"/>
      <c r="AN50" s="34"/>
      <c r="AO50" s="34"/>
    </row>
    <row r="51" ht="15.75" customHeight="1">
      <c r="A51" s="28">
        <v>44.0</v>
      </c>
      <c r="B51" s="37" t="s">
        <v>2065</v>
      </c>
      <c r="C51" s="37" t="s">
        <v>2066</v>
      </c>
      <c r="D51" s="37" t="s">
        <v>2067</v>
      </c>
      <c r="E51" s="133" t="s">
        <v>338</v>
      </c>
      <c r="F51" s="134">
        <v>32.0</v>
      </c>
      <c r="G51" s="134" t="s">
        <v>385</v>
      </c>
      <c r="H51" s="134" t="s">
        <v>435</v>
      </c>
      <c r="I51" s="134">
        <v>9.684992604E9</v>
      </c>
      <c r="J51" s="87">
        <v>30.0</v>
      </c>
      <c r="K51" s="55">
        <v>26.0</v>
      </c>
      <c r="L51" s="55">
        <v>0.0</v>
      </c>
      <c r="M51" s="55">
        <v>1.0</v>
      </c>
      <c r="N51" s="43">
        <f t="shared" si="1"/>
        <v>1</v>
      </c>
      <c r="O51" s="55">
        <v>2.0</v>
      </c>
      <c r="P51" s="55">
        <v>3.0</v>
      </c>
      <c r="Q51" s="43">
        <f t="shared" si="2"/>
        <v>6</v>
      </c>
      <c r="R51" s="43"/>
      <c r="S51" s="55" t="s">
        <v>277</v>
      </c>
      <c r="T51" s="43"/>
      <c r="U51" s="43"/>
      <c r="V51" s="43"/>
      <c r="W51" s="56" t="s">
        <v>46</v>
      </c>
      <c r="X51" s="34"/>
      <c r="Y51" s="34"/>
      <c r="Z51" s="61"/>
      <c r="AA51" s="61"/>
      <c r="AB51" s="66"/>
      <c r="AC51" s="34"/>
      <c r="AD51" s="34"/>
      <c r="AE51" s="66"/>
      <c r="AF51" s="34"/>
      <c r="AG51" s="34"/>
      <c r="AH51" s="34"/>
      <c r="AI51" s="34"/>
      <c r="AJ51" s="34"/>
      <c r="AK51" s="34"/>
      <c r="AL51" s="34"/>
      <c r="AM51" s="34"/>
      <c r="AN51" s="34"/>
      <c r="AO51" s="34"/>
    </row>
    <row r="52" ht="15.75" customHeight="1">
      <c r="A52" s="28">
        <v>45.0</v>
      </c>
      <c r="B52" s="37" t="s">
        <v>2068</v>
      </c>
      <c r="C52" s="37" t="s">
        <v>2069</v>
      </c>
      <c r="D52" s="37" t="s">
        <v>2070</v>
      </c>
      <c r="E52" s="133" t="s">
        <v>338</v>
      </c>
      <c r="F52" s="134">
        <v>26.0</v>
      </c>
      <c r="G52" s="134" t="s">
        <v>339</v>
      </c>
      <c r="H52" s="134" t="s">
        <v>435</v>
      </c>
      <c r="I52" s="134">
        <v>9.072173901E9</v>
      </c>
      <c r="J52" s="87">
        <v>25.0</v>
      </c>
      <c r="K52" s="55">
        <v>23.0</v>
      </c>
      <c r="L52" s="55">
        <v>0.0</v>
      </c>
      <c r="M52" s="55">
        <v>2.0</v>
      </c>
      <c r="N52" s="43">
        <f t="shared" si="1"/>
        <v>2</v>
      </c>
      <c r="O52" s="55">
        <v>7.0</v>
      </c>
      <c r="P52" s="55">
        <v>0.0</v>
      </c>
      <c r="Q52" s="43">
        <f t="shared" si="2"/>
        <v>9</v>
      </c>
      <c r="R52" s="43"/>
      <c r="S52" s="43"/>
      <c r="T52" s="43"/>
      <c r="U52" s="43"/>
      <c r="V52" s="43"/>
      <c r="W52" s="56" t="s">
        <v>46</v>
      </c>
      <c r="X52" s="34"/>
      <c r="Y52" s="34"/>
      <c r="Z52" s="61"/>
      <c r="AA52" s="61"/>
      <c r="AB52" s="66"/>
      <c r="AC52" s="34"/>
      <c r="AD52" s="34"/>
      <c r="AE52" s="66"/>
      <c r="AF52" s="34"/>
      <c r="AG52" s="34"/>
      <c r="AH52" s="34"/>
      <c r="AI52" s="34"/>
      <c r="AJ52" s="34"/>
      <c r="AK52" s="34"/>
      <c r="AL52" s="34"/>
      <c r="AM52" s="34"/>
      <c r="AN52" s="34"/>
      <c r="AO52" s="34"/>
    </row>
    <row r="53" ht="15.75" customHeight="1">
      <c r="A53" s="28">
        <v>46.0</v>
      </c>
      <c r="B53" s="139" t="s">
        <v>1974</v>
      </c>
      <c r="C53" s="37" t="s">
        <v>2071</v>
      </c>
      <c r="D53" s="37" t="s">
        <v>2072</v>
      </c>
      <c r="E53" s="133" t="s">
        <v>338</v>
      </c>
      <c r="F53" s="134">
        <v>47.0</v>
      </c>
      <c r="G53" s="134" t="s">
        <v>339</v>
      </c>
      <c r="H53" s="134" t="s">
        <v>435</v>
      </c>
      <c r="I53" s="134">
        <v>9.48713291E9</v>
      </c>
      <c r="J53" s="87">
        <v>26.0</v>
      </c>
      <c r="K53" s="55">
        <v>22.0</v>
      </c>
      <c r="L53" s="55">
        <v>0.0</v>
      </c>
      <c r="M53" s="55">
        <v>1.0</v>
      </c>
      <c r="N53" s="43">
        <f t="shared" si="1"/>
        <v>1</v>
      </c>
      <c r="O53" s="55">
        <v>6.0</v>
      </c>
      <c r="P53" s="55">
        <v>3.0</v>
      </c>
      <c r="Q53" s="43">
        <f t="shared" si="2"/>
        <v>10</v>
      </c>
      <c r="R53" s="43"/>
      <c r="S53" s="43"/>
      <c r="T53" s="43"/>
      <c r="U53" s="43"/>
      <c r="V53" s="43"/>
      <c r="W53" s="56" t="s">
        <v>46</v>
      </c>
      <c r="X53" s="34"/>
      <c r="Y53" s="34"/>
      <c r="Z53" s="61"/>
      <c r="AA53" s="61"/>
      <c r="AB53" s="66"/>
      <c r="AC53" s="34"/>
      <c r="AD53" s="34"/>
      <c r="AE53" s="66"/>
      <c r="AF53" s="34"/>
      <c r="AG53" s="34"/>
      <c r="AH53" s="34"/>
      <c r="AI53" s="34"/>
      <c r="AJ53" s="34"/>
      <c r="AK53" s="34"/>
      <c r="AL53" s="34"/>
      <c r="AM53" s="34"/>
      <c r="AN53" s="34"/>
      <c r="AO53" s="34"/>
    </row>
    <row r="54" ht="15.75" customHeight="1">
      <c r="A54" s="28">
        <v>47.0</v>
      </c>
      <c r="B54" s="37" t="s">
        <v>2073</v>
      </c>
      <c r="C54" s="37" t="s">
        <v>1686</v>
      </c>
      <c r="D54" s="37" t="s">
        <v>2074</v>
      </c>
      <c r="E54" s="133" t="s">
        <v>338</v>
      </c>
      <c r="F54" s="134">
        <v>34.0</v>
      </c>
      <c r="G54" s="134" t="s">
        <v>339</v>
      </c>
      <c r="H54" s="134" t="s">
        <v>435</v>
      </c>
      <c r="I54" s="134">
        <v>9.397464303E9</v>
      </c>
      <c r="J54" s="87">
        <v>29.0</v>
      </c>
      <c r="K54" s="55">
        <v>16.0</v>
      </c>
      <c r="L54" s="55">
        <v>0.0</v>
      </c>
      <c r="M54" s="55">
        <v>13.0</v>
      </c>
      <c r="N54" s="43">
        <f t="shared" si="1"/>
        <v>13</v>
      </c>
      <c r="O54" s="55">
        <v>3.0</v>
      </c>
      <c r="P54" s="55">
        <v>0.0</v>
      </c>
      <c r="Q54" s="43">
        <f t="shared" si="2"/>
        <v>16</v>
      </c>
      <c r="R54" s="43"/>
      <c r="S54" s="43"/>
      <c r="T54" s="43"/>
      <c r="U54" s="43"/>
      <c r="V54" s="43"/>
      <c r="W54" s="56" t="s">
        <v>46</v>
      </c>
      <c r="X54" s="34"/>
      <c r="Y54" s="34"/>
      <c r="Z54" s="61"/>
      <c r="AA54" s="61"/>
      <c r="AB54" s="66"/>
      <c r="AC54" s="34"/>
      <c r="AD54" s="34"/>
      <c r="AE54" s="66"/>
      <c r="AF54" s="34"/>
      <c r="AG54" s="34"/>
      <c r="AH54" s="34"/>
      <c r="AI54" s="34"/>
      <c r="AJ54" s="34"/>
      <c r="AK54" s="34"/>
      <c r="AL54" s="34"/>
      <c r="AM54" s="34"/>
      <c r="AN54" s="34"/>
      <c r="AO54" s="34"/>
    </row>
    <row r="55" ht="15.75" customHeight="1">
      <c r="A55" s="28">
        <v>48.0</v>
      </c>
      <c r="B55" s="37" t="s">
        <v>2075</v>
      </c>
      <c r="C55" s="37" t="s">
        <v>2076</v>
      </c>
      <c r="D55" s="37" t="s">
        <v>2077</v>
      </c>
      <c r="E55" s="133" t="s">
        <v>338</v>
      </c>
      <c r="F55" s="134">
        <v>49.0</v>
      </c>
      <c r="G55" s="134" t="s">
        <v>339</v>
      </c>
      <c r="H55" s="134" t="s">
        <v>646</v>
      </c>
      <c r="I55" s="134">
        <v>9.554311095E9</v>
      </c>
      <c r="J55" s="87">
        <v>19.0</v>
      </c>
      <c r="K55" s="55">
        <v>12.0</v>
      </c>
      <c r="L55" s="55">
        <v>0.0</v>
      </c>
      <c r="M55" s="55">
        <v>0.0</v>
      </c>
      <c r="N55" s="43">
        <f t="shared" si="1"/>
        <v>0</v>
      </c>
      <c r="O55" s="55">
        <v>13.0</v>
      </c>
      <c r="P55" s="55">
        <v>7.0</v>
      </c>
      <c r="Q55" s="43">
        <f t="shared" si="2"/>
        <v>20</v>
      </c>
      <c r="R55" s="43"/>
      <c r="S55" s="55" t="s">
        <v>93</v>
      </c>
      <c r="T55" s="55"/>
      <c r="U55" s="55" t="s">
        <v>101</v>
      </c>
      <c r="V55" s="55" t="s">
        <v>2078</v>
      </c>
      <c r="W55" s="56" t="s">
        <v>46</v>
      </c>
      <c r="X55" s="34"/>
      <c r="Y55" s="34"/>
      <c r="Z55" s="61"/>
      <c r="AA55" s="61"/>
      <c r="AB55" s="66"/>
      <c r="AC55" s="34"/>
      <c r="AD55" s="34"/>
      <c r="AE55" s="66"/>
      <c r="AF55" s="34"/>
      <c r="AG55" s="34"/>
      <c r="AH55" s="34"/>
      <c r="AI55" s="34"/>
      <c r="AJ55" s="34"/>
      <c r="AK55" s="34"/>
      <c r="AL55" s="34"/>
      <c r="AM55" s="34"/>
      <c r="AN55" s="34"/>
      <c r="AO55" s="34"/>
    </row>
    <row r="56" ht="15.75" customHeight="1">
      <c r="A56" s="28">
        <v>49.0</v>
      </c>
      <c r="B56" s="37" t="s">
        <v>2079</v>
      </c>
      <c r="C56" s="37" t="s">
        <v>1871</v>
      </c>
      <c r="D56" s="37" t="s">
        <v>2080</v>
      </c>
      <c r="E56" s="133" t="s">
        <v>338</v>
      </c>
      <c r="F56" s="134">
        <v>55.0</v>
      </c>
      <c r="G56" s="134" t="s">
        <v>339</v>
      </c>
      <c r="H56" s="134" t="s">
        <v>663</v>
      </c>
      <c r="I56" s="134">
        <v>9.751953975E9</v>
      </c>
      <c r="J56" s="87">
        <v>3.0</v>
      </c>
      <c r="K56" s="55">
        <v>0.0</v>
      </c>
      <c r="L56" s="55">
        <v>0.0</v>
      </c>
      <c r="M56" s="55">
        <v>3.0</v>
      </c>
      <c r="N56" s="43">
        <f t="shared" si="1"/>
        <v>3</v>
      </c>
      <c r="O56" s="55">
        <v>29.0</v>
      </c>
      <c r="P56" s="55">
        <v>0.0</v>
      </c>
      <c r="Q56" s="43">
        <f t="shared" si="2"/>
        <v>32</v>
      </c>
      <c r="R56" s="43"/>
      <c r="S56" s="55" t="s">
        <v>79</v>
      </c>
      <c r="T56" s="43"/>
      <c r="U56" s="43"/>
      <c r="V56" s="55" t="s">
        <v>93</v>
      </c>
      <c r="W56" s="56" t="s">
        <v>46</v>
      </c>
      <c r="X56" s="34"/>
      <c r="Y56" s="34"/>
      <c r="Z56" s="61"/>
      <c r="AA56" s="61"/>
      <c r="AB56" s="66"/>
      <c r="AC56" s="34"/>
      <c r="AD56" s="34"/>
      <c r="AE56" s="66"/>
      <c r="AF56" s="34"/>
      <c r="AG56" s="34"/>
      <c r="AH56" s="34"/>
      <c r="AI56" s="34"/>
      <c r="AJ56" s="34"/>
      <c r="AK56" s="34"/>
      <c r="AL56" s="34"/>
      <c r="AM56" s="34"/>
      <c r="AN56" s="34"/>
      <c r="AO56" s="34"/>
    </row>
    <row r="57" ht="15.75" customHeight="1">
      <c r="A57" s="28">
        <v>50.0</v>
      </c>
      <c r="B57" s="37" t="s">
        <v>2081</v>
      </c>
      <c r="C57" s="37" t="s">
        <v>1074</v>
      </c>
      <c r="D57" s="37" t="s">
        <v>2082</v>
      </c>
      <c r="E57" s="133" t="s">
        <v>338</v>
      </c>
      <c r="F57" s="134">
        <v>27.0</v>
      </c>
      <c r="G57" s="134" t="s">
        <v>339</v>
      </c>
      <c r="H57" s="134" t="s">
        <v>435</v>
      </c>
      <c r="I57" s="134">
        <v>9.630064756E9</v>
      </c>
      <c r="J57" s="87">
        <v>30.0</v>
      </c>
      <c r="K57" s="55">
        <v>26.0</v>
      </c>
      <c r="L57" s="55">
        <v>0.0</v>
      </c>
      <c r="M57" s="55">
        <v>2.0</v>
      </c>
      <c r="N57" s="43">
        <f t="shared" si="1"/>
        <v>2</v>
      </c>
      <c r="O57" s="55">
        <v>2.0</v>
      </c>
      <c r="P57" s="55">
        <v>2.0</v>
      </c>
      <c r="Q57" s="43">
        <f t="shared" si="2"/>
        <v>6</v>
      </c>
      <c r="R57" s="43"/>
      <c r="S57" s="55" t="s">
        <v>277</v>
      </c>
      <c r="T57" s="43"/>
      <c r="U57" s="43"/>
      <c r="V57" s="43"/>
      <c r="W57" s="56" t="s">
        <v>46</v>
      </c>
      <c r="X57" s="34"/>
      <c r="Y57" s="34"/>
      <c r="Z57" s="61"/>
      <c r="AA57" s="61"/>
      <c r="AB57" s="66"/>
      <c r="AC57" s="34"/>
      <c r="AD57" s="34"/>
      <c r="AE57" s="66"/>
      <c r="AF57" s="34"/>
      <c r="AG57" s="34"/>
      <c r="AH57" s="34"/>
      <c r="AI57" s="34"/>
      <c r="AJ57" s="34"/>
      <c r="AK57" s="34"/>
      <c r="AL57" s="34"/>
      <c r="AM57" s="34"/>
      <c r="AN57" s="34"/>
      <c r="AO57" s="34"/>
    </row>
    <row r="58" ht="15.75" customHeight="1">
      <c r="A58" s="28">
        <v>51.0</v>
      </c>
      <c r="B58" s="37" t="s">
        <v>2083</v>
      </c>
      <c r="C58" s="37" t="s">
        <v>2084</v>
      </c>
      <c r="D58" s="37" t="s">
        <v>477</v>
      </c>
      <c r="E58" s="133" t="s">
        <v>338</v>
      </c>
      <c r="F58" s="134">
        <v>31.0</v>
      </c>
      <c r="G58" s="134" t="s">
        <v>339</v>
      </c>
      <c r="H58" s="134" t="s">
        <v>435</v>
      </c>
      <c r="I58" s="134">
        <v>9.159448146E9</v>
      </c>
      <c r="J58" s="87">
        <v>26.0</v>
      </c>
      <c r="K58" s="55">
        <v>23.0</v>
      </c>
      <c r="L58" s="55">
        <v>2.0</v>
      </c>
      <c r="M58" s="55">
        <v>1.0</v>
      </c>
      <c r="N58" s="43">
        <f t="shared" si="1"/>
        <v>3</v>
      </c>
      <c r="O58" s="55">
        <v>6.0</v>
      </c>
      <c r="P58" s="55">
        <v>0.0</v>
      </c>
      <c r="Q58" s="43">
        <f t="shared" si="2"/>
        <v>9</v>
      </c>
      <c r="R58" s="43"/>
      <c r="S58" s="55" t="s">
        <v>277</v>
      </c>
      <c r="T58" s="43"/>
      <c r="U58" s="43"/>
      <c r="V58" s="43"/>
      <c r="W58" s="56" t="s">
        <v>46</v>
      </c>
      <c r="X58" s="34"/>
      <c r="Y58" s="34"/>
      <c r="Z58" s="61"/>
      <c r="AA58" s="61"/>
      <c r="AB58" s="66"/>
      <c r="AC58" s="34"/>
      <c r="AD58" s="34"/>
      <c r="AE58" s="66"/>
      <c r="AF58" s="34"/>
      <c r="AG58" s="34"/>
      <c r="AH58" s="34"/>
      <c r="AI58" s="34"/>
      <c r="AJ58" s="34"/>
      <c r="AK58" s="34"/>
      <c r="AL58" s="34"/>
      <c r="AM58" s="34"/>
      <c r="AN58" s="34"/>
      <c r="AO58" s="34"/>
    </row>
    <row r="59" ht="15.75" customHeight="1">
      <c r="A59" s="28">
        <v>52.0</v>
      </c>
      <c r="B59" s="37" t="s">
        <v>2085</v>
      </c>
      <c r="C59" s="37" t="s">
        <v>2086</v>
      </c>
      <c r="D59" s="37" t="s">
        <v>948</v>
      </c>
      <c r="E59" s="133" t="s">
        <v>338</v>
      </c>
      <c r="F59" s="134">
        <v>46.0</v>
      </c>
      <c r="G59" s="134" t="s">
        <v>339</v>
      </c>
      <c r="H59" s="134" t="s">
        <v>435</v>
      </c>
      <c r="I59" s="134">
        <v>9.684992562E9</v>
      </c>
      <c r="J59" s="87">
        <v>28.0</v>
      </c>
      <c r="K59" s="55">
        <v>20.0</v>
      </c>
      <c r="L59" s="55">
        <v>0.0</v>
      </c>
      <c r="M59" s="55">
        <v>7.0</v>
      </c>
      <c r="N59" s="43">
        <v>5.0</v>
      </c>
      <c r="O59" s="55">
        <v>4.0</v>
      </c>
      <c r="P59" s="55">
        <v>0.0</v>
      </c>
      <c r="Q59" s="43">
        <f t="shared" si="2"/>
        <v>9</v>
      </c>
      <c r="R59" s="43"/>
      <c r="S59" s="43"/>
      <c r="T59" s="43"/>
      <c r="U59" s="43"/>
      <c r="V59" s="43"/>
      <c r="W59" s="56" t="s">
        <v>46</v>
      </c>
      <c r="X59" s="34"/>
      <c r="Y59" s="34"/>
      <c r="Z59" s="61"/>
      <c r="AA59" s="61"/>
      <c r="AB59" s="66"/>
      <c r="AC59" s="34"/>
      <c r="AD59" s="34"/>
      <c r="AE59" s="66"/>
      <c r="AF59" s="34"/>
      <c r="AG59" s="34"/>
      <c r="AH59" s="34"/>
      <c r="AI59" s="34"/>
      <c r="AJ59" s="34"/>
      <c r="AK59" s="34"/>
      <c r="AL59" s="34"/>
      <c r="AM59" s="34"/>
      <c r="AN59" s="34"/>
      <c r="AO59" s="34"/>
    </row>
    <row r="60" ht="15.75" customHeight="1">
      <c r="A60" s="28">
        <v>53.0</v>
      </c>
      <c r="B60" s="37" t="s">
        <v>881</v>
      </c>
      <c r="C60" s="37" t="s">
        <v>1976</v>
      </c>
      <c r="D60" s="37" t="s">
        <v>2087</v>
      </c>
      <c r="E60" s="133" t="s">
        <v>338</v>
      </c>
      <c r="F60" s="134">
        <v>36.0</v>
      </c>
      <c r="G60" s="134" t="s">
        <v>339</v>
      </c>
      <c r="H60" s="134" t="s">
        <v>435</v>
      </c>
      <c r="I60" s="134">
        <v>9.07633701E9</v>
      </c>
      <c r="J60" s="87">
        <v>16.0</v>
      </c>
      <c r="K60" s="55">
        <v>11.0</v>
      </c>
      <c r="L60" s="55">
        <v>0.0</v>
      </c>
      <c r="M60" s="55">
        <v>1.0</v>
      </c>
      <c r="N60" s="43">
        <f t="shared" ref="N60:N141" si="3">(L60+M60)</f>
        <v>1</v>
      </c>
      <c r="O60" s="55">
        <v>16.0</v>
      </c>
      <c r="P60" s="55">
        <v>4.0</v>
      </c>
      <c r="Q60" s="43">
        <f t="shared" si="2"/>
        <v>21</v>
      </c>
      <c r="R60" s="43"/>
      <c r="S60" s="43"/>
      <c r="T60" s="43"/>
      <c r="U60" s="43"/>
      <c r="V60" s="43"/>
      <c r="W60" s="56" t="s">
        <v>46</v>
      </c>
      <c r="X60" s="34"/>
      <c r="Y60" s="34"/>
      <c r="Z60" s="61"/>
      <c r="AA60" s="61"/>
      <c r="AB60" s="66"/>
      <c r="AC60" s="34"/>
      <c r="AD60" s="34"/>
      <c r="AE60" s="66"/>
      <c r="AF60" s="34"/>
      <c r="AG60" s="34"/>
      <c r="AH60" s="34"/>
      <c r="AI60" s="34"/>
      <c r="AJ60" s="34"/>
      <c r="AK60" s="34"/>
      <c r="AL60" s="34"/>
      <c r="AM60" s="34"/>
      <c r="AN60" s="34"/>
      <c r="AO60" s="34"/>
    </row>
    <row r="61" ht="15.75" customHeight="1">
      <c r="A61" s="28">
        <v>54.0</v>
      </c>
      <c r="B61" s="37" t="s">
        <v>881</v>
      </c>
      <c r="C61" s="37" t="s">
        <v>2088</v>
      </c>
      <c r="D61" s="37" t="s">
        <v>267</v>
      </c>
      <c r="E61" s="133" t="s">
        <v>338</v>
      </c>
      <c r="F61" s="134">
        <v>43.0</v>
      </c>
      <c r="G61" s="134" t="s">
        <v>339</v>
      </c>
      <c r="H61" s="134" t="s">
        <v>646</v>
      </c>
      <c r="I61" s="134">
        <v>9.184155237E9</v>
      </c>
      <c r="J61" s="87">
        <v>21.0</v>
      </c>
      <c r="K61" s="55">
        <v>17.0</v>
      </c>
      <c r="L61" s="55">
        <v>0.0</v>
      </c>
      <c r="M61" s="55">
        <v>0.0</v>
      </c>
      <c r="N61" s="43">
        <f t="shared" si="3"/>
        <v>0</v>
      </c>
      <c r="O61" s="55">
        <v>11.0</v>
      </c>
      <c r="P61" s="55">
        <v>4.0</v>
      </c>
      <c r="Q61" s="43">
        <f t="shared" si="2"/>
        <v>15</v>
      </c>
      <c r="R61" s="43"/>
      <c r="S61" s="43"/>
      <c r="T61" s="43"/>
      <c r="U61" s="43"/>
      <c r="V61" s="43"/>
      <c r="W61" s="56" t="s">
        <v>46</v>
      </c>
      <c r="X61" s="34"/>
      <c r="Y61" s="34"/>
      <c r="Z61" s="61"/>
      <c r="AA61" s="61"/>
      <c r="AB61" s="66"/>
      <c r="AC61" s="34"/>
      <c r="AD61" s="34"/>
      <c r="AE61" s="66"/>
      <c r="AF61" s="34"/>
      <c r="AG61" s="34"/>
      <c r="AH61" s="34"/>
      <c r="AI61" s="34"/>
      <c r="AJ61" s="34"/>
      <c r="AK61" s="34"/>
      <c r="AL61" s="34"/>
      <c r="AM61" s="34"/>
      <c r="AN61" s="34"/>
      <c r="AO61" s="34"/>
    </row>
    <row r="62" ht="15.75" customHeight="1">
      <c r="A62" s="28">
        <v>55.0</v>
      </c>
      <c r="B62" s="37" t="s">
        <v>2089</v>
      </c>
      <c r="C62" s="37" t="s">
        <v>2090</v>
      </c>
      <c r="D62" s="37" t="s">
        <v>2091</v>
      </c>
      <c r="E62" s="133" t="s">
        <v>338</v>
      </c>
      <c r="F62" s="134">
        <v>47.0</v>
      </c>
      <c r="G62" s="134" t="s">
        <v>339</v>
      </c>
      <c r="H62" s="134" t="s">
        <v>708</v>
      </c>
      <c r="I62" s="134">
        <v>9.497869784E9</v>
      </c>
      <c r="J62" s="87">
        <v>25.0</v>
      </c>
      <c r="K62" s="55">
        <v>19.0</v>
      </c>
      <c r="L62" s="55">
        <v>1.0</v>
      </c>
      <c r="M62" s="55">
        <v>3.0</v>
      </c>
      <c r="N62" s="43">
        <f t="shared" si="3"/>
        <v>4</v>
      </c>
      <c r="O62" s="55">
        <v>7.0</v>
      </c>
      <c r="P62" s="55">
        <v>2.0</v>
      </c>
      <c r="Q62" s="43">
        <f t="shared" si="2"/>
        <v>13</v>
      </c>
      <c r="R62" s="43"/>
      <c r="S62" s="43"/>
      <c r="T62" s="43"/>
      <c r="U62" s="43"/>
      <c r="V62" s="43"/>
      <c r="W62" s="56" t="s">
        <v>46</v>
      </c>
      <c r="X62" s="34"/>
      <c r="Y62" s="34"/>
      <c r="Z62" s="61"/>
      <c r="AA62" s="61"/>
      <c r="AB62" s="66"/>
      <c r="AC62" s="34"/>
      <c r="AD62" s="34"/>
      <c r="AE62" s="66"/>
      <c r="AF62" s="34"/>
      <c r="AG62" s="34"/>
      <c r="AH62" s="34"/>
      <c r="AI62" s="34"/>
      <c r="AJ62" s="34"/>
      <c r="AK62" s="34"/>
      <c r="AL62" s="34"/>
      <c r="AM62" s="34"/>
      <c r="AN62" s="34"/>
      <c r="AO62" s="34"/>
    </row>
    <row r="63" ht="15.75" customHeight="1">
      <c r="A63" s="28">
        <v>56.0</v>
      </c>
      <c r="B63" s="37" t="s">
        <v>2092</v>
      </c>
      <c r="C63" s="37" t="s">
        <v>1957</v>
      </c>
      <c r="D63" s="37" t="s">
        <v>2093</v>
      </c>
      <c r="E63" s="133" t="s">
        <v>338</v>
      </c>
      <c r="F63" s="134">
        <v>34.0</v>
      </c>
      <c r="G63" s="134" t="s">
        <v>339</v>
      </c>
      <c r="H63" s="134" t="s">
        <v>435</v>
      </c>
      <c r="I63" s="134">
        <v>9.095158844E9</v>
      </c>
      <c r="J63" s="87">
        <v>25.0</v>
      </c>
      <c r="K63" s="55">
        <v>17.0</v>
      </c>
      <c r="L63" s="55">
        <v>0.0</v>
      </c>
      <c r="M63" s="55">
        <v>0.0</v>
      </c>
      <c r="N63" s="43">
        <f t="shared" si="3"/>
        <v>0</v>
      </c>
      <c r="O63" s="55">
        <v>7.0</v>
      </c>
      <c r="P63" s="55">
        <v>7.0</v>
      </c>
      <c r="Q63" s="43">
        <f t="shared" si="2"/>
        <v>14</v>
      </c>
      <c r="R63" s="43"/>
      <c r="S63" s="43"/>
      <c r="T63" s="43"/>
      <c r="U63" s="43"/>
      <c r="V63" s="43"/>
      <c r="W63" s="56" t="s">
        <v>46</v>
      </c>
      <c r="X63" s="34"/>
      <c r="Y63" s="34"/>
      <c r="Z63" s="61"/>
      <c r="AA63" s="61"/>
      <c r="AB63" s="66"/>
      <c r="AC63" s="34"/>
      <c r="AD63" s="34"/>
      <c r="AE63" s="66"/>
      <c r="AF63" s="34"/>
      <c r="AG63" s="34"/>
      <c r="AH63" s="34"/>
      <c r="AI63" s="34"/>
      <c r="AJ63" s="34"/>
      <c r="AK63" s="34"/>
      <c r="AL63" s="34"/>
      <c r="AM63" s="34"/>
      <c r="AN63" s="34"/>
      <c r="AO63" s="34"/>
    </row>
    <row r="64" ht="15.75" customHeight="1">
      <c r="A64" s="28">
        <v>57.0</v>
      </c>
      <c r="B64" s="37" t="s">
        <v>2094</v>
      </c>
      <c r="C64" s="37" t="s">
        <v>2095</v>
      </c>
      <c r="D64" s="37" t="s">
        <v>2096</v>
      </c>
      <c r="E64" s="133" t="s">
        <v>338</v>
      </c>
      <c r="F64" s="134">
        <v>39.0</v>
      </c>
      <c r="G64" s="134" t="s">
        <v>339</v>
      </c>
      <c r="H64" s="134" t="s">
        <v>435</v>
      </c>
      <c r="I64" s="134">
        <v>9.256080786E9</v>
      </c>
      <c r="J64" s="87">
        <v>27.0</v>
      </c>
      <c r="K64" s="55">
        <v>23.0</v>
      </c>
      <c r="L64" s="55">
        <v>1.0</v>
      </c>
      <c r="M64" s="55">
        <v>1.0</v>
      </c>
      <c r="N64" s="43">
        <f t="shared" si="3"/>
        <v>2</v>
      </c>
      <c r="O64" s="55">
        <v>5.0</v>
      </c>
      <c r="P64" s="55">
        <v>2.0</v>
      </c>
      <c r="Q64" s="43">
        <f t="shared" si="2"/>
        <v>9</v>
      </c>
      <c r="R64" s="43"/>
      <c r="S64" s="43"/>
      <c r="T64" s="43"/>
      <c r="U64" s="43"/>
      <c r="V64" s="43"/>
      <c r="W64" s="56" t="s">
        <v>46</v>
      </c>
      <c r="X64" s="34"/>
      <c r="Y64" s="34"/>
      <c r="Z64" s="61"/>
      <c r="AA64" s="61"/>
      <c r="AB64" s="66"/>
      <c r="AC64" s="34"/>
      <c r="AD64" s="34"/>
      <c r="AE64" s="66"/>
      <c r="AF64" s="34"/>
      <c r="AG64" s="34"/>
      <c r="AH64" s="34"/>
      <c r="AI64" s="34"/>
      <c r="AJ64" s="34"/>
      <c r="AK64" s="34"/>
      <c r="AL64" s="34"/>
      <c r="AM64" s="34"/>
      <c r="AN64" s="34"/>
      <c r="AO64" s="34"/>
    </row>
    <row r="65" ht="15.75" customHeight="1">
      <c r="A65" s="28">
        <v>58.0</v>
      </c>
      <c r="B65" s="37" t="s">
        <v>2097</v>
      </c>
      <c r="C65" s="37" t="s">
        <v>2098</v>
      </c>
      <c r="D65" s="37" t="s">
        <v>2099</v>
      </c>
      <c r="E65" s="133" t="s">
        <v>338</v>
      </c>
      <c r="F65" s="134">
        <v>46.0</v>
      </c>
      <c r="G65" s="134" t="s">
        <v>385</v>
      </c>
      <c r="H65" s="134" t="s">
        <v>435</v>
      </c>
      <c r="I65" s="142"/>
      <c r="J65" s="87">
        <v>27.0</v>
      </c>
      <c r="K65" s="55">
        <v>14.0</v>
      </c>
      <c r="L65" s="55">
        <v>4.0</v>
      </c>
      <c r="M65" s="55">
        <v>9.0</v>
      </c>
      <c r="N65" s="43">
        <f t="shared" si="3"/>
        <v>13</v>
      </c>
      <c r="O65" s="55">
        <v>5.0</v>
      </c>
      <c r="P65" s="55">
        <v>0.0</v>
      </c>
      <c r="Q65" s="43">
        <f t="shared" si="2"/>
        <v>18</v>
      </c>
      <c r="R65" s="43"/>
      <c r="S65" s="43"/>
      <c r="T65" s="43"/>
      <c r="U65" s="43"/>
      <c r="V65" s="43"/>
      <c r="W65" s="56" t="s">
        <v>46</v>
      </c>
      <c r="X65" s="34"/>
      <c r="Y65" s="34"/>
      <c r="Z65" s="61"/>
      <c r="AA65" s="61"/>
      <c r="AB65" s="66"/>
      <c r="AC65" s="34"/>
      <c r="AD65" s="34"/>
      <c r="AE65" s="66"/>
      <c r="AF65" s="34"/>
      <c r="AG65" s="34"/>
      <c r="AH65" s="34"/>
      <c r="AI65" s="34"/>
      <c r="AJ65" s="34"/>
      <c r="AK65" s="34"/>
      <c r="AL65" s="34"/>
      <c r="AM65" s="34"/>
      <c r="AN65" s="34"/>
      <c r="AO65" s="34"/>
    </row>
    <row r="66" ht="15.75" customHeight="1">
      <c r="A66" s="28">
        <v>59.0</v>
      </c>
      <c r="B66" s="37" t="s">
        <v>2097</v>
      </c>
      <c r="C66" s="37" t="s">
        <v>2100</v>
      </c>
      <c r="D66" s="37" t="s">
        <v>2099</v>
      </c>
      <c r="E66" s="133" t="s">
        <v>338</v>
      </c>
      <c r="F66" s="134">
        <v>48.0</v>
      </c>
      <c r="G66" s="134" t="s">
        <v>339</v>
      </c>
      <c r="H66" s="134" t="s">
        <v>435</v>
      </c>
      <c r="I66" s="163" t="s">
        <v>2101</v>
      </c>
      <c r="J66" s="87">
        <v>24.0</v>
      </c>
      <c r="K66" s="55">
        <v>14.0</v>
      </c>
      <c r="L66" s="55">
        <v>0.0</v>
      </c>
      <c r="M66" s="55">
        <v>0.0</v>
      </c>
      <c r="N66" s="43">
        <f t="shared" si="3"/>
        <v>0</v>
      </c>
      <c r="O66" s="55">
        <v>8.0</v>
      </c>
      <c r="P66" s="55">
        <v>9.0</v>
      </c>
      <c r="Q66" s="43">
        <f t="shared" si="2"/>
        <v>17</v>
      </c>
      <c r="R66" s="43"/>
      <c r="S66" s="43"/>
      <c r="T66" s="43"/>
      <c r="U66" s="43"/>
      <c r="V66" s="43"/>
      <c r="W66" s="56" t="s">
        <v>46</v>
      </c>
      <c r="X66" s="34"/>
      <c r="Y66" s="34"/>
      <c r="Z66" s="61"/>
      <c r="AA66" s="61"/>
      <c r="AB66" s="66"/>
      <c r="AC66" s="34"/>
      <c r="AD66" s="34"/>
      <c r="AE66" s="66"/>
      <c r="AF66" s="34"/>
      <c r="AG66" s="34"/>
      <c r="AH66" s="34"/>
      <c r="AI66" s="34"/>
      <c r="AJ66" s="34"/>
      <c r="AK66" s="34"/>
      <c r="AL66" s="34"/>
      <c r="AM66" s="34"/>
      <c r="AN66" s="34"/>
      <c r="AO66" s="34"/>
    </row>
    <row r="67" ht="15.75" customHeight="1">
      <c r="A67" s="28">
        <v>60.0</v>
      </c>
      <c r="B67" s="37" t="s">
        <v>878</v>
      </c>
      <c r="C67" s="37" t="s">
        <v>2102</v>
      </c>
      <c r="D67" s="37" t="s">
        <v>2103</v>
      </c>
      <c r="E67" s="133" t="s">
        <v>338</v>
      </c>
      <c r="F67" s="134">
        <v>25.0</v>
      </c>
      <c r="G67" s="134" t="s">
        <v>385</v>
      </c>
      <c r="H67" s="134" t="s">
        <v>435</v>
      </c>
      <c r="I67" s="134">
        <v>9.560858204E9</v>
      </c>
      <c r="J67" s="87">
        <v>29.0</v>
      </c>
      <c r="K67" s="55">
        <v>23.0</v>
      </c>
      <c r="L67" s="55">
        <v>0.0</v>
      </c>
      <c r="M67" s="55">
        <v>5.0</v>
      </c>
      <c r="N67" s="43">
        <f t="shared" si="3"/>
        <v>5</v>
      </c>
      <c r="O67" s="55">
        <v>2.0</v>
      </c>
      <c r="P67" s="55">
        <v>1.0</v>
      </c>
      <c r="Q67" s="43">
        <f t="shared" si="2"/>
        <v>8</v>
      </c>
      <c r="R67" s="43"/>
      <c r="S67" s="43"/>
      <c r="T67" s="43"/>
      <c r="U67" s="43"/>
      <c r="V67" s="43"/>
      <c r="W67" s="56" t="s">
        <v>46</v>
      </c>
      <c r="X67" s="34"/>
      <c r="Y67" s="34"/>
      <c r="Z67" s="61"/>
      <c r="AA67" s="61"/>
      <c r="AB67" s="66"/>
      <c r="AC67" s="34"/>
      <c r="AD67" s="34"/>
      <c r="AE67" s="66"/>
      <c r="AF67" s="34"/>
      <c r="AG67" s="34"/>
      <c r="AH67" s="34"/>
      <c r="AI67" s="34"/>
      <c r="AJ67" s="34"/>
      <c r="AK67" s="34"/>
      <c r="AL67" s="34"/>
      <c r="AM67" s="34"/>
      <c r="AN67" s="34"/>
      <c r="AO67" s="34"/>
    </row>
    <row r="68" ht="15.75" customHeight="1">
      <c r="A68" s="28">
        <v>61.0</v>
      </c>
      <c r="B68" s="37" t="s">
        <v>2104</v>
      </c>
      <c r="C68" s="37" t="s">
        <v>2105</v>
      </c>
      <c r="D68" s="37" t="s">
        <v>2106</v>
      </c>
      <c r="E68" s="133" t="s">
        <v>338</v>
      </c>
      <c r="F68" s="134">
        <v>44.0</v>
      </c>
      <c r="G68" s="134" t="s">
        <v>339</v>
      </c>
      <c r="H68" s="134" t="s">
        <v>708</v>
      </c>
      <c r="I68" s="134">
        <v>9.159464129E9</v>
      </c>
      <c r="J68" s="87">
        <v>22.0</v>
      </c>
      <c r="K68" s="55">
        <v>20.0</v>
      </c>
      <c r="L68" s="55">
        <v>0.0</v>
      </c>
      <c r="M68" s="55">
        <v>0.0</v>
      </c>
      <c r="N68" s="43">
        <f t="shared" si="3"/>
        <v>0</v>
      </c>
      <c r="O68" s="55">
        <v>6.0</v>
      </c>
      <c r="P68" s="55">
        <v>2.0</v>
      </c>
      <c r="Q68" s="43">
        <f t="shared" si="2"/>
        <v>8</v>
      </c>
      <c r="R68" s="43"/>
      <c r="S68" s="43"/>
      <c r="T68" s="43"/>
      <c r="U68" s="43"/>
      <c r="V68" s="55" t="s">
        <v>1994</v>
      </c>
      <c r="W68" s="56" t="s">
        <v>46</v>
      </c>
      <c r="X68" s="34"/>
      <c r="Y68" s="34"/>
      <c r="Z68" s="61"/>
      <c r="AA68" s="61"/>
      <c r="AB68" s="66"/>
      <c r="AC68" s="34"/>
      <c r="AD68" s="34"/>
      <c r="AE68" s="66"/>
      <c r="AF68" s="34"/>
      <c r="AG68" s="34"/>
      <c r="AH68" s="34"/>
      <c r="AI68" s="34"/>
      <c r="AJ68" s="34"/>
      <c r="AK68" s="34"/>
      <c r="AL68" s="34"/>
      <c r="AM68" s="34"/>
      <c r="AN68" s="34"/>
      <c r="AO68" s="34"/>
    </row>
    <row r="69" ht="15.75" customHeight="1">
      <c r="A69" s="28">
        <v>62.0</v>
      </c>
      <c r="B69" s="37" t="s">
        <v>2107</v>
      </c>
      <c r="C69" s="37" t="s">
        <v>2108</v>
      </c>
      <c r="D69" s="37" t="s">
        <v>2109</v>
      </c>
      <c r="E69" s="133" t="s">
        <v>338</v>
      </c>
      <c r="F69" s="134">
        <v>35.0</v>
      </c>
      <c r="G69" s="134" t="s">
        <v>339</v>
      </c>
      <c r="H69" s="134" t="s">
        <v>646</v>
      </c>
      <c r="I69" s="134">
        <v>9.567005743E9</v>
      </c>
      <c r="J69" s="87">
        <v>28.0</v>
      </c>
      <c r="K69" s="55">
        <v>25.0</v>
      </c>
      <c r="L69" s="55">
        <v>0.0</v>
      </c>
      <c r="M69" s="55">
        <v>0.0</v>
      </c>
      <c r="N69" s="43">
        <f t="shared" si="3"/>
        <v>0</v>
      </c>
      <c r="O69" s="55">
        <v>4.0</v>
      </c>
      <c r="P69" s="55">
        <v>3.0</v>
      </c>
      <c r="Q69" s="43">
        <f t="shared" si="2"/>
        <v>7</v>
      </c>
      <c r="R69" s="43"/>
      <c r="S69" s="55" t="s">
        <v>277</v>
      </c>
      <c r="T69" s="43"/>
      <c r="U69" s="43"/>
      <c r="V69" s="43"/>
      <c r="W69" s="56" t="s">
        <v>46</v>
      </c>
      <c r="X69" s="34"/>
      <c r="Y69" s="34"/>
      <c r="Z69" s="61"/>
      <c r="AA69" s="61"/>
      <c r="AB69" s="66"/>
      <c r="AC69" s="34"/>
      <c r="AD69" s="34"/>
      <c r="AE69" s="66"/>
      <c r="AF69" s="34"/>
      <c r="AG69" s="34"/>
      <c r="AH69" s="34"/>
      <c r="AI69" s="34"/>
      <c r="AJ69" s="34"/>
      <c r="AK69" s="34"/>
      <c r="AL69" s="34"/>
      <c r="AM69" s="34"/>
      <c r="AN69" s="34"/>
      <c r="AO69" s="34"/>
    </row>
    <row r="70" ht="15.75" customHeight="1">
      <c r="A70" s="28">
        <v>63.0</v>
      </c>
      <c r="B70" s="37" t="s">
        <v>2110</v>
      </c>
      <c r="C70" s="37" t="s">
        <v>2111</v>
      </c>
      <c r="D70" s="37" t="s">
        <v>2112</v>
      </c>
      <c r="E70" s="133" t="s">
        <v>338</v>
      </c>
      <c r="F70" s="134">
        <v>43.0</v>
      </c>
      <c r="G70" s="134" t="s">
        <v>339</v>
      </c>
      <c r="H70" s="134" t="s">
        <v>435</v>
      </c>
      <c r="I70" s="134">
        <v>9.482573243E9</v>
      </c>
      <c r="J70" s="87">
        <v>13.0</v>
      </c>
      <c r="K70" s="55">
        <v>9.0</v>
      </c>
      <c r="L70" s="55">
        <v>0.0</v>
      </c>
      <c r="M70" s="55">
        <v>3.0</v>
      </c>
      <c r="N70" s="43">
        <f t="shared" si="3"/>
        <v>3</v>
      </c>
      <c r="O70" s="55">
        <v>20.0</v>
      </c>
      <c r="P70" s="55">
        <v>0.0</v>
      </c>
      <c r="Q70" s="43">
        <f t="shared" si="2"/>
        <v>23</v>
      </c>
      <c r="R70" s="43"/>
      <c r="S70" s="55" t="s">
        <v>88</v>
      </c>
      <c r="T70" s="43"/>
      <c r="U70" s="43"/>
      <c r="V70" s="43"/>
      <c r="W70" s="56" t="s">
        <v>46</v>
      </c>
      <c r="X70" s="34"/>
      <c r="Y70" s="34"/>
      <c r="Z70" s="61"/>
      <c r="AA70" s="61"/>
      <c r="AB70" s="66"/>
      <c r="AC70" s="34"/>
      <c r="AD70" s="34"/>
      <c r="AE70" s="66"/>
      <c r="AF70" s="34"/>
      <c r="AG70" s="34"/>
      <c r="AH70" s="34"/>
      <c r="AI70" s="34"/>
      <c r="AJ70" s="34"/>
      <c r="AK70" s="34"/>
      <c r="AL70" s="34"/>
      <c r="AM70" s="34"/>
      <c r="AN70" s="34"/>
      <c r="AO70" s="34"/>
    </row>
    <row r="71" ht="15.75" customHeight="1">
      <c r="A71" s="28">
        <v>64.0</v>
      </c>
      <c r="B71" s="37" t="s">
        <v>2113</v>
      </c>
      <c r="C71" s="37" t="s">
        <v>2114</v>
      </c>
      <c r="D71" s="37" t="s">
        <v>2115</v>
      </c>
      <c r="E71" s="133" t="s">
        <v>338</v>
      </c>
      <c r="F71" s="134">
        <v>46.0</v>
      </c>
      <c r="G71" s="134" t="s">
        <v>385</v>
      </c>
      <c r="H71" s="134" t="s">
        <v>435</v>
      </c>
      <c r="I71" s="134">
        <v>9.694027701E9</v>
      </c>
      <c r="J71" s="87">
        <v>23.0</v>
      </c>
      <c r="K71" s="55">
        <v>20.0</v>
      </c>
      <c r="L71" s="55">
        <v>0.0</v>
      </c>
      <c r="M71" s="55">
        <v>3.0</v>
      </c>
      <c r="N71" s="43">
        <f t="shared" si="3"/>
        <v>3</v>
      </c>
      <c r="O71" s="55">
        <v>9.0</v>
      </c>
      <c r="P71" s="55">
        <v>1.0</v>
      </c>
      <c r="Q71" s="43">
        <f t="shared" si="2"/>
        <v>13</v>
      </c>
      <c r="R71" s="43"/>
      <c r="S71" s="55" t="s">
        <v>277</v>
      </c>
      <c r="T71" s="43"/>
      <c r="U71" s="43"/>
      <c r="V71" s="43"/>
      <c r="W71" s="56" t="s">
        <v>46</v>
      </c>
      <c r="X71" s="34"/>
      <c r="Y71" s="34"/>
      <c r="Z71" s="61"/>
      <c r="AA71" s="61"/>
      <c r="AB71" s="66"/>
      <c r="AC71" s="34"/>
      <c r="AD71" s="34"/>
      <c r="AE71" s="66"/>
      <c r="AF71" s="34"/>
      <c r="AG71" s="34"/>
      <c r="AH71" s="34"/>
      <c r="AI71" s="34"/>
      <c r="AJ71" s="34"/>
      <c r="AK71" s="34"/>
      <c r="AL71" s="34"/>
      <c r="AM71" s="34"/>
      <c r="AN71" s="34"/>
      <c r="AO71" s="34"/>
    </row>
    <row r="72" ht="15.75" customHeight="1">
      <c r="A72" s="28">
        <v>65.0</v>
      </c>
      <c r="B72" s="37" t="s">
        <v>2116</v>
      </c>
      <c r="C72" s="37" t="s">
        <v>2117</v>
      </c>
      <c r="D72" s="37" t="s">
        <v>2118</v>
      </c>
      <c r="E72" s="133" t="s">
        <v>338</v>
      </c>
      <c r="F72" s="134">
        <v>37.0</v>
      </c>
      <c r="G72" s="134" t="s">
        <v>339</v>
      </c>
      <c r="H72" s="134" t="s">
        <v>435</v>
      </c>
      <c r="I72" s="134">
        <v>9.93824729E9</v>
      </c>
      <c r="J72" s="87">
        <v>26.0</v>
      </c>
      <c r="K72" s="55">
        <v>25.0</v>
      </c>
      <c r="L72" s="55">
        <v>0.0</v>
      </c>
      <c r="M72" s="55">
        <v>1.0</v>
      </c>
      <c r="N72" s="43">
        <f t="shared" si="3"/>
        <v>1</v>
      </c>
      <c r="O72" s="55">
        <v>6.0</v>
      </c>
      <c r="P72" s="55">
        <v>0.0</v>
      </c>
      <c r="Q72" s="43">
        <f t="shared" si="2"/>
        <v>7</v>
      </c>
      <c r="R72" s="43"/>
      <c r="S72" s="43"/>
      <c r="T72" s="43"/>
      <c r="U72" s="43"/>
      <c r="V72" s="43"/>
      <c r="W72" s="56" t="s">
        <v>46</v>
      </c>
      <c r="X72" s="34"/>
      <c r="Y72" s="34"/>
      <c r="Z72" s="61"/>
      <c r="AA72" s="61"/>
      <c r="AB72" s="66"/>
      <c r="AC72" s="34"/>
      <c r="AD72" s="34"/>
      <c r="AE72" s="66"/>
      <c r="AF72" s="34"/>
      <c r="AG72" s="34"/>
      <c r="AH72" s="34"/>
      <c r="AI72" s="34"/>
      <c r="AJ72" s="34"/>
      <c r="AK72" s="34"/>
      <c r="AL72" s="34"/>
      <c r="AM72" s="34"/>
      <c r="AN72" s="34"/>
      <c r="AO72" s="34"/>
    </row>
    <row r="73" ht="15.75" customHeight="1">
      <c r="A73" s="28">
        <v>66.0</v>
      </c>
      <c r="B73" s="37" t="s">
        <v>2119</v>
      </c>
      <c r="C73" s="37" t="s">
        <v>1944</v>
      </c>
      <c r="D73" s="37" t="s">
        <v>2120</v>
      </c>
      <c r="E73" s="133" t="s">
        <v>338</v>
      </c>
      <c r="F73" s="134">
        <v>51.0</v>
      </c>
      <c r="G73" s="134" t="s">
        <v>339</v>
      </c>
      <c r="H73" s="134" t="s">
        <v>435</v>
      </c>
      <c r="I73" s="134">
        <v>9.605314283E9</v>
      </c>
      <c r="J73" s="87">
        <v>29.0</v>
      </c>
      <c r="K73" s="55">
        <v>27.0</v>
      </c>
      <c r="L73" s="55">
        <v>0.0</v>
      </c>
      <c r="M73" s="55">
        <v>0.0</v>
      </c>
      <c r="N73" s="43">
        <f t="shared" si="3"/>
        <v>0</v>
      </c>
      <c r="O73" s="55">
        <v>1.0</v>
      </c>
      <c r="P73" s="55">
        <v>2.0</v>
      </c>
      <c r="Q73" s="43">
        <f t="shared" si="2"/>
        <v>3</v>
      </c>
      <c r="R73" s="43"/>
      <c r="S73" s="43"/>
      <c r="T73" s="43"/>
      <c r="U73" s="43"/>
      <c r="V73" s="43"/>
      <c r="W73" s="56" t="s">
        <v>46</v>
      </c>
      <c r="X73" s="34"/>
      <c r="Y73" s="34"/>
      <c r="Z73" s="61"/>
      <c r="AA73" s="61"/>
      <c r="AB73" s="66"/>
      <c r="AC73" s="34"/>
      <c r="AD73" s="34"/>
      <c r="AE73" s="66"/>
      <c r="AF73" s="34"/>
      <c r="AG73" s="34"/>
      <c r="AH73" s="34"/>
      <c r="AI73" s="34"/>
      <c r="AJ73" s="34"/>
      <c r="AK73" s="34"/>
      <c r="AL73" s="34"/>
      <c r="AM73" s="34"/>
      <c r="AN73" s="34"/>
      <c r="AO73" s="34"/>
    </row>
    <row r="74" ht="15.75" customHeight="1">
      <c r="A74" s="28">
        <v>67.0</v>
      </c>
      <c r="B74" s="37" t="s">
        <v>2121</v>
      </c>
      <c r="C74" s="37" t="s">
        <v>2122</v>
      </c>
      <c r="D74" s="37" t="s">
        <v>1274</v>
      </c>
      <c r="E74" s="133" t="s">
        <v>338</v>
      </c>
      <c r="F74" s="134">
        <v>41.0</v>
      </c>
      <c r="G74" s="134" t="s">
        <v>339</v>
      </c>
      <c r="H74" s="134" t="s">
        <v>646</v>
      </c>
      <c r="I74" s="134">
        <v>9.452798293E9</v>
      </c>
      <c r="J74" s="87">
        <v>13.0</v>
      </c>
      <c r="K74" s="55">
        <v>9.0</v>
      </c>
      <c r="L74" s="55">
        <v>0.0</v>
      </c>
      <c r="M74" s="55">
        <v>0.0</v>
      </c>
      <c r="N74" s="43">
        <f t="shared" si="3"/>
        <v>0</v>
      </c>
      <c r="O74" s="55">
        <v>19.0</v>
      </c>
      <c r="P74" s="55">
        <v>4.0</v>
      </c>
      <c r="Q74" s="43">
        <f t="shared" si="2"/>
        <v>23</v>
      </c>
      <c r="R74" s="43"/>
      <c r="S74" s="55" t="s">
        <v>93</v>
      </c>
      <c r="T74" s="55"/>
      <c r="U74" s="55" t="s">
        <v>101</v>
      </c>
      <c r="V74" s="55" t="s">
        <v>2123</v>
      </c>
      <c r="W74" s="56" t="s">
        <v>46</v>
      </c>
      <c r="X74" s="34"/>
      <c r="Y74" s="34"/>
      <c r="Z74" s="61"/>
      <c r="AA74" s="61"/>
      <c r="AB74" s="66"/>
      <c r="AC74" s="34"/>
      <c r="AD74" s="34"/>
      <c r="AE74" s="66"/>
      <c r="AF74" s="34"/>
      <c r="AG74" s="34"/>
      <c r="AH74" s="34"/>
      <c r="AI74" s="34"/>
      <c r="AJ74" s="34"/>
      <c r="AK74" s="34"/>
      <c r="AL74" s="34"/>
      <c r="AM74" s="34"/>
      <c r="AN74" s="34"/>
      <c r="AO74" s="34"/>
    </row>
    <row r="75" ht="15.75" customHeight="1">
      <c r="A75" s="28">
        <v>68.0</v>
      </c>
      <c r="B75" s="37" t="s">
        <v>2124</v>
      </c>
      <c r="C75" s="37" t="s">
        <v>1982</v>
      </c>
      <c r="D75" s="37" t="s">
        <v>2125</v>
      </c>
      <c r="E75" s="133" t="s">
        <v>338</v>
      </c>
      <c r="F75" s="134">
        <v>34.0</v>
      </c>
      <c r="G75" s="134" t="s">
        <v>385</v>
      </c>
      <c r="H75" s="134" t="s">
        <v>646</v>
      </c>
      <c r="I75" s="134">
        <v>9.16295831E8</v>
      </c>
      <c r="J75" s="87">
        <v>23.0</v>
      </c>
      <c r="K75" s="55">
        <v>21.0</v>
      </c>
      <c r="L75" s="55">
        <v>0.0</v>
      </c>
      <c r="M75" s="55">
        <v>2.0</v>
      </c>
      <c r="N75" s="43">
        <f t="shared" si="3"/>
        <v>2</v>
      </c>
      <c r="O75" s="55">
        <v>9.0</v>
      </c>
      <c r="P75" s="55">
        <v>0.0</v>
      </c>
      <c r="Q75" s="43">
        <f t="shared" si="2"/>
        <v>11</v>
      </c>
      <c r="R75" s="43"/>
      <c r="S75" s="43"/>
      <c r="T75" s="43"/>
      <c r="U75" s="43"/>
      <c r="V75" s="43"/>
      <c r="W75" s="56" t="s">
        <v>46</v>
      </c>
      <c r="X75" s="34"/>
      <c r="Y75" s="34"/>
      <c r="Z75" s="61"/>
      <c r="AA75" s="61"/>
      <c r="AB75" s="66"/>
      <c r="AC75" s="34"/>
      <c r="AD75" s="34"/>
      <c r="AE75" s="66"/>
      <c r="AF75" s="34"/>
      <c r="AG75" s="34"/>
      <c r="AH75" s="34"/>
      <c r="AI75" s="34"/>
      <c r="AJ75" s="34"/>
      <c r="AK75" s="34"/>
      <c r="AL75" s="34"/>
      <c r="AM75" s="34"/>
      <c r="AN75" s="34"/>
      <c r="AO75" s="34"/>
    </row>
    <row r="76" ht="15.75" customHeight="1">
      <c r="A76" s="28">
        <v>69.0</v>
      </c>
      <c r="B76" s="37" t="s">
        <v>2126</v>
      </c>
      <c r="C76" s="37" t="s">
        <v>2127</v>
      </c>
      <c r="D76" s="37" t="s">
        <v>2128</v>
      </c>
      <c r="E76" s="133" t="s">
        <v>338</v>
      </c>
      <c r="F76" s="134">
        <v>29.0</v>
      </c>
      <c r="G76" s="134" t="s">
        <v>339</v>
      </c>
      <c r="H76" s="134" t="s">
        <v>435</v>
      </c>
      <c r="I76" s="134">
        <v>9.356436739E9</v>
      </c>
      <c r="J76" s="87">
        <v>30.0</v>
      </c>
      <c r="K76" s="55">
        <v>24.0</v>
      </c>
      <c r="L76" s="55">
        <v>4.0</v>
      </c>
      <c r="M76" s="55">
        <v>2.0</v>
      </c>
      <c r="N76" s="43">
        <f t="shared" si="3"/>
        <v>6</v>
      </c>
      <c r="O76" s="55">
        <v>0.0</v>
      </c>
      <c r="P76" s="55">
        <v>2.0</v>
      </c>
      <c r="Q76" s="43">
        <f t="shared" si="2"/>
        <v>8</v>
      </c>
      <c r="R76" s="43"/>
      <c r="S76" s="43"/>
      <c r="T76" s="43"/>
      <c r="U76" s="43"/>
      <c r="V76" s="43"/>
      <c r="W76" s="56" t="s">
        <v>46</v>
      </c>
      <c r="X76" s="34"/>
      <c r="Y76" s="34"/>
      <c r="Z76" s="61"/>
      <c r="AA76" s="61"/>
      <c r="AB76" s="66"/>
      <c r="AC76" s="34"/>
      <c r="AD76" s="34"/>
      <c r="AE76" s="66"/>
      <c r="AF76" s="34"/>
      <c r="AG76" s="34"/>
      <c r="AH76" s="34"/>
      <c r="AI76" s="34"/>
      <c r="AJ76" s="34"/>
      <c r="AK76" s="34"/>
      <c r="AL76" s="34"/>
      <c r="AM76" s="34"/>
      <c r="AN76" s="34"/>
      <c r="AO76" s="34"/>
    </row>
    <row r="77" ht="15.75" customHeight="1">
      <c r="A77" s="28">
        <v>70.0</v>
      </c>
      <c r="B77" s="37" t="s">
        <v>2129</v>
      </c>
      <c r="C77" s="37" t="s">
        <v>2130</v>
      </c>
      <c r="D77" s="37" t="s">
        <v>250</v>
      </c>
      <c r="E77" s="133" t="s">
        <v>338</v>
      </c>
      <c r="F77" s="134">
        <v>33.0</v>
      </c>
      <c r="G77" s="134" t="s">
        <v>339</v>
      </c>
      <c r="H77" s="134" t="s">
        <v>435</v>
      </c>
      <c r="I77" s="134">
        <v>9.277402467E9</v>
      </c>
      <c r="J77" s="54">
        <v>32.0</v>
      </c>
      <c r="K77" s="55">
        <v>27.0</v>
      </c>
      <c r="L77" s="55">
        <v>0.0</v>
      </c>
      <c r="M77" s="55">
        <v>5.0</v>
      </c>
      <c r="N77" s="43">
        <f t="shared" si="3"/>
        <v>5</v>
      </c>
      <c r="O77" s="55">
        <v>0.0</v>
      </c>
      <c r="P77" s="55">
        <v>0.0</v>
      </c>
      <c r="Q77" s="43">
        <f t="shared" si="2"/>
        <v>5</v>
      </c>
      <c r="R77" s="43"/>
      <c r="S77" s="43"/>
      <c r="T77" s="43"/>
      <c r="U77" s="43"/>
      <c r="V77" s="43"/>
      <c r="W77" s="56" t="s">
        <v>46</v>
      </c>
      <c r="X77" s="34"/>
      <c r="Y77" s="34"/>
      <c r="Z77" s="61"/>
      <c r="AA77" s="61"/>
      <c r="AB77" s="66"/>
      <c r="AC77" s="34"/>
      <c r="AD77" s="34"/>
      <c r="AE77" s="66"/>
      <c r="AF77" s="34"/>
      <c r="AG77" s="34"/>
      <c r="AH77" s="34"/>
      <c r="AI77" s="34"/>
      <c r="AJ77" s="34"/>
      <c r="AK77" s="34"/>
      <c r="AL77" s="34"/>
      <c r="AM77" s="34"/>
      <c r="AN77" s="34"/>
      <c r="AO77" s="34"/>
    </row>
    <row r="78" ht="15.75" customHeight="1">
      <c r="A78" s="28">
        <v>71.0</v>
      </c>
      <c r="B78" s="37" t="s">
        <v>2131</v>
      </c>
      <c r="C78" s="37" t="s">
        <v>2132</v>
      </c>
      <c r="D78" s="37" t="s">
        <v>250</v>
      </c>
      <c r="E78" s="133" t="s">
        <v>338</v>
      </c>
      <c r="F78" s="134">
        <v>36.0</v>
      </c>
      <c r="G78" s="134" t="s">
        <v>339</v>
      </c>
      <c r="H78" s="134" t="s">
        <v>435</v>
      </c>
      <c r="I78" s="134">
        <v>9.478876015E9</v>
      </c>
      <c r="J78" s="54">
        <v>26.0</v>
      </c>
      <c r="K78" s="55">
        <v>17.0</v>
      </c>
      <c r="L78" s="55">
        <v>2.0</v>
      </c>
      <c r="M78" s="55">
        <v>5.0</v>
      </c>
      <c r="N78" s="43">
        <f t="shared" si="3"/>
        <v>7</v>
      </c>
      <c r="O78" s="55">
        <v>4.0</v>
      </c>
      <c r="P78" s="55">
        <v>2.0</v>
      </c>
      <c r="Q78" s="43">
        <f t="shared" si="2"/>
        <v>13</v>
      </c>
      <c r="R78" s="43"/>
      <c r="S78" s="43"/>
      <c r="T78" s="43"/>
      <c r="U78" s="43"/>
      <c r="V78" s="43"/>
      <c r="W78" s="56" t="s">
        <v>46</v>
      </c>
      <c r="X78" s="34"/>
      <c r="Y78" s="34"/>
      <c r="Z78" s="61"/>
      <c r="AA78" s="61"/>
      <c r="AB78" s="66"/>
      <c r="AC78" s="34"/>
      <c r="AD78" s="34"/>
      <c r="AE78" s="66"/>
      <c r="AF78" s="34"/>
      <c r="AG78" s="34"/>
      <c r="AH78" s="34"/>
      <c r="AI78" s="34"/>
      <c r="AJ78" s="34"/>
      <c r="AK78" s="34"/>
      <c r="AL78" s="34"/>
      <c r="AM78" s="34"/>
      <c r="AN78" s="34"/>
      <c r="AO78" s="34"/>
    </row>
    <row r="79" ht="15.75" customHeight="1">
      <c r="A79" s="28">
        <v>72.0</v>
      </c>
      <c r="B79" s="37" t="s">
        <v>202</v>
      </c>
      <c r="C79" s="37" t="s">
        <v>2133</v>
      </c>
      <c r="D79" s="37" t="s">
        <v>1923</v>
      </c>
      <c r="E79" s="133" t="s">
        <v>338</v>
      </c>
      <c r="F79" s="134">
        <v>57.0</v>
      </c>
      <c r="G79" s="134" t="s">
        <v>339</v>
      </c>
      <c r="H79" s="134" t="s">
        <v>435</v>
      </c>
      <c r="I79" s="134">
        <v>9.669027696E9</v>
      </c>
      <c r="J79" s="54">
        <v>24.0</v>
      </c>
      <c r="K79" s="55">
        <v>23.0</v>
      </c>
      <c r="L79" s="55">
        <v>0.0</v>
      </c>
      <c r="M79" s="55">
        <v>1.0</v>
      </c>
      <c r="N79" s="43">
        <f t="shared" si="3"/>
        <v>1</v>
      </c>
      <c r="O79" s="55">
        <v>8.0</v>
      </c>
      <c r="P79" s="55">
        <v>0.0</v>
      </c>
      <c r="Q79" s="43">
        <f t="shared" si="2"/>
        <v>9</v>
      </c>
      <c r="R79" s="43"/>
      <c r="S79" s="43"/>
      <c r="T79" s="43"/>
      <c r="U79" s="43"/>
      <c r="V79" s="43"/>
      <c r="W79" s="56" t="s">
        <v>46</v>
      </c>
      <c r="X79" s="34"/>
      <c r="Y79" s="34"/>
      <c r="Z79" s="61"/>
      <c r="AA79" s="61"/>
      <c r="AB79" s="66"/>
      <c r="AC79" s="34"/>
      <c r="AD79" s="34"/>
      <c r="AE79" s="66"/>
      <c r="AF79" s="34"/>
      <c r="AG79" s="34"/>
      <c r="AH79" s="34"/>
      <c r="AI79" s="34"/>
      <c r="AJ79" s="34"/>
      <c r="AK79" s="34"/>
      <c r="AL79" s="34"/>
      <c r="AM79" s="34"/>
      <c r="AN79" s="34"/>
      <c r="AO79" s="34"/>
    </row>
    <row r="80" ht="15.75" customHeight="1">
      <c r="A80" s="28">
        <v>73.0</v>
      </c>
      <c r="B80" s="37" t="s">
        <v>2134</v>
      </c>
      <c r="C80" s="37" t="s">
        <v>2135</v>
      </c>
      <c r="D80" s="37" t="s">
        <v>2136</v>
      </c>
      <c r="E80" s="133" t="s">
        <v>338</v>
      </c>
      <c r="F80" s="134">
        <v>48.0</v>
      </c>
      <c r="G80" s="134" t="s">
        <v>339</v>
      </c>
      <c r="H80" s="134" t="s">
        <v>708</v>
      </c>
      <c r="I80" s="134">
        <v>9.451448443E9</v>
      </c>
      <c r="J80" s="54">
        <v>19.0</v>
      </c>
      <c r="K80" s="55">
        <v>19.0</v>
      </c>
      <c r="L80" s="55">
        <v>0.0</v>
      </c>
      <c r="M80" s="55">
        <v>0.0</v>
      </c>
      <c r="N80" s="43">
        <f t="shared" si="3"/>
        <v>0</v>
      </c>
      <c r="O80" s="55">
        <v>13.0</v>
      </c>
      <c r="P80" s="55">
        <v>0.0</v>
      </c>
      <c r="Q80" s="43">
        <f t="shared" si="2"/>
        <v>13</v>
      </c>
      <c r="R80" s="43"/>
      <c r="S80" s="43"/>
      <c r="T80" s="55" t="s">
        <v>140</v>
      </c>
      <c r="U80" s="43"/>
      <c r="V80" s="43"/>
      <c r="W80" s="56" t="s">
        <v>46</v>
      </c>
      <c r="X80" s="34"/>
      <c r="Y80" s="34"/>
      <c r="Z80" s="61"/>
      <c r="AA80" s="61"/>
      <c r="AB80" s="66"/>
      <c r="AC80" s="34"/>
      <c r="AD80" s="34"/>
      <c r="AE80" s="66"/>
      <c r="AF80" s="34"/>
      <c r="AG80" s="34"/>
      <c r="AH80" s="34"/>
      <c r="AI80" s="34"/>
      <c r="AJ80" s="34"/>
      <c r="AK80" s="34"/>
      <c r="AL80" s="34"/>
      <c r="AM80" s="34"/>
      <c r="AN80" s="34"/>
      <c r="AO80" s="34"/>
    </row>
    <row r="81" ht="15.75" customHeight="1">
      <c r="A81" s="28">
        <v>74.0</v>
      </c>
      <c r="B81" s="37" t="s">
        <v>2137</v>
      </c>
      <c r="C81" s="37" t="s">
        <v>2138</v>
      </c>
      <c r="D81" s="37" t="s">
        <v>2000</v>
      </c>
      <c r="E81" s="133" t="s">
        <v>338</v>
      </c>
      <c r="F81" s="134">
        <v>33.0</v>
      </c>
      <c r="G81" s="134" t="s">
        <v>339</v>
      </c>
      <c r="H81" s="134" t="s">
        <v>435</v>
      </c>
      <c r="I81" s="134">
        <v>9.167407706E9</v>
      </c>
      <c r="J81" s="54">
        <v>28.0</v>
      </c>
      <c r="K81" s="55">
        <v>22.0</v>
      </c>
      <c r="L81" s="55">
        <v>0.0</v>
      </c>
      <c r="M81" s="55">
        <v>2.0</v>
      </c>
      <c r="N81" s="43">
        <f t="shared" si="3"/>
        <v>2</v>
      </c>
      <c r="O81" s="55">
        <v>4.0</v>
      </c>
      <c r="P81" s="55">
        <v>4.0</v>
      </c>
      <c r="Q81" s="43">
        <f t="shared" si="2"/>
        <v>10</v>
      </c>
      <c r="R81" s="43"/>
      <c r="S81" s="43"/>
      <c r="T81" s="43"/>
      <c r="U81" s="43"/>
      <c r="V81" s="43"/>
      <c r="W81" s="56" t="s">
        <v>46</v>
      </c>
      <c r="X81" s="34"/>
      <c r="Y81" s="34"/>
      <c r="Z81" s="61"/>
      <c r="AA81" s="61"/>
      <c r="AB81" s="66"/>
      <c r="AC81" s="34"/>
      <c r="AD81" s="34"/>
      <c r="AE81" s="66"/>
      <c r="AF81" s="34"/>
      <c r="AG81" s="34"/>
      <c r="AH81" s="34"/>
      <c r="AI81" s="34"/>
      <c r="AJ81" s="34"/>
      <c r="AK81" s="34"/>
      <c r="AL81" s="34"/>
      <c r="AM81" s="34"/>
      <c r="AN81" s="34"/>
      <c r="AO81" s="34"/>
    </row>
    <row r="82" ht="15.75" customHeight="1">
      <c r="A82" s="28">
        <v>75.0</v>
      </c>
      <c r="B82" s="37" t="s">
        <v>2139</v>
      </c>
      <c r="C82" s="37" t="s">
        <v>2140</v>
      </c>
      <c r="D82" s="37" t="s">
        <v>2141</v>
      </c>
      <c r="E82" s="133" t="s">
        <v>338</v>
      </c>
      <c r="F82" s="134">
        <v>34.0</v>
      </c>
      <c r="G82" s="134" t="s">
        <v>339</v>
      </c>
      <c r="H82" s="134" t="s">
        <v>663</v>
      </c>
      <c r="I82" s="134">
        <v>9.776165937E9</v>
      </c>
      <c r="J82" s="54">
        <v>28.0</v>
      </c>
      <c r="K82" s="55">
        <v>23.0</v>
      </c>
      <c r="L82" s="55">
        <v>0.0</v>
      </c>
      <c r="M82" s="55">
        <v>0.0</v>
      </c>
      <c r="N82" s="43">
        <f t="shared" si="3"/>
        <v>0</v>
      </c>
      <c r="O82" s="55">
        <v>1.0</v>
      </c>
      <c r="P82" s="55">
        <v>5.0</v>
      </c>
      <c r="Q82" s="43">
        <f t="shared" si="2"/>
        <v>6</v>
      </c>
      <c r="R82" s="43"/>
      <c r="S82" s="43"/>
      <c r="T82" s="55" t="s">
        <v>101</v>
      </c>
      <c r="U82" s="43"/>
      <c r="V82" s="55" t="s">
        <v>2142</v>
      </c>
      <c r="W82" s="56" t="s">
        <v>46</v>
      </c>
      <c r="X82" s="34"/>
      <c r="Y82" s="34"/>
      <c r="Z82" s="61"/>
      <c r="AA82" s="61"/>
      <c r="AB82" s="66"/>
      <c r="AC82" s="34"/>
      <c r="AD82" s="34"/>
      <c r="AE82" s="66"/>
      <c r="AF82" s="34"/>
      <c r="AG82" s="34"/>
      <c r="AH82" s="34"/>
      <c r="AI82" s="34"/>
      <c r="AJ82" s="34"/>
      <c r="AK82" s="34"/>
      <c r="AL82" s="34"/>
      <c r="AM82" s="34"/>
      <c r="AN82" s="34"/>
      <c r="AO82" s="34"/>
    </row>
    <row r="83" ht="15.75" customHeight="1">
      <c r="A83" s="28">
        <v>76.0</v>
      </c>
      <c r="B83" s="37" t="s">
        <v>2143</v>
      </c>
      <c r="C83" s="37" t="s">
        <v>471</v>
      </c>
      <c r="D83" s="37" t="s">
        <v>2144</v>
      </c>
      <c r="E83" s="133" t="s">
        <v>338</v>
      </c>
      <c r="F83" s="134">
        <v>63.0</v>
      </c>
      <c r="G83" s="134" t="s">
        <v>339</v>
      </c>
      <c r="H83" s="134" t="s">
        <v>435</v>
      </c>
      <c r="I83" s="134">
        <v>9.297560585E9</v>
      </c>
      <c r="J83" s="54">
        <v>18.0</v>
      </c>
      <c r="K83" s="55">
        <v>14.0</v>
      </c>
      <c r="L83" s="55">
        <v>1.0</v>
      </c>
      <c r="M83" s="55">
        <v>2.0</v>
      </c>
      <c r="N83" s="43">
        <f t="shared" si="3"/>
        <v>3</v>
      </c>
      <c r="O83" s="55">
        <v>14.0</v>
      </c>
      <c r="P83" s="55">
        <v>2.0</v>
      </c>
      <c r="Q83" s="43">
        <f t="shared" si="2"/>
        <v>19</v>
      </c>
      <c r="R83" s="43"/>
      <c r="S83" s="43"/>
      <c r="T83" s="43"/>
      <c r="U83" s="43"/>
      <c r="V83" s="43"/>
      <c r="W83" s="56" t="s">
        <v>46</v>
      </c>
      <c r="X83" s="34"/>
      <c r="Y83" s="34"/>
      <c r="Z83" s="61"/>
      <c r="AA83" s="61"/>
      <c r="AB83" s="66"/>
      <c r="AC83" s="34"/>
      <c r="AD83" s="34"/>
      <c r="AE83" s="66"/>
      <c r="AF83" s="34"/>
      <c r="AG83" s="34"/>
      <c r="AH83" s="34"/>
      <c r="AI83" s="34"/>
      <c r="AJ83" s="34"/>
      <c r="AK83" s="34"/>
      <c r="AL83" s="34"/>
      <c r="AM83" s="34"/>
      <c r="AN83" s="34"/>
      <c r="AO83" s="34"/>
    </row>
    <row r="84" ht="15.75" customHeight="1">
      <c r="A84" s="28">
        <v>77.0</v>
      </c>
      <c r="B84" s="37" t="s">
        <v>2145</v>
      </c>
      <c r="C84" s="37" t="s">
        <v>2146</v>
      </c>
      <c r="D84" s="37" t="s">
        <v>2147</v>
      </c>
      <c r="E84" s="133" t="s">
        <v>338</v>
      </c>
      <c r="F84" s="134">
        <v>53.0</v>
      </c>
      <c r="G84" s="134" t="s">
        <v>339</v>
      </c>
      <c r="H84" s="134" t="s">
        <v>435</v>
      </c>
      <c r="I84" s="134">
        <v>9.194864843E9</v>
      </c>
      <c r="J84" s="54">
        <v>13.0</v>
      </c>
      <c r="K84" s="55">
        <v>11.0</v>
      </c>
      <c r="L84" s="55">
        <v>0.0</v>
      </c>
      <c r="M84" s="55">
        <v>2.0</v>
      </c>
      <c r="N84" s="43">
        <f t="shared" si="3"/>
        <v>2</v>
      </c>
      <c r="O84" s="55">
        <v>20.0</v>
      </c>
      <c r="P84" s="55">
        <v>0.0</v>
      </c>
      <c r="Q84" s="43">
        <f t="shared" si="2"/>
        <v>22</v>
      </c>
      <c r="R84" s="43"/>
      <c r="S84" s="55" t="s">
        <v>88</v>
      </c>
      <c r="T84" s="43"/>
      <c r="U84" s="43"/>
      <c r="V84" s="43"/>
      <c r="W84" s="56" t="s">
        <v>46</v>
      </c>
      <c r="X84" s="34"/>
      <c r="Y84" s="34"/>
      <c r="Z84" s="61"/>
      <c r="AA84" s="61"/>
      <c r="AB84" s="66"/>
      <c r="AC84" s="34"/>
      <c r="AD84" s="34"/>
      <c r="AE84" s="66"/>
      <c r="AF84" s="34"/>
      <c r="AG84" s="34"/>
      <c r="AH84" s="34"/>
      <c r="AI84" s="34"/>
      <c r="AJ84" s="34"/>
      <c r="AK84" s="34"/>
      <c r="AL84" s="34"/>
      <c r="AM84" s="34"/>
      <c r="AN84" s="34"/>
      <c r="AO84" s="34"/>
    </row>
    <row r="85" ht="15.75" customHeight="1">
      <c r="A85" s="28">
        <v>78.0</v>
      </c>
      <c r="B85" s="37" t="s">
        <v>893</v>
      </c>
      <c r="C85" s="37" t="s">
        <v>2148</v>
      </c>
      <c r="D85" s="37" t="s">
        <v>2149</v>
      </c>
      <c r="E85" s="133" t="s">
        <v>338</v>
      </c>
      <c r="F85" s="134">
        <v>52.0</v>
      </c>
      <c r="G85" s="134" t="s">
        <v>339</v>
      </c>
      <c r="H85" s="134" t="s">
        <v>646</v>
      </c>
      <c r="I85" s="134">
        <v>9.165314693E9</v>
      </c>
      <c r="J85" s="54">
        <v>13.0</v>
      </c>
      <c r="K85" s="55">
        <v>8.0</v>
      </c>
      <c r="L85" s="55">
        <v>0.0</v>
      </c>
      <c r="M85" s="55">
        <v>0.0</v>
      </c>
      <c r="N85" s="43">
        <f t="shared" si="3"/>
        <v>0</v>
      </c>
      <c r="O85" s="55">
        <v>19.0</v>
      </c>
      <c r="P85" s="55">
        <v>5.0</v>
      </c>
      <c r="Q85" s="43">
        <f t="shared" si="2"/>
        <v>24</v>
      </c>
      <c r="R85" s="43"/>
      <c r="S85" s="55" t="s">
        <v>88</v>
      </c>
      <c r="T85" s="55" t="s">
        <v>105</v>
      </c>
      <c r="U85" s="43"/>
      <c r="V85" s="43"/>
      <c r="W85" s="56" t="s">
        <v>46</v>
      </c>
      <c r="X85" s="34"/>
      <c r="Y85" s="34"/>
      <c r="Z85" s="61"/>
      <c r="AA85" s="61"/>
      <c r="AB85" s="66"/>
      <c r="AC85" s="34"/>
      <c r="AD85" s="34"/>
      <c r="AE85" s="66"/>
      <c r="AF85" s="34"/>
      <c r="AG85" s="34"/>
      <c r="AH85" s="34"/>
      <c r="AI85" s="34"/>
      <c r="AJ85" s="34"/>
      <c r="AK85" s="34"/>
      <c r="AL85" s="34"/>
      <c r="AM85" s="34"/>
      <c r="AN85" s="34"/>
      <c r="AO85" s="34"/>
    </row>
    <row r="86" ht="15.75" customHeight="1">
      <c r="A86" s="28">
        <v>79.0</v>
      </c>
      <c r="B86" s="37" t="s">
        <v>893</v>
      </c>
      <c r="C86" s="37" t="s">
        <v>2150</v>
      </c>
      <c r="D86" s="37" t="s">
        <v>2151</v>
      </c>
      <c r="E86" s="133" t="s">
        <v>338</v>
      </c>
      <c r="F86" s="134">
        <v>29.0</v>
      </c>
      <c r="G86" s="134" t="s">
        <v>339</v>
      </c>
      <c r="H86" s="134" t="s">
        <v>646</v>
      </c>
      <c r="I86" s="134">
        <v>9.262729989E9</v>
      </c>
      <c r="J86" s="54">
        <v>28.0</v>
      </c>
      <c r="K86" s="55">
        <v>20.0</v>
      </c>
      <c r="L86" s="55">
        <v>2.0</v>
      </c>
      <c r="M86" s="55">
        <v>4.0</v>
      </c>
      <c r="N86" s="43">
        <f t="shared" si="3"/>
        <v>6</v>
      </c>
      <c r="O86" s="55">
        <v>0.0</v>
      </c>
      <c r="P86" s="55">
        <v>2.0</v>
      </c>
      <c r="Q86" s="43">
        <f t="shared" si="2"/>
        <v>8</v>
      </c>
      <c r="R86" s="43"/>
      <c r="S86" s="55" t="s">
        <v>78</v>
      </c>
      <c r="T86" s="43"/>
      <c r="U86" s="43"/>
      <c r="V86" s="55"/>
      <c r="W86" s="56" t="s">
        <v>46</v>
      </c>
      <c r="X86" s="34"/>
      <c r="Y86" s="34"/>
      <c r="Z86" s="61"/>
      <c r="AA86" s="61"/>
      <c r="AB86" s="66"/>
      <c r="AC86" s="34"/>
      <c r="AD86" s="34"/>
      <c r="AE86" s="66"/>
      <c r="AF86" s="34"/>
      <c r="AG86" s="34"/>
      <c r="AH86" s="34"/>
      <c r="AI86" s="34"/>
      <c r="AJ86" s="34"/>
      <c r="AK86" s="34"/>
      <c r="AL86" s="34"/>
      <c r="AM86" s="34"/>
      <c r="AN86" s="34"/>
      <c r="AO86" s="34"/>
    </row>
    <row r="87" ht="15.75" customHeight="1">
      <c r="A87" s="28">
        <v>80.0</v>
      </c>
      <c r="B87" s="37" t="s">
        <v>2152</v>
      </c>
      <c r="C87" s="37" t="s">
        <v>1548</v>
      </c>
      <c r="D87" s="37" t="s">
        <v>2153</v>
      </c>
      <c r="E87" s="133" t="s">
        <v>338</v>
      </c>
      <c r="F87" s="134">
        <v>51.0</v>
      </c>
      <c r="G87" s="134" t="s">
        <v>339</v>
      </c>
      <c r="H87" s="134" t="s">
        <v>646</v>
      </c>
      <c r="I87" s="134">
        <v>9.770565824E9</v>
      </c>
      <c r="J87" s="54">
        <v>17.0</v>
      </c>
      <c r="K87" s="55">
        <v>12.0</v>
      </c>
      <c r="L87" s="55">
        <v>0.0</v>
      </c>
      <c r="M87" s="55">
        <v>3.0</v>
      </c>
      <c r="N87" s="43">
        <f t="shared" si="3"/>
        <v>3</v>
      </c>
      <c r="O87" s="55">
        <v>15.0</v>
      </c>
      <c r="P87" s="55">
        <v>2.0</v>
      </c>
      <c r="Q87" s="43">
        <f t="shared" si="2"/>
        <v>20</v>
      </c>
      <c r="R87" s="43"/>
      <c r="S87" s="55" t="s">
        <v>88</v>
      </c>
      <c r="T87" s="43"/>
      <c r="U87" s="43"/>
      <c r="V87" s="55" t="s">
        <v>2053</v>
      </c>
      <c r="W87" s="56" t="s">
        <v>46</v>
      </c>
      <c r="X87" s="34"/>
      <c r="Y87" s="34"/>
      <c r="Z87" s="61"/>
      <c r="AA87" s="61"/>
      <c r="AB87" s="66"/>
      <c r="AC87" s="34"/>
      <c r="AD87" s="34"/>
      <c r="AE87" s="66"/>
      <c r="AF87" s="34"/>
      <c r="AG87" s="34"/>
      <c r="AH87" s="34"/>
      <c r="AI87" s="34"/>
      <c r="AJ87" s="34"/>
      <c r="AK87" s="34"/>
      <c r="AL87" s="34"/>
      <c r="AM87" s="34"/>
      <c r="AN87" s="34"/>
      <c r="AO87" s="34"/>
    </row>
    <row r="88" ht="15.75" customHeight="1">
      <c r="A88" s="28">
        <v>81.0</v>
      </c>
      <c r="B88" s="37" t="s">
        <v>1863</v>
      </c>
      <c r="C88" s="37" t="s">
        <v>2154</v>
      </c>
      <c r="D88" s="37" t="s">
        <v>2155</v>
      </c>
      <c r="E88" s="133" t="s">
        <v>338</v>
      </c>
      <c r="F88" s="134">
        <v>42.0</v>
      </c>
      <c r="G88" s="134" t="s">
        <v>339</v>
      </c>
      <c r="H88" s="134" t="s">
        <v>435</v>
      </c>
      <c r="I88" s="134">
        <v>9.487069707E9</v>
      </c>
      <c r="J88" s="54">
        <v>18.0</v>
      </c>
      <c r="K88" s="55">
        <v>15.0</v>
      </c>
      <c r="L88" s="55">
        <v>2.0</v>
      </c>
      <c r="M88" s="55">
        <v>1.0</v>
      </c>
      <c r="N88" s="43">
        <f t="shared" si="3"/>
        <v>3</v>
      </c>
      <c r="O88" s="55">
        <v>14.0</v>
      </c>
      <c r="P88" s="55">
        <v>0.0</v>
      </c>
      <c r="Q88" s="43">
        <f t="shared" si="2"/>
        <v>17</v>
      </c>
      <c r="R88" s="43"/>
      <c r="S88" s="55" t="s">
        <v>88</v>
      </c>
      <c r="T88" s="43"/>
      <c r="U88" s="43"/>
      <c r="V88" s="43"/>
      <c r="W88" s="56" t="s">
        <v>46</v>
      </c>
      <c r="X88" s="34"/>
      <c r="Y88" s="34"/>
      <c r="Z88" s="61"/>
      <c r="AA88" s="61"/>
      <c r="AB88" s="66"/>
      <c r="AC88" s="34"/>
      <c r="AD88" s="34"/>
      <c r="AE88" s="66"/>
      <c r="AF88" s="34"/>
      <c r="AG88" s="34"/>
      <c r="AH88" s="34"/>
      <c r="AI88" s="34"/>
      <c r="AJ88" s="34"/>
      <c r="AK88" s="34"/>
      <c r="AL88" s="34"/>
      <c r="AM88" s="34"/>
      <c r="AN88" s="34"/>
      <c r="AO88" s="34"/>
    </row>
    <row r="89" ht="15.75" customHeight="1">
      <c r="A89" s="28">
        <v>82.0</v>
      </c>
      <c r="B89" s="37" t="s">
        <v>2156</v>
      </c>
      <c r="C89" s="37" t="s">
        <v>2157</v>
      </c>
      <c r="D89" s="37" t="s">
        <v>2158</v>
      </c>
      <c r="E89" s="133" t="s">
        <v>338</v>
      </c>
      <c r="F89" s="134">
        <v>41.0</v>
      </c>
      <c r="G89" s="134" t="s">
        <v>339</v>
      </c>
      <c r="H89" s="134" t="s">
        <v>435</v>
      </c>
      <c r="I89" s="134">
        <v>9.5558282E9</v>
      </c>
      <c r="J89" s="54">
        <v>32.0</v>
      </c>
      <c r="K89" s="55">
        <v>32.0</v>
      </c>
      <c r="L89" s="55">
        <v>0.0</v>
      </c>
      <c r="M89" s="55">
        <v>0.0</v>
      </c>
      <c r="N89" s="43">
        <f t="shared" si="3"/>
        <v>0</v>
      </c>
      <c r="O89" s="55">
        <v>0.0</v>
      </c>
      <c r="P89" s="55">
        <v>0.0</v>
      </c>
      <c r="Q89" s="43">
        <f t="shared" si="2"/>
        <v>0</v>
      </c>
      <c r="R89" s="43"/>
      <c r="S89" s="43"/>
      <c r="T89" s="43"/>
      <c r="U89" s="43"/>
      <c r="V89" s="43"/>
      <c r="W89" s="56" t="s">
        <v>46</v>
      </c>
      <c r="X89" s="34"/>
      <c r="Y89" s="34"/>
      <c r="Z89" s="61"/>
      <c r="AA89" s="61"/>
      <c r="AB89" s="66"/>
      <c r="AC89" s="34"/>
      <c r="AD89" s="34"/>
      <c r="AE89" s="66"/>
      <c r="AF89" s="34"/>
      <c r="AG89" s="34"/>
      <c r="AH89" s="34"/>
      <c r="AI89" s="34"/>
      <c r="AJ89" s="34"/>
      <c r="AK89" s="34"/>
      <c r="AL89" s="34"/>
      <c r="AM89" s="34"/>
      <c r="AN89" s="34"/>
      <c r="AO89" s="34"/>
    </row>
    <row r="90" ht="15.75" customHeight="1">
      <c r="A90" s="28">
        <v>83.0</v>
      </c>
      <c r="B90" s="37" t="s">
        <v>2159</v>
      </c>
      <c r="C90" s="37" t="s">
        <v>2160</v>
      </c>
      <c r="D90" s="37" t="s">
        <v>2161</v>
      </c>
      <c r="E90" s="133" t="s">
        <v>338</v>
      </c>
      <c r="F90" s="134">
        <v>51.0</v>
      </c>
      <c r="G90" s="134" t="s">
        <v>339</v>
      </c>
      <c r="H90" s="134" t="s">
        <v>1312</v>
      </c>
      <c r="I90" s="134">
        <v>9.95403703E9</v>
      </c>
      <c r="J90" s="54">
        <v>22.0</v>
      </c>
      <c r="K90" s="55">
        <v>21.0</v>
      </c>
      <c r="L90" s="55">
        <v>0.0</v>
      </c>
      <c r="M90" s="55">
        <v>1.0</v>
      </c>
      <c r="N90" s="43">
        <f t="shared" si="3"/>
        <v>1</v>
      </c>
      <c r="O90" s="55">
        <v>10.0</v>
      </c>
      <c r="P90" s="55">
        <v>0.0</v>
      </c>
      <c r="Q90" s="43">
        <f t="shared" si="2"/>
        <v>11</v>
      </c>
      <c r="R90" s="43"/>
      <c r="S90" s="43"/>
      <c r="T90" s="43"/>
      <c r="U90" s="43"/>
      <c r="V90" s="43"/>
      <c r="W90" s="56" t="s">
        <v>46</v>
      </c>
      <c r="X90" s="34"/>
      <c r="Y90" s="34"/>
      <c r="Z90" s="61"/>
      <c r="AA90" s="61"/>
      <c r="AB90" s="66"/>
      <c r="AC90" s="34"/>
      <c r="AD90" s="34"/>
      <c r="AE90" s="66"/>
      <c r="AF90" s="34"/>
      <c r="AG90" s="34"/>
      <c r="AH90" s="34"/>
      <c r="AI90" s="34"/>
      <c r="AJ90" s="34"/>
      <c r="AK90" s="34"/>
      <c r="AL90" s="34"/>
      <c r="AM90" s="34"/>
      <c r="AN90" s="34"/>
      <c r="AO90" s="34"/>
    </row>
    <row r="91" ht="15.75" customHeight="1">
      <c r="A91" s="28">
        <v>84.0</v>
      </c>
      <c r="B91" s="37" t="s">
        <v>2162</v>
      </c>
      <c r="C91" s="37" t="s">
        <v>2163</v>
      </c>
      <c r="D91" s="37" t="s">
        <v>1154</v>
      </c>
      <c r="E91" s="133" t="s">
        <v>338</v>
      </c>
      <c r="F91" s="134">
        <v>40.0</v>
      </c>
      <c r="G91" s="134" t="s">
        <v>339</v>
      </c>
      <c r="H91" s="134" t="s">
        <v>435</v>
      </c>
      <c r="I91" s="134">
        <v>9.158106812E9</v>
      </c>
      <c r="J91" s="54">
        <v>24.0</v>
      </c>
      <c r="K91" s="55">
        <v>23.0</v>
      </c>
      <c r="L91" s="55">
        <v>0.0</v>
      </c>
      <c r="M91" s="55">
        <v>0.0</v>
      </c>
      <c r="N91" s="43">
        <f t="shared" si="3"/>
        <v>0</v>
      </c>
      <c r="O91" s="55">
        <v>8.0</v>
      </c>
      <c r="P91" s="55">
        <v>1.0</v>
      </c>
      <c r="Q91" s="43">
        <f t="shared" si="2"/>
        <v>9</v>
      </c>
      <c r="R91" s="43"/>
      <c r="S91" s="43"/>
      <c r="T91" s="43"/>
      <c r="U91" s="43"/>
      <c r="V91" s="43"/>
      <c r="W91" s="56" t="s">
        <v>46</v>
      </c>
      <c r="X91" s="34"/>
      <c r="Y91" s="34"/>
      <c r="Z91" s="61"/>
      <c r="AA91" s="61"/>
      <c r="AB91" s="66"/>
      <c r="AC91" s="34"/>
      <c r="AD91" s="34"/>
      <c r="AE91" s="66"/>
      <c r="AF91" s="34"/>
      <c r="AG91" s="34"/>
      <c r="AH91" s="34"/>
      <c r="AI91" s="34"/>
      <c r="AJ91" s="34"/>
      <c r="AK91" s="34"/>
      <c r="AL91" s="34"/>
      <c r="AM91" s="34"/>
      <c r="AN91" s="34"/>
      <c r="AO91" s="34"/>
    </row>
    <row r="92" ht="15.75" customHeight="1">
      <c r="A92" s="28">
        <v>85.0</v>
      </c>
      <c r="B92" s="37" t="s">
        <v>2164</v>
      </c>
      <c r="C92" s="37" t="s">
        <v>2165</v>
      </c>
      <c r="D92" s="37" t="s">
        <v>2166</v>
      </c>
      <c r="E92" s="133" t="s">
        <v>338</v>
      </c>
      <c r="F92" s="134">
        <v>42.0</v>
      </c>
      <c r="G92" s="134" t="s">
        <v>339</v>
      </c>
      <c r="H92" s="134" t="s">
        <v>435</v>
      </c>
      <c r="I92" s="134">
        <v>9.65368317E9</v>
      </c>
      <c r="J92" s="54">
        <v>27.0</v>
      </c>
      <c r="K92" s="55">
        <v>24.0</v>
      </c>
      <c r="L92" s="55">
        <v>0.0</v>
      </c>
      <c r="M92" s="55">
        <v>0.0</v>
      </c>
      <c r="N92" s="43">
        <f t="shared" si="3"/>
        <v>0</v>
      </c>
      <c r="O92" s="55">
        <v>4.0</v>
      </c>
      <c r="P92" s="55">
        <v>3.0</v>
      </c>
      <c r="Q92" s="43">
        <f t="shared" si="2"/>
        <v>7</v>
      </c>
      <c r="R92" s="43"/>
      <c r="S92" s="43"/>
      <c r="T92" s="43"/>
      <c r="U92" s="43"/>
      <c r="V92" s="43"/>
      <c r="W92" s="56" t="s">
        <v>46</v>
      </c>
      <c r="X92" s="34"/>
      <c r="Y92" s="34"/>
      <c r="Z92" s="61"/>
      <c r="AA92" s="61"/>
      <c r="AB92" s="66"/>
      <c r="AC92" s="34"/>
      <c r="AD92" s="34"/>
      <c r="AE92" s="66"/>
      <c r="AF92" s="34"/>
      <c r="AG92" s="34"/>
      <c r="AH92" s="34"/>
      <c r="AI92" s="34"/>
      <c r="AJ92" s="34"/>
      <c r="AK92" s="34"/>
      <c r="AL92" s="34"/>
      <c r="AM92" s="34"/>
      <c r="AN92" s="34"/>
      <c r="AO92" s="34"/>
    </row>
    <row r="93" ht="15.75" customHeight="1">
      <c r="A93" s="28">
        <v>86.0</v>
      </c>
      <c r="B93" s="37" t="s">
        <v>2167</v>
      </c>
      <c r="C93" s="37" t="s">
        <v>2168</v>
      </c>
      <c r="D93" s="37" t="s">
        <v>2169</v>
      </c>
      <c r="E93" s="133" t="s">
        <v>338</v>
      </c>
      <c r="F93" s="134">
        <v>56.0</v>
      </c>
      <c r="G93" s="134" t="s">
        <v>339</v>
      </c>
      <c r="H93" s="134" t="s">
        <v>646</v>
      </c>
      <c r="I93" s="134">
        <v>9.451443123E9</v>
      </c>
      <c r="J93" s="54">
        <v>18.0</v>
      </c>
      <c r="K93" s="55">
        <v>17.0</v>
      </c>
      <c r="L93" s="55">
        <v>1.0</v>
      </c>
      <c r="M93" s="55">
        <v>0.0</v>
      </c>
      <c r="N93" s="43">
        <f t="shared" si="3"/>
        <v>1</v>
      </c>
      <c r="O93" s="55">
        <v>14.0</v>
      </c>
      <c r="P93" s="55">
        <v>0.0</v>
      </c>
      <c r="Q93" s="43">
        <f t="shared" si="2"/>
        <v>15</v>
      </c>
      <c r="R93" s="43"/>
      <c r="S93" s="43"/>
      <c r="T93" s="43"/>
      <c r="U93" s="43"/>
      <c r="V93" s="43"/>
      <c r="W93" s="56" t="s">
        <v>46</v>
      </c>
      <c r="X93" s="34"/>
      <c r="Y93" s="34"/>
      <c r="Z93" s="61"/>
      <c r="AA93" s="61"/>
      <c r="AB93" s="66"/>
      <c r="AC93" s="34"/>
      <c r="AD93" s="34"/>
      <c r="AE93" s="66"/>
      <c r="AF93" s="34"/>
      <c r="AG93" s="34"/>
      <c r="AH93" s="34"/>
      <c r="AI93" s="34"/>
      <c r="AJ93" s="34"/>
      <c r="AK93" s="34"/>
      <c r="AL93" s="34"/>
      <c r="AM93" s="34"/>
      <c r="AN93" s="34"/>
      <c r="AO93" s="34"/>
    </row>
    <row r="94" ht="15.75" customHeight="1">
      <c r="A94" s="28">
        <v>87.0</v>
      </c>
      <c r="B94" s="37" t="s">
        <v>1927</v>
      </c>
      <c r="C94" s="37" t="s">
        <v>1142</v>
      </c>
      <c r="D94" s="37" t="s">
        <v>2170</v>
      </c>
      <c r="E94" s="133" t="s">
        <v>338</v>
      </c>
      <c r="F94" s="134">
        <v>45.0</v>
      </c>
      <c r="G94" s="134" t="s">
        <v>339</v>
      </c>
      <c r="H94" s="134" t="s">
        <v>708</v>
      </c>
      <c r="I94" s="134">
        <v>9.68499292E9</v>
      </c>
      <c r="J94" s="54">
        <v>30.0</v>
      </c>
      <c r="K94" s="55">
        <v>23.0</v>
      </c>
      <c r="L94" s="55">
        <v>0.0</v>
      </c>
      <c r="M94" s="55">
        <v>3.0</v>
      </c>
      <c r="N94" s="43">
        <f t="shared" si="3"/>
        <v>3</v>
      </c>
      <c r="O94" s="55">
        <v>2.0</v>
      </c>
      <c r="P94" s="55">
        <v>5.0</v>
      </c>
      <c r="Q94" s="43">
        <f t="shared" si="2"/>
        <v>10</v>
      </c>
      <c r="R94" s="43"/>
      <c r="S94" s="43"/>
      <c r="T94" s="43"/>
      <c r="U94" s="43"/>
      <c r="V94" s="43"/>
      <c r="W94" s="56" t="s">
        <v>46</v>
      </c>
      <c r="X94" s="34"/>
      <c r="Y94" s="34"/>
      <c r="Z94" s="61"/>
      <c r="AA94" s="61"/>
      <c r="AB94" s="66"/>
      <c r="AC94" s="34"/>
      <c r="AD94" s="34"/>
      <c r="AE94" s="66"/>
      <c r="AF94" s="34"/>
      <c r="AG94" s="34"/>
      <c r="AH94" s="34"/>
      <c r="AI94" s="34"/>
      <c r="AJ94" s="34"/>
      <c r="AK94" s="34"/>
      <c r="AL94" s="34"/>
      <c r="AM94" s="34"/>
      <c r="AN94" s="34"/>
      <c r="AO94" s="34"/>
    </row>
    <row r="95" ht="15.75" customHeight="1">
      <c r="A95" s="28">
        <v>88.0</v>
      </c>
      <c r="B95" s="37" t="s">
        <v>2171</v>
      </c>
      <c r="C95" s="37" t="s">
        <v>1940</v>
      </c>
      <c r="D95" s="37" t="s">
        <v>1872</v>
      </c>
      <c r="E95" s="133" t="s">
        <v>338</v>
      </c>
      <c r="F95" s="134">
        <v>58.0</v>
      </c>
      <c r="G95" s="134" t="s">
        <v>339</v>
      </c>
      <c r="H95" s="134" t="s">
        <v>646</v>
      </c>
      <c r="I95" s="134">
        <v>9.127295075E9</v>
      </c>
      <c r="J95" s="54">
        <v>16.0</v>
      </c>
      <c r="K95" s="55">
        <v>13.0</v>
      </c>
      <c r="L95" s="55">
        <v>0.0</v>
      </c>
      <c r="M95" s="55">
        <v>2.0</v>
      </c>
      <c r="N95" s="43">
        <f t="shared" si="3"/>
        <v>2</v>
      </c>
      <c r="O95" s="55">
        <v>16.0</v>
      </c>
      <c r="P95" s="55">
        <v>1.0</v>
      </c>
      <c r="Q95" s="43">
        <f t="shared" si="2"/>
        <v>19</v>
      </c>
      <c r="R95" s="43"/>
      <c r="S95" s="55" t="s">
        <v>88</v>
      </c>
      <c r="T95" s="43"/>
      <c r="U95" s="43"/>
      <c r="V95" s="43"/>
      <c r="W95" s="56" t="s">
        <v>46</v>
      </c>
      <c r="X95" s="34"/>
      <c r="Y95" s="34"/>
      <c r="Z95" s="61"/>
      <c r="AA95" s="61"/>
      <c r="AB95" s="66"/>
      <c r="AC95" s="34"/>
      <c r="AD95" s="34"/>
      <c r="AE95" s="66"/>
      <c r="AF95" s="34"/>
      <c r="AG95" s="34"/>
      <c r="AH95" s="34"/>
      <c r="AI95" s="34"/>
      <c r="AJ95" s="34"/>
      <c r="AK95" s="34"/>
      <c r="AL95" s="34"/>
      <c r="AM95" s="34"/>
      <c r="AN95" s="34"/>
      <c r="AO95" s="34"/>
    </row>
    <row r="96" ht="15.75" customHeight="1">
      <c r="A96" s="28">
        <v>89.0</v>
      </c>
      <c r="B96" s="37" t="s">
        <v>1062</v>
      </c>
      <c r="C96" s="37" t="s">
        <v>2172</v>
      </c>
      <c r="D96" s="37" t="s">
        <v>2173</v>
      </c>
      <c r="E96" s="133" t="s">
        <v>338</v>
      </c>
      <c r="F96" s="134">
        <v>39.0</v>
      </c>
      <c r="G96" s="134" t="s">
        <v>339</v>
      </c>
      <c r="H96" s="134" t="s">
        <v>646</v>
      </c>
      <c r="I96" s="163" t="s">
        <v>2174</v>
      </c>
      <c r="J96" s="54">
        <v>26.0</v>
      </c>
      <c r="K96" s="55">
        <v>23.0</v>
      </c>
      <c r="L96" s="55">
        <v>0.0</v>
      </c>
      <c r="M96" s="55">
        <v>1.0</v>
      </c>
      <c r="N96" s="43">
        <f t="shared" si="3"/>
        <v>1</v>
      </c>
      <c r="O96" s="55">
        <v>6.0</v>
      </c>
      <c r="P96" s="55">
        <v>2.0</v>
      </c>
      <c r="Q96" s="43">
        <f t="shared" si="2"/>
        <v>9</v>
      </c>
      <c r="R96" s="43"/>
      <c r="S96" s="43"/>
      <c r="T96" s="43"/>
      <c r="U96" s="43"/>
      <c r="V96" s="43"/>
      <c r="W96" s="56" t="s">
        <v>46</v>
      </c>
      <c r="X96" s="34"/>
      <c r="Y96" s="34"/>
      <c r="Z96" s="61"/>
      <c r="AA96" s="61"/>
      <c r="AB96" s="66"/>
      <c r="AC96" s="34"/>
      <c r="AD96" s="34"/>
      <c r="AE96" s="66"/>
      <c r="AF96" s="34"/>
      <c r="AG96" s="34"/>
      <c r="AH96" s="34"/>
      <c r="AI96" s="34"/>
      <c r="AJ96" s="34"/>
      <c r="AK96" s="34"/>
      <c r="AL96" s="34"/>
      <c r="AM96" s="34"/>
      <c r="AN96" s="34"/>
      <c r="AO96" s="34"/>
    </row>
    <row r="97" ht="15.75" customHeight="1">
      <c r="A97" s="28">
        <v>90.0</v>
      </c>
      <c r="B97" s="37" t="s">
        <v>2175</v>
      </c>
      <c r="C97" s="37" t="s">
        <v>2168</v>
      </c>
      <c r="D97" s="37" t="s">
        <v>1192</v>
      </c>
      <c r="E97" s="133" t="s">
        <v>338</v>
      </c>
      <c r="F97" s="134">
        <v>42.0</v>
      </c>
      <c r="G97" s="134" t="s">
        <v>339</v>
      </c>
      <c r="H97" s="134" t="s">
        <v>435</v>
      </c>
      <c r="I97" s="134">
        <v>9.384194823E9</v>
      </c>
      <c r="J97" s="54">
        <v>9.0</v>
      </c>
      <c r="K97" s="55">
        <v>6.0</v>
      </c>
      <c r="L97" s="55">
        <v>0.0</v>
      </c>
      <c r="M97" s="55">
        <v>0.0</v>
      </c>
      <c r="N97" s="43">
        <f t="shared" si="3"/>
        <v>0</v>
      </c>
      <c r="O97" s="55">
        <v>23.0</v>
      </c>
      <c r="P97" s="55">
        <v>3.0</v>
      </c>
      <c r="Q97" s="43">
        <f t="shared" si="2"/>
        <v>26</v>
      </c>
      <c r="R97" s="43"/>
      <c r="S97" s="43"/>
      <c r="T97" s="43"/>
      <c r="U97" s="43"/>
      <c r="V97" s="43"/>
      <c r="W97" s="56" t="s">
        <v>46</v>
      </c>
      <c r="X97" s="34"/>
      <c r="Y97" s="34"/>
      <c r="Z97" s="61"/>
      <c r="AA97" s="61"/>
      <c r="AB97" s="66"/>
      <c r="AC97" s="34"/>
      <c r="AD97" s="34"/>
      <c r="AE97" s="66"/>
      <c r="AF97" s="34"/>
      <c r="AG97" s="34"/>
      <c r="AH97" s="34"/>
      <c r="AI97" s="34"/>
      <c r="AJ97" s="34"/>
      <c r="AK97" s="34"/>
      <c r="AL97" s="34"/>
      <c r="AM97" s="34"/>
      <c r="AN97" s="34"/>
      <c r="AO97" s="34"/>
    </row>
    <row r="98" ht="15.75" customHeight="1">
      <c r="A98" s="28">
        <v>91.0</v>
      </c>
      <c r="B98" s="37" t="s">
        <v>2176</v>
      </c>
      <c r="C98" s="37" t="s">
        <v>2177</v>
      </c>
      <c r="D98" s="245" t="s">
        <v>2178</v>
      </c>
      <c r="E98" s="246" t="s">
        <v>338</v>
      </c>
      <c r="F98" s="247">
        <v>46.0</v>
      </c>
      <c r="G98" s="134" t="s">
        <v>385</v>
      </c>
      <c r="H98" s="134" t="s">
        <v>663</v>
      </c>
      <c r="I98" s="134">
        <v>9.35114791E9</v>
      </c>
      <c r="J98" s="54">
        <v>30.0</v>
      </c>
      <c r="K98" s="55">
        <v>22.0</v>
      </c>
      <c r="L98" s="55">
        <v>0.0</v>
      </c>
      <c r="M98" s="55">
        <v>8.0</v>
      </c>
      <c r="N98" s="43">
        <f t="shared" si="3"/>
        <v>8</v>
      </c>
      <c r="O98" s="55">
        <v>2.0</v>
      </c>
      <c r="P98" s="55">
        <v>0.0</v>
      </c>
      <c r="Q98" s="43">
        <f t="shared" si="2"/>
        <v>10</v>
      </c>
      <c r="R98" s="43"/>
      <c r="S98" s="43"/>
      <c r="T98" s="43"/>
      <c r="U98" s="43"/>
      <c r="V98" s="43"/>
      <c r="W98" s="56" t="s">
        <v>46</v>
      </c>
      <c r="X98" s="34"/>
      <c r="Y98" s="34"/>
      <c r="Z98" s="61"/>
      <c r="AA98" s="61"/>
      <c r="AB98" s="66"/>
      <c r="AC98" s="34"/>
      <c r="AD98" s="34"/>
      <c r="AE98" s="66"/>
      <c r="AF98" s="34"/>
      <c r="AG98" s="34"/>
      <c r="AH98" s="34"/>
      <c r="AI98" s="34"/>
      <c r="AJ98" s="34"/>
      <c r="AK98" s="34"/>
      <c r="AL98" s="34"/>
      <c r="AM98" s="34"/>
      <c r="AN98" s="34"/>
      <c r="AO98" s="34"/>
    </row>
    <row r="99" ht="15.75" customHeight="1">
      <c r="A99" s="28">
        <v>92.0</v>
      </c>
      <c r="B99" s="37" t="s">
        <v>1710</v>
      </c>
      <c r="C99" s="37" t="s">
        <v>2179</v>
      </c>
      <c r="D99" s="37" t="s">
        <v>2093</v>
      </c>
      <c r="E99" s="133" t="s">
        <v>338</v>
      </c>
      <c r="F99" s="247">
        <v>49.0</v>
      </c>
      <c r="G99" s="134" t="s">
        <v>339</v>
      </c>
      <c r="H99" s="134" t="s">
        <v>435</v>
      </c>
      <c r="I99" s="134">
        <v>9.605314257E9</v>
      </c>
      <c r="J99" s="54">
        <v>21.0</v>
      </c>
      <c r="K99" s="55">
        <v>18.0</v>
      </c>
      <c r="L99" s="55">
        <v>0.0</v>
      </c>
      <c r="M99" s="55">
        <v>3.0</v>
      </c>
      <c r="N99" s="43">
        <f t="shared" si="3"/>
        <v>3</v>
      </c>
      <c r="O99" s="55">
        <v>11.0</v>
      </c>
      <c r="P99" s="55">
        <v>0.0</v>
      </c>
      <c r="Q99" s="43">
        <f t="shared" si="2"/>
        <v>14</v>
      </c>
      <c r="R99" s="43"/>
      <c r="S99" s="55" t="s">
        <v>97</v>
      </c>
      <c r="T99" s="43"/>
      <c r="U99" s="43"/>
      <c r="V99" s="43"/>
      <c r="W99" s="56" t="s">
        <v>46</v>
      </c>
      <c r="X99" s="34"/>
      <c r="Y99" s="34"/>
      <c r="Z99" s="61"/>
      <c r="AA99" s="61"/>
      <c r="AB99" s="66"/>
      <c r="AC99" s="34"/>
      <c r="AD99" s="34"/>
      <c r="AE99" s="66"/>
      <c r="AF99" s="34"/>
      <c r="AG99" s="34"/>
      <c r="AH99" s="34"/>
      <c r="AI99" s="34"/>
      <c r="AJ99" s="34"/>
      <c r="AK99" s="34"/>
      <c r="AL99" s="34"/>
      <c r="AM99" s="34"/>
      <c r="AN99" s="34"/>
      <c r="AO99" s="34"/>
    </row>
    <row r="100" ht="15.75" customHeight="1">
      <c r="A100" s="28">
        <v>93.0</v>
      </c>
      <c r="B100" s="37" t="s">
        <v>2180</v>
      </c>
      <c r="C100" s="37" t="s">
        <v>2181</v>
      </c>
      <c r="D100" s="37" t="s">
        <v>2104</v>
      </c>
      <c r="E100" s="133" t="s">
        <v>338</v>
      </c>
      <c r="F100" s="134">
        <v>46.0</v>
      </c>
      <c r="G100" s="134" t="s">
        <v>339</v>
      </c>
      <c r="H100" s="134" t="s">
        <v>1312</v>
      </c>
      <c r="I100" s="134">
        <v>9.23086893E9</v>
      </c>
      <c r="J100" s="87">
        <v>30.0</v>
      </c>
      <c r="K100" s="55">
        <v>24.0</v>
      </c>
      <c r="L100" s="55">
        <v>0.0</v>
      </c>
      <c r="M100" s="55">
        <v>0.0</v>
      </c>
      <c r="N100" s="43">
        <f t="shared" si="3"/>
        <v>0</v>
      </c>
      <c r="O100" s="55">
        <v>2.0</v>
      </c>
      <c r="P100" s="55">
        <v>5.0</v>
      </c>
      <c r="Q100" s="43">
        <f t="shared" si="2"/>
        <v>7</v>
      </c>
      <c r="R100" s="43"/>
      <c r="S100" s="43"/>
      <c r="T100" s="43"/>
      <c r="U100" s="43"/>
      <c r="V100" s="43"/>
      <c r="W100" s="56" t="s">
        <v>46</v>
      </c>
      <c r="X100" s="34"/>
      <c r="Y100" s="34"/>
      <c r="Z100" s="61"/>
      <c r="AA100" s="61"/>
      <c r="AB100" s="66"/>
      <c r="AC100" s="34"/>
      <c r="AD100" s="34"/>
      <c r="AE100" s="66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</row>
    <row r="101" ht="15.75" customHeight="1">
      <c r="A101" s="28">
        <v>94.0</v>
      </c>
      <c r="B101" s="37" t="s">
        <v>1207</v>
      </c>
      <c r="C101" s="37" t="s">
        <v>2182</v>
      </c>
      <c r="D101" s="37" t="s">
        <v>2183</v>
      </c>
      <c r="E101" s="133" t="s">
        <v>338</v>
      </c>
      <c r="F101" s="134">
        <v>30.0</v>
      </c>
      <c r="G101" s="134" t="s">
        <v>339</v>
      </c>
      <c r="H101" s="134" t="s">
        <v>435</v>
      </c>
      <c r="I101" s="134">
        <v>9.752240429E9</v>
      </c>
      <c r="J101" s="54">
        <v>28.0</v>
      </c>
      <c r="K101" s="55">
        <v>23.0</v>
      </c>
      <c r="L101" s="55">
        <v>0.0</v>
      </c>
      <c r="M101" s="55">
        <v>0.0</v>
      </c>
      <c r="N101" s="43">
        <f t="shared" si="3"/>
        <v>0</v>
      </c>
      <c r="O101" s="55">
        <v>4.0</v>
      </c>
      <c r="P101" s="55">
        <v>5.0</v>
      </c>
      <c r="Q101" s="43">
        <f t="shared" si="2"/>
        <v>9</v>
      </c>
      <c r="R101" s="43"/>
      <c r="S101" s="43"/>
      <c r="T101" s="43"/>
      <c r="U101" s="43"/>
      <c r="V101" s="43"/>
      <c r="W101" s="56" t="s">
        <v>46</v>
      </c>
      <c r="X101" s="34"/>
      <c r="Y101" s="34"/>
      <c r="Z101" s="61"/>
      <c r="AA101" s="61"/>
      <c r="AB101" s="66"/>
      <c r="AC101" s="34"/>
      <c r="AD101" s="34"/>
      <c r="AE101" s="66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</row>
    <row r="102" ht="15.75" customHeight="1">
      <c r="A102" s="28">
        <v>95.0</v>
      </c>
      <c r="B102" s="37" t="s">
        <v>2184</v>
      </c>
      <c r="C102" s="37" t="s">
        <v>2185</v>
      </c>
      <c r="D102" s="37" t="s">
        <v>2186</v>
      </c>
      <c r="E102" s="133" t="s">
        <v>338</v>
      </c>
      <c r="F102" s="134">
        <v>52.0</v>
      </c>
      <c r="G102" s="134" t="s">
        <v>339</v>
      </c>
      <c r="H102" s="134" t="s">
        <v>435</v>
      </c>
      <c r="I102" s="134">
        <v>9.304057526E9</v>
      </c>
      <c r="J102" s="54">
        <v>26.0</v>
      </c>
      <c r="K102" s="55">
        <v>22.0</v>
      </c>
      <c r="L102" s="55">
        <v>1.0</v>
      </c>
      <c r="M102" s="55">
        <v>3.0</v>
      </c>
      <c r="N102" s="43">
        <f t="shared" si="3"/>
        <v>4</v>
      </c>
      <c r="O102" s="55">
        <v>6.0</v>
      </c>
      <c r="P102" s="55">
        <v>0.0</v>
      </c>
      <c r="Q102" s="43">
        <f t="shared" si="2"/>
        <v>10</v>
      </c>
      <c r="R102" s="43"/>
      <c r="S102" s="43"/>
      <c r="T102" s="43"/>
      <c r="U102" s="43"/>
      <c r="V102" s="43"/>
      <c r="W102" s="56" t="s">
        <v>46</v>
      </c>
      <c r="X102" s="34"/>
      <c r="Y102" s="34"/>
      <c r="Z102" s="61"/>
      <c r="AA102" s="61"/>
      <c r="AB102" s="66"/>
      <c r="AC102" s="34"/>
      <c r="AD102" s="34"/>
      <c r="AE102" s="66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</row>
    <row r="103" ht="15.75" customHeight="1">
      <c r="A103" s="28">
        <v>96.0</v>
      </c>
      <c r="B103" s="37" t="s">
        <v>2187</v>
      </c>
      <c r="C103" s="37" t="s">
        <v>2188</v>
      </c>
      <c r="D103" s="37" t="s">
        <v>2189</v>
      </c>
      <c r="E103" s="133" t="s">
        <v>338</v>
      </c>
      <c r="F103" s="134">
        <v>42.0</v>
      </c>
      <c r="G103" s="134" t="s">
        <v>339</v>
      </c>
      <c r="H103" s="134" t="s">
        <v>435</v>
      </c>
      <c r="I103" s="134">
        <v>9.505142279E9</v>
      </c>
      <c r="J103" s="54">
        <v>20.0</v>
      </c>
      <c r="K103" s="55">
        <v>18.0</v>
      </c>
      <c r="L103" s="55">
        <v>0.0</v>
      </c>
      <c r="M103" s="55">
        <v>1.0</v>
      </c>
      <c r="N103" s="43">
        <f t="shared" si="3"/>
        <v>1</v>
      </c>
      <c r="O103" s="55">
        <v>12.0</v>
      </c>
      <c r="P103" s="55">
        <v>1.0</v>
      </c>
      <c r="Q103" s="43">
        <f t="shared" si="2"/>
        <v>14</v>
      </c>
      <c r="R103" s="43"/>
      <c r="S103" s="55" t="s">
        <v>93</v>
      </c>
      <c r="T103" s="43"/>
      <c r="U103" s="43"/>
      <c r="V103" s="43"/>
      <c r="W103" s="56" t="s">
        <v>46</v>
      </c>
      <c r="X103" s="34"/>
      <c r="Y103" s="34"/>
      <c r="Z103" s="61"/>
      <c r="AA103" s="61"/>
      <c r="AB103" s="66"/>
      <c r="AC103" s="34"/>
      <c r="AD103" s="34"/>
      <c r="AE103" s="66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</row>
    <row r="104" ht="15.75" customHeight="1">
      <c r="A104" s="28">
        <v>97.0</v>
      </c>
      <c r="B104" s="37" t="s">
        <v>2015</v>
      </c>
      <c r="C104" s="37" t="s">
        <v>2190</v>
      </c>
      <c r="D104" s="37" t="s">
        <v>2191</v>
      </c>
      <c r="E104" s="133" t="s">
        <v>338</v>
      </c>
      <c r="F104" s="134">
        <v>44.0</v>
      </c>
      <c r="G104" s="134" t="s">
        <v>339</v>
      </c>
      <c r="H104" s="134" t="s">
        <v>435</v>
      </c>
      <c r="I104" s="134">
        <v>9.213598267E9</v>
      </c>
      <c r="J104" s="54">
        <v>24.0</v>
      </c>
      <c r="K104" s="55">
        <v>19.0</v>
      </c>
      <c r="L104" s="55">
        <v>0.0</v>
      </c>
      <c r="M104" s="55">
        <v>4.0</v>
      </c>
      <c r="N104" s="43">
        <f t="shared" si="3"/>
        <v>4</v>
      </c>
      <c r="O104" s="55">
        <v>7.0</v>
      </c>
      <c r="P104" s="55">
        <v>1.0</v>
      </c>
      <c r="Q104" s="43">
        <f t="shared" si="2"/>
        <v>12</v>
      </c>
      <c r="R104" s="43"/>
      <c r="S104" s="43"/>
      <c r="T104" s="43"/>
      <c r="U104" s="43"/>
      <c r="V104" s="43"/>
      <c r="W104" s="56" t="s">
        <v>46</v>
      </c>
      <c r="X104" s="34"/>
      <c r="Y104" s="34"/>
      <c r="Z104" s="61"/>
      <c r="AA104" s="61"/>
      <c r="AB104" s="66"/>
      <c r="AC104" s="34"/>
      <c r="AD104" s="34"/>
      <c r="AE104" s="66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</row>
    <row r="105" ht="15.75" customHeight="1">
      <c r="A105" s="28">
        <v>98.0</v>
      </c>
      <c r="B105" s="37" t="s">
        <v>2192</v>
      </c>
      <c r="C105" s="37" t="s">
        <v>2193</v>
      </c>
      <c r="D105" s="37" t="s">
        <v>436</v>
      </c>
      <c r="E105" s="133" t="s">
        <v>338</v>
      </c>
      <c r="F105" s="134">
        <v>46.0</v>
      </c>
      <c r="G105" s="134" t="s">
        <v>339</v>
      </c>
      <c r="H105" s="134" t="s">
        <v>708</v>
      </c>
      <c r="I105" s="134">
        <v>9.393699357E9</v>
      </c>
      <c r="J105" s="54">
        <v>26.0</v>
      </c>
      <c r="K105" s="55">
        <v>18.0</v>
      </c>
      <c r="L105" s="55">
        <v>1.0</v>
      </c>
      <c r="M105" s="55">
        <v>7.0</v>
      </c>
      <c r="N105" s="43">
        <f t="shared" si="3"/>
        <v>8</v>
      </c>
      <c r="O105" s="55">
        <v>6.0</v>
      </c>
      <c r="P105" s="55">
        <v>0.0</v>
      </c>
      <c r="Q105" s="43">
        <f t="shared" si="2"/>
        <v>14</v>
      </c>
      <c r="R105" s="43"/>
      <c r="S105" s="55" t="s">
        <v>88</v>
      </c>
      <c r="T105" s="43"/>
      <c r="U105" s="43"/>
      <c r="V105" s="43"/>
      <c r="W105" s="56" t="s">
        <v>46</v>
      </c>
      <c r="X105" s="34"/>
      <c r="Y105" s="34"/>
      <c r="Z105" s="61"/>
      <c r="AA105" s="61"/>
      <c r="AB105" s="66"/>
      <c r="AC105" s="34"/>
      <c r="AD105" s="34"/>
      <c r="AE105" s="66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</row>
    <row r="106" ht="15.75" customHeight="1">
      <c r="A106" s="28">
        <v>99.0</v>
      </c>
      <c r="B106" s="37" t="s">
        <v>2194</v>
      </c>
      <c r="C106" s="37" t="s">
        <v>1673</v>
      </c>
      <c r="D106" s="37" t="s">
        <v>1107</v>
      </c>
      <c r="E106" s="133" t="s">
        <v>338</v>
      </c>
      <c r="F106" s="134">
        <v>42.0</v>
      </c>
      <c r="G106" s="134" t="s">
        <v>339</v>
      </c>
      <c r="H106" s="134" t="s">
        <v>663</v>
      </c>
      <c r="I106" s="134">
        <v>9.304883383E9</v>
      </c>
      <c r="J106" s="42"/>
      <c r="K106" s="43"/>
      <c r="L106" s="43"/>
      <c r="M106" s="43"/>
      <c r="N106" s="43">
        <f t="shared" si="3"/>
        <v>0</v>
      </c>
      <c r="O106" s="43"/>
      <c r="P106" s="43"/>
      <c r="Q106" s="43">
        <f t="shared" si="2"/>
        <v>0</v>
      </c>
      <c r="R106" s="43"/>
      <c r="S106" s="43"/>
      <c r="T106" s="43"/>
      <c r="U106" s="43"/>
      <c r="V106" s="43"/>
      <c r="W106" s="44"/>
      <c r="X106" s="34"/>
      <c r="Y106" s="34" t="s">
        <v>2195</v>
      </c>
      <c r="Z106" s="61"/>
      <c r="AA106" s="61"/>
      <c r="AB106" s="66"/>
      <c r="AC106" s="34"/>
      <c r="AD106" s="34"/>
      <c r="AE106" s="66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</row>
    <row r="107" ht="15.75" customHeight="1">
      <c r="A107" s="28">
        <v>100.0</v>
      </c>
      <c r="B107" s="37" t="s">
        <v>2196</v>
      </c>
      <c r="C107" s="37" t="s">
        <v>2197</v>
      </c>
      <c r="D107" s="37" t="s">
        <v>2198</v>
      </c>
      <c r="E107" s="133" t="s">
        <v>338</v>
      </c>
      <c r="F107" s="134">
        <v>45.0</v>
      </c>
      <c r="G107" s="134" t="s">
        <v>339</v>
      </c>
      <c r="H107" s="134" t="s">
        <v>646</v>
      </c>
      <c r="I107" s="134">
        <v>9.2046563E9</v>
      </c>
      <c r="J107" s="54">
        <v>25.0</v>
      </c>
      <c r="K107" s="55">
        <v>21.0</v>
      </c>
      <c r="L107" s="55">
        <v>0.0</v>
      </c>
      <c r="M107" s="55">
        <v>1.0</v>
      </c>
      <c r="N107" s="43">
        <f t="shared" si="3"/>
        <v>1</v>
      </c>
      <c r="O107" s="55">
        <v>7.0</v>
      </c>
      <c r="P107" s="55">
        <v>3.0</v>
      </c>
      <c r="Q107" s="43">
        <f t="shared" si="2"/>
        <v>11</v>
      </c>
      <c r="R107" s="43"/>
      <c r="S107" s="43"/>
      <c r="T107" s="43"/>
      <c r="U107" s="43"/>
      <c r="V107" s="43"/>
      <c r="W107" s="56" t="s">
        <v>46</v>
      </c>
      <c r="X107" s="34"/>
      <c r="Y107" s="34"/>
      <c r="Z107" s="61"/>
      <c r="AA107" s="61"/>
      <c r="AB107" s="66"/>
      <c r="AC107" s="34"/>
      <c r="AD107" s="34"/>
      <c r="AE107" s="66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</row>
    <row r="108" ht="15.75" customHeight="1">
      <c r="A108" s="28">
        <v>101.0</v>
      </c>
      <c r="B108" s="37" t="s">
        <v>2199</v>
      </c>
      <c r="C108" s="37" t="s">
        <v>2200</v>
      </c>
      <c r="D108" s="37" t="s">
        <v>1316</v>
      </c>
      <c r="E108" s="133" t="s">
        <v>338</v>
      </c>
      <c r="F108" s="134">
        <v>45.0</v>
      </c>
      <c r="G108" s="134" t="s">
        <v>339</v>
      </c>
      <c r="H108" s="134" t="s">
        <v>646</v>
      </c>
      <c r="I108" s="134">
        <v>9.944793665E9</v>
      </c>
      <c r="J108" s="54">
        <v>28.0</v>
      </c>
      <c r="K108" s="55">
        <v>21.0</v>
      </c>
      <c r="L108" s="55">
        <v>0.0</v>
      </c>
      <c r="M108" s="55">
        <v>0.0</v>
      </c>
      <c r="N108" s="43">
        <f t="shared" si="3"/>
        <v>0</v>
      </c>
      <c r="O108" s="55">
        <v>4.0</v>
      </c>
      <c r="P108" s="55">
        <v>7.0</v>
      </c>
      <c r="Q108" s="43">
        <f t="shared" si="2"/>
        <v>11</v>
      </c>
      <c r="R108" s="43"/>
      <c r="S108" s="43"/>
      <c r="T108" s="43"/>
      <c r="U108" s="43"/>
      <c r="V108" s="55" t="s">
        <v>2201</v>
      </c>
      <c r="W108" s="56" t="s">
        <v>46</v>
      </c>
      <c r="X108" s="34"/>
      <c r="Y108" s="34"/>
      <c r="Z108" s="61"/>
      <c r="AA108" s="61"/>
      <c r="AB108" s="66"/>
      <c r="AC108" s="34"/>
      <c r="AD108" s="34"/>
      <c r="AE108" s="66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</row>
    <row r="109" ht="15.75" customHeight="1">
      <c r="A109" s="28">
        <v>102.0</v>
      </c>
      <c r="B109" s="37" t="s">
        <v>2202</v>
      </c>
      <c r="C109" s="37" t="s">
        <v>2203</v>
      </c>
      <c r="D109" s="37" t="s">
        <v>2204</v>
      </c>
      <c r="E109" s="133" t="s">
        <v>338</v>
      </c>
      <c r="F109" s="134">
        <v>41.0</v>
      </c>
      <c r="G109" s="134" t="s">
        <v>385</v>
      </c>
      <c r="H109" s="134" t="s">
        <v>435</v>
      </c>
      <c r="I109" s="134">
        <v>9.469276905E9</v>
      </c>
      <c r="J109" s="54">
        <v>31.0</v>
      </c>
      <c r="K109" s="55">
        <v>24.0</v>
      </c>
      <c r="L109" s="55">
        <v>1.0</v>
      </c>
      <c r="M109" s="55">
        <v>6.0</v>
      </c>
      <c r="N109" s="43">
        <f t="shared" si="3"/>
        <v>7</v>
      </c>
      <c r="O109" s="55">
        <v>1.0</v>
      </c>
      <c r="P109" s="55">
        <v>0.0</v>
      </c>
      <c r="Q109" s="43">
        <f t="shared" si="2"/>
        <v>8</v>
      </c>
      <c r="R109" s="43"/>
      <c r="S109" s="43"/>
      <c r="T109" s="43"/>
      <c r="U109" s="43"/>
      <c r="V109" s="43"/>
      <c r="W109" s="56" t="s">
        <v>46</v>
      </c>
      <c r="X109" s="34"/>
      <c r="Y109" s="34"/>
      <c r="Z109" s="61"/>
      <c r="AA109" s="61"/>
      <c r="AB109" s="66"/>
      <c r="AC109" s="34"/>
      <c r="AD109" s="34"/>
      <c r="AE109" s="66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</row>
    <row r="110" ht="15.75" customHeight="1">
      <c r="A110" s="28">
        <v>103.0</v>
      </c>
      <c r="B110" s="37" t="s">
        <v>2205</v>
      </c>
      <c r="C110" s="37" t="s">
        <v>2206</v>
      </c>
      <c r="D110" s="37" t="s">
        <v>2207</v>
      </c>
      <c r="E110" s="133" t="s">
        <v>338</v>
      </c>
      <c r="F110" s="134">
        <v>29.0</v>
      </c>
      <c r="G110" s="134" t="s">
        <v>339</v>
      </c>
      <c r="H110" s="134" t="s">
        <v>435</v>
      </c>
      <c r="I110" s="134">
        <v>9.156400102E9</v>
      </c>
      <c r="J110" s="54">
        <v>30.0</v>
      </c>
      <c r="K110" s="55">
        <v>26.0</v>
      </c>
      <c r="L110" s="55">
        <v>0.0</v>
      </c>
      <c r="M110" s="55">
        <v>4.0</v>
      </c>
      <c r="N110" s="43">
        <f t="shared" si="3"/>
        <v>4</v>
      </c>
      <c r="O110" s="55">
        <v>2.0</v>
      </c>
      <c r="P110" s="55">
        <v>0.0</v>
      </c>
      <c r="Q110" s="43">
        <f t="shared" si="2"/>
        <v>6</v>
      </c>
      <c r="R110" s="43"/>
      <c r="S110" s="43"/>
      <c r="T110" s="43"/>
      <c r="U110" s="43"/>
      <c r="V110" s="43"/>
      <c r="W110" s="56" t="s">
        <v>46</v>
      </c>
      <c r="X110" s="34"/>
      <c r="Y110" s="34"/>
      <c r="Z110" s="61"/>
      <c r="AA110" s="61"/>
      <c r="AB110" s="66"/>
      <c r="AC110" s="34"/>
      <c r="AD110" s="34"/>
      <c r="AE110" s="66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</row>
    <row r="111" ht="15.75" customHeight="1">
      <c r="A111" s="28">
        <v>104.0</v>
      </c>
      <c r="B111" s="37" t="s">
        <v>2208</v>
      </c>
      <c r="C111" s="37" t="s">
        <v>2209</v>
      </c>
      <c r="D111" s="37" t="s">
        <v>2210</v>
      </c>
      <c r="E111" s="133" t="s">
        <v>338</v>
      </c>
      <c r="F111" s="134">
        <v>57.0</v>
      </c>
      <c r="G111" s="134" t="s">
        <v>385</v>
      </c>
      <c r="H111" s="134" t="s">
        <v>663</v>
      </c>
      <c r="I111" s="134">
        <v>9.27615561E9</v>
      </c>
      <c r="J111" s="54">
        <v>22.0</v>
      </c>
      <c r="K111" s="55">
        <v>14.0</v>
      </c>
      <c r="L111" s="55">
        <v>0.0</v>
      </c>
      <c r="M111" s="55">
        <v>3.0</v>
      </c>
      <c r="N111" s="43">
        <f t="shared" si="3"/>
        <v>3</v>
      </c>
      <c r="O111" s="55">
        <v>10.0</v>
      </c>
      <c r="P111" s="55">
        <v>6.0</v>
      </c>
      <c r="Q111" s="43">
        <f t="shared" si="2"/>
        <v>19</v>
      </c>
      <c r="R111" s="43"/>
      <c r="S111" s="43"/>
      <c r="T111" s="43"/>
      <c r="U111" s="43"/>
      <c r="V111" s="43"/>
      <c r="W111" s="56" t="s">
        <v>46</v>
      </c>
      <c r="X111" s="34"/>
      <c r="Y111" s="34"/>
      <c r="Z111" s="61"/>
      <c r="AA111" s="61"/>
      <c r="AB111" s="66"/>
      <c r="AC111" s="34"/>
      <c r="AD111" s="34"/>
      <c r="AE111" s="66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</row>
    <row r="112" ht="15.75" customHeight="1">
      <c r="A112" s="28">
        <v>105.0</v>
      </c>
      <c r="B112" s="37" t="s">
        <v>2211</v>
      </c>
      <c r="C112" s="37" t="s">
        <v>2212</v>
      </c>
      <c r="D112" s="37" t="s">
        <v>1684</v>
      </c>
      <c r="E112" s="133" t="s">
        <v>338</v>
      </c>
      <c r="F112" s="134">
        <v>28.0</v>
      </c>
      <c r="G112" s="134" t="s">
        <v>339</v>
      </c>
      <c r="H112" s="134" t="s">
        <v>435</v>
      </c>
      <c r="I112" s="134">
        <v>9.956371399E9</v>
      </c>
      <c r="J112" s="54">
        <v>28.0</v>
      </c>
      <c r="K112" s="55">
        <v>24.0</v>
      </c>
      <c r="L112" s="55">
        <v>0.0</v>
      </c>
      <c r="M112" s="55">
        <v>4.0</v>
      </c>
      <c r="N112" s="43">
        <f t="shared" si="3"/>
        <v>4</v>
      </c>
      <c r="O112" s="55">
        <v>4.0</v>
      </c>
      <c r="P112" s="55">
        <v>0.0</v>
      </c>
      <c r="Q112" s="43">
        <f t="shared" si="2"/>
        <v>8</v>
      </c>
      <c r="R112" s="43"/>
      <c r="S112" s="43"/>
      <c r="T112" s="43"/>
      <c r="U112" s="43"/>
      <c r="V112" s="43"/>
      <c r="W112" s="56" t="s">
        <v>46</v>
      </c>
      <c r="X112" s="34"/>
      <c r="Y112" s="34"/>
      <c r="Z112" s="61"/>
      <c r="AA112" s="61"/>
      <c r="AB112" s="66"/>
      <c r="AC112" s="34"/>
      <c r="AD112" s="34"/>
      <c r="AE112" s="66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</row>
    <row r="113" ht="15.75" customHeight="1">
      <c r="A113" s="28">
        <v>106.0</v>
      </c>
      <c r="B113" s="37" t="s">
        <v>2213</v>
      </c>
      <c r="C113" s="37" t="s">
        <v>2214</v>
      </c>
      <c r="D113" s="37" t="s">
        <v>2215</v>
      </c>
      <c r="E113" s="133" t="s">
        <v>338</v>
      </c>
      <c r="F113" s="134">
        <v>45.0</v>
      </c>
      <c r="G113" s="134" t="s">
        <v>385</v>
      </c>
      <c r="H113" s="134" t="s">
        <v>708</v>
      </c>
      <c r="I113" s="134">
        <v>9.057288059E9</v>
      </c>
      <c r="J113" s="54">
        <v>19.0</v>
      </c>
      <c r="K113" s="55">
        <v>18.0</v>
      </c>
      <c r="L113" s="55">
        <v>0.0</v>
      </c>
      <c r="M113" s="55">
        <v>1.0</v>
      </c>
      <c r="N113" s="43">
        <f t="shared" si="3"/>
        <v>1</v>
      </c>
      <c r="O113" s="55">
        <v>12.0</v>
      </c>
      <c r="P113" s="55">
        <v>0.0</v>
      </c>
      <c r="Q113" s="43">
        <f t="shared" si="2"/>
        <v>13</v>
      </c>
      <c r="R113" s="43"/>
      <c r="S113" s="55" t="s">
        <v>88</v>
      </c>
      <c r="T113" s="43"/>
      <c r="U113" s="43"/>
      <c r="V113" s="55"/>
      <c r="W113" s="56" t="s">
        <v>46</v>
      </c>
      <c r="X113" s="34"/>
      <c r="Y113" s="34"/>
      <c r="Z113" s="61"/>
      <c r="AA113" s="61"/>
      <c r="AB113" s="66"/>
      <c r="AC113" s="34"/>
      <c r="AD113" s="34"/>
      <c r="AE113" s="66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</row>
    <row r="114" ht="15.75" customHeight="1">
      <c r="A114" s="28">
        <v>107.0</v>
      </c>
      <c r="B114" s="37" t="s">
        <v>2216</v>
      </c>
      <c r="C114" s="37" t="s">
        <v>2217</v>
      </c>
      <c r="D114" s="37" t="s">
        <v>2218</v>
      </c>
      <c r="E114" s="133" t="s">
        <v>338</v>
      </c>
      <c r="F114" s="134">
        <v>49.0</v>
      </c>
      <c r="G114" s="134" t="s">
        <v>385</v>
      </c>
      <c r="H114" s="134" t="s">
        <v>435</v>
      </c>
      <c r="I114" s="134">
        <v>9.385711138E9</v>
      </c>
      <c r="J114" s="42"/>
      <c r="K114" s="43"/>
      <c r="L114" s="43"/>
      <c r="M114" s="43"/>
      <c r="N114" s="43">
        <f t="shared" si="3"/>
        <v>0</v>
      </c>
      <c r="O114" s="43"/>
      <c r="P114" s="43"/>
      <c r="Q114" s="43">
        <f t="shared" si="2"/>
        <v>0</v>
      </c>
      <c r="R114" s="43"/>
      <c r="S114" s="43"/>
      <c r="T114" s="43"/>
      <c r="U114" s="43"/>
      <c r="V114" s="43"/>
      <c r="W114" s="44"/>
      <c r="X114" s="34"/>
      <c r="Y114" s="34"/>
      <c r="Z114" s="61"/>
      <c r="AA114" s="61"/>
      <c r="AB114" s="66"/>
      <c r="AC114" s="34"/>
      <c r="AD114" s="34"/>
      <c r="AE114" s="66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</row>
    <row r="115" ht="15.75" customHeight="1">
      <c r="A115" s="28">
        <v>108.0</v>
      </c>
      <c r="B115" s="37" t="s">
        <v>1424</v>
      </c>
      <c r="C115" s="37" t="s">
        <v>2219</v>
      </c>
      <c r="D115" s="37" t="s">
        <v>2220</v>
      </c>
      <c r="E115" s="133" t="s">
        <v>338</v>
      </c>
      <c r="F115" s="134">
        <v>44.0</v>
      </c>
      <c r="G115" s="134" t="s">
        <v>339</v>
      </c>
      <c r="H115" s="134" t="s">
        <v>646</v>
      </c>
      <c r="I115" s="134">
        <v>9.430772514E9</v>
      </c>
      <c r="J115" s="54">
        <v>30.0</v>
      </c>
      <c r="K115" s="55">
        <v>23.0</v>
      </c>
      <c r="L115" s="55">
        <v>0.0</v>
      </c>
      <c r="M115" s="55">
        <v>1.0</v>
      </c>
      <c r="N115" s="43">
        <f t="shared" si="3"/>
        <v>1</v>
      </c>
      <c r="O115" s="55">
        <v>2.0</v>
      </c>
      <c r="P115" s="55">
        <v>6.0</v>
      </c>
      <c r="Q115" s="43">
        <f t="shared" si="2"/>
        <v>9</v>
      </c>
      <c r="R115" s="43"/>
      <c r="S115" s="43"/>
      <c r="T115" s="43"/>
      <c r="U115" s="43"/>
      <c r="V115" s="43"/>
      <c r="W115" s="56" t="s">
        <v>46</v>
      </c>
      <c r="X115" s="34"/>
      <c r="Y115" s="34"/>
      <c r="Z115" s="61"/>
      <c r="AA115" s="61"/>
      <c r="AB115" s="66"/>
      <c r="AC115" s="34"/>
      <c r="AD115" s="34"/>
      <c r="AE115" s="66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</row>
    <row r="116" ht="15.75" customHeight="1">
      <c r="A116" s="28">
        <v>109.0</v>
      </c>
      <c r="B116" s="37" t="s">
        <v>2221</v>
      </c>
      <c r="C116" s="37" t="s">
        <v>2222</v>
      </c>
      <c r="D116" s="37" t="s">
        <v>2223</v>
      </c>
      <c r="E116" s="133" t="s">
        <v>338</v>
      </c>
      <c r="F116" s="134">
        <v>50.0</v>
      </c>
      <c r="G116" s="134" t="s">
        <v>339</v>
      </c>
      <c r="H116" s="134" t="s">
        <v>646</v>
      </c>
      <c r="I116" s="134">
        <v>9.102159902E9</v>
      </c>
      <c r="J116" s="54">
        <v>14.0</v>
      </c>
      <c r="K116" s="55">
        <v>12.0</v>
      </c>
      <c r="L116" s="55">
        <v>0.0</v>
      </c>
      <c r="M116" s="55">
        <v>0.0</v>
      </c>
      <c r="N116" s="43">
        <f t="shared" si="3"/>
        <v>0</v>
      </c>
      <c r="O116" s="55">
        <v>14.0</v>
      </c>
      <c r="P116" s="55">
        <v>2.0</v>
      </c>
      <c r="Q116" s="43">
        <f t="shared" si="2"/>
        <v>16</v>
      </c>
      <c r="R116" s="43"/>
      <c r="S116" s="55" t="s">
        <v>88</v>
      </c>
      <c r="T116" s="43"/>
      <c r="U116" s="43"/>
      <c r="V116" s="43"/>
      <c r="W116" s="56" t="s">
        <v>46</v>
      </c>
      <c r="X116" s="34"/>
      <c r="Y116" s="34"/>
      <c r="Z116" s="61"/>
      <c r="AA116" s="61"/>
      <c r="AB116" s="66"/>
      <c r="AC116" s="34"/>
      <c r="AD116" s="34"/>
      <c r="AE116" s="66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</row>
    <row r="117" ht="15.75" customHeight="1">
      <c r="A117" s="28">
        <v>110.0</v>
      </c>
      <c r="B117" s="37" t="s">
        <v>2224</v>
      </c>
      <c r="C117" s="37" t="s">
        <v>2225</v>
      </c>
      <c r="D117" s="37" t="s">
        <v>2226</v>
      </c>
      <c r="E117" s="133" t="s">
        <v>338</v>
      </c>
      <c r="F117" s="134">
        <v>40.0</v>
      </c>
      <c r="G117" s="134" t="s">
        <v>385</v>
      </c>
      <c r="H117" s="134" t="s">
        <v>708</v>
      </c>
      <c r="I117" s="134">
        <v>9.086525755E9</v>
      </c>
      <c r="J117" s="54">
        <v>28.0</v>
      </c>
      <c r="K117" s="55">
        <v>19.0</v>
      </c>
      <c r="L117" s="55">
        <v>1.0</v>
      </c>
      <c r="M117" s="55">
        <v>6.0</v>
      </c>
      <c r="N117" s="43">
        <f t="shared" si="3"/>
        <v>7</v>
      </c>
      <c r="O117" s="55">
        <v>4.0</v>
      </c>
      <c r="P117" s="55">
        <v>2.0</v>
      </c>
      <c r="Q117" s="43">
        <f t="shared" si="2"/>
        <v>13</v>
      </c>
      <c r="R117" s="43"/>
      <c r="S117" s="43"/>
      <c r="T117" s="43"/>
      <c r="U117" s="43"/>
      <c r="V117" s="43"/>
      <c r="W117" s="56" t="s">
        <v>46</v>
      </c>
      <c r="X117" s="34"/>
      <c r="Y117" s="34"/>
      <c r="Z117" s="61"/>
      <c r="AA117" s="61"/>
      <c r="AB117" s="66"/>
      <c r="AC117" s="34"/>
      <c r="AD117" s="34"/>
      <c r="AE117" s="66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</row>
    <row r="118" ht="15.75" customHeight="1">
      <c r="A118" s="28">
        <v>111.0</v>
      </c>
      <c r="B118" s="37" t="s">
        <v>2227</v>
      </c>
      <c r="C118" s="37" t="s">
        <v>2228</v>
      </c>
      <c r="D118" s="37" t="s">
        <v>1164</v>
      </c>
      <c r="E118" s="133" t="s">
        <v>338</v>
      </c>
      <c r="F118" s="134">
        <v>29.0</v>
      </c>
      <c r="G118" s="134" t="s">
        <v>339</v>
      </c>
      <c r="H118" s="134" t="s">
        <v>435</v>
      </c>
      <c r="I118" s="134">
        <v>9.926125754E9</v>
      </c>
      <c r="J118" s="248">
        <v>22.0</v>
      </c>
      <c r="K118" s="54">
        <v>17.0</v>
      </c>
      <c r="L118" s="55">
        <v>0.0</v>
      </c>
      <c r="M118" s="55">
        <v>5.0</v>
      </c>
      <c r="N118" s="43">
        <f t="shared" si="3"/>
        <v>5</v>
      </c>
      <c r="O118" s="55">
        <v>10.0</v>
      </c>
      <c r="P118" s="55">
        <v>0.0</v>
      </c>
      <c r="Q118" s="43">
        <f t="shared" si="2"/>
        <v>15</v>
      </c>
      <c r="R118" s="43"/>
      <c r="S118" s="55" t="s">
        <v>88</v>
      </c>
      <c r="T118" s="43"/>
      <c r="U118" s="43"/>
      <c r="V118" s="43"/>
      <c r="W118" s="56" t="s">
        <v>46</v>
      </c>
      <c r="X118" s="34"/>
      <c r="Y118" s="34"/>
      <c r="Z118" s="61"/>
      <c r="AA118" s="61"/>
      <c r="AB118" s="66"/>
      <c r="AC118" s="34"/>
      <c r="AD118" s="34"/>
      <c r="AE118" s="66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</row>
    <row r="119" ht="15.75" customHeight="1">
      <c r="A119" s="28">
        <v>112.0</v>
      </c>
      <c r="B119" s="37" t="s">
        <v>1219</v>
      </c>
      <c r="C119" s="37" t="s">
        <v>2229</v>
      </c>
      <c r="D119" s="37" t="s">
        <v>2230</v>
      </c>
      <c r="E119" s="133" t="s">
        <v>338</v>
      </c>
      <c r="F119" s="134">
        <v>32.0</v>
      </c>
      <c r="G119" s="134" t="s">
        <v>385</v>
      </c>
      <c r="H119" s="134" t="s">
        <v>435</v>
      </c>
      <c r="I119" s="134">
        <v>9.47830123E9</v>
      </c>
      <c r="J119" s="54">
        <v>27.0</v>
      </c>
      <c r="K119" s="55">
        <v>22.0</v>
      </c>
      <c r="L119" s="55">
        <v>0.0</v>
      </c>
      <c r="M119" s="55">
        <v>3.0</v>
      </c>
      <c r="N119" s="43">
        <f t="shared" si="3"/>
        <v>3</v>
      </c>
      <c r="O119" s="55">
        <v>5.0</v>
      </c>
      <c r="P119" s="55">
        <v>2.0</v>
      </c>
      <c r="Q119" s="43">
        <f t="shared" si="2"/>
        <v>10</v>
      </c>
      <c r="R119" s="43"/>
      <c r="S119" s="55" t="s">
        <v>277</v>
      </c>
      <c r="T119" s="43"/>
      <c r="U119" s="43"/>
      <c r="V119" s="43"/>
      <c r="W119" s="56" t="s">
        <v>46</v>
      </c>
      <c r="X119" s="34"/>
      <c r="Y119" s="34"/>
      <c r="Z119" s="61"/>
      <c r="AA119" s="61"/>
      <c r="AB119" s="66"/>
      <c r="AC119" s="34"/>
      <c r="AD119" s="34"/>
      <c r="AE119" s="66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</row>
    <row r="120" ht="15.75" customHeight="1">
      <c r="A120" s="28">
        <v>113.0</v>
      </c>
      <c r="B120" s="37" t="s">
        <v>2231</v>
      </c>
      <c r="C120" s="37" t="s">
        <v>2232</v>
      </c>
      <c r="D120" s="37" t="s">
        <v>2233</v>
      </c>
      <c r="E120" s="133" t="s">
        <v>338</v>
      </c>
      <c r="F120" s="134">
        <v>42.0</v>
      </c>
      <c r="G120" s="134" t="s">
        <v>339</v>
      </c>
      <c r="H120" s="134" t="s">
        <v>646</v>
      </c>
      <c r="I120" s="134">
        <v>9.605314675E9</v>
      </c>
      <c r="J120" s="54">
        <v>25.0</v>
      </c>
      <c r="K120" s="55">
        <v>15.0</v>
      </c>
      <c r="L120" s="55">
        <v>5.0</v>
      </c>
      <c r="M120" s="55">
        <v>5.0</v>
      </c>
      <c r="N120" s="43">
        <f t="shared" si="3"/>
        <v>10</v>
      </c>
      <c r="O120" s="55">
        <v>7.0</v>
      </c>
      <c r="P120" s="55">
        <v>0.0</v>
      </c>
      <c r="Q120" s="43">
        <f t="shared" si="2"/>
        <v>17</v>
      </c>
      <c r="R120" s="43"/>
      <c r="S120" s="55" t="s">
        <v>88</v>
      </c>
      <c r="T120" s="43"/>
      <c r="U120" s="43"/>
      <c r="V120" s="43"/>
      <c r="W120" s="56" t="s">
        <v>46</v>
      </c>
      <c r="X120" s="34"/>
      <c r="Y120" s="34"/>
      <c r="Z120" s="61"/>
      <c r="AA120" s="61"/>
      <c r="AB120" s="66"/>
      <c r="AC120" s="34"/>
      <c r="AD120" s="34"/>
      <c r="AE120" s="66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</row>
    <row r="121" ht="15.75" customHeight="1">
      <c r="A121" s="28">
        <v>114.0</v>
      </c>
      <c r="B121" s="37" t="s">
        <v>2234</v>
      </c>
      <c r="C121" s="37" t="s">
        <v>1136</v>
      </c>
      <c r="D121" s="37" t="s">
        <v>2235</v>
      </c>
      <c r="E121" s="133" t="s">
        <v>338</v>
      </c>
      <c r="F121" s="134">
        <v>45.0</v>
      </c>
      <c r="G121" s="134" t="s">
        <v>339</v>
      </c>
      <c r="H121" s="134" t="s">
        <v>435</v>
      </c>
      <c r="I121" s="134">
        <v>9.084928367E9</v>
      </c>
      <c r="J121" s="54">
        <v>17.0</v>
      </c>
      <c r="K121" s="55">
        <v>14.0</v>
      </c>
      <c r="L121" s="55">
        <v>0.0</v>
      </c>
      <c r="M121" s="55">
        <v>2.0</v>
      </c>
      <c r="N121" s="43">
        <f t="shared" si="3"/>
        <v>2</v>
      </c>
      <c r="O121" s="55">
        <v>15.0</v>
      </c>
      <c r="P121" s="55">
        <v>1.0</v>
      </c>
      <c r="Q121" s="43">
        <f t="shared" si="2"/>
        <v>18</v>
      </c>
      <c r="R121" s="43"/>
      <c r="S121" s="55" t="s">
        <v>97</v>
      </c>
      <c r="T121" s="43"/>
      <c r="U121" s="43"/>
      <c r="V121" s="55"/>
      <c r="W121" s="56" t="s">
        <v>46</v>
      </c>
      <c r="X121" s="34"/>
      <c r="Y121" s="34"/>
      <c r="Z121" s="61"/>
      <c r="AA121" s="61"/>
      <c r="AB121" s="66"/>
      <c r="AC121" s="34"/>
      <c r="AD121" s="34"/>
      <c r="AE121" s="66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</row>
    <row r="122" ht="15.75" customHeight="1">
      <c r="A122" s="28">
        <v>115.0</v>
      </c>
      <c r="B122" s="37" t="s">
        <v>2236</v>
      </c>
      <c r="C122" s="37" t="s">
        <v>2157</v>
      </c>
      <c r="D122" s="37" t="s">
        <v>2093</v>
      </c>
      <c r="E122" s="133" t="s">
        <v>338</v>
      </c>
      <c r="F122" s="134">
        <v>44.0</v>
      </c>
      <c r="G122" s="134" t="s">
        <v>339</v>
      </c>
      <c r="H122" s="134" t="s">
        <v>435</v>
      </c>
      <c r="I122" s="134">
        <v>9.62998152E9</v>
      </c>
      <c r="J122" s="54">
        <v>27.0</v>
      </c>
      <c r="K122" s="55">
        <v>18.0</v>
      </c>
      <c r="L122" s="55">
        <v>2.0</v>
      </c>
      <c r="M122" s="55">
        <v>7.0</v>
      </c>
      <c r="N122" s="43">
        <f t="shared" si="3"/>
        <v>9</v>
      </c>
      <c r="O122" s="55">
        <v>5.0</v>
      </c>
      <c r="P122" s="55">
        <v>0.0</v>
      </c>
      <c r="Q122" s="43">
        <f t="shared" si="2"/>
        <v>14</v>
      </c>
      <c r="R122" s="43"/>
      <c r="S122" s="43"/>
      <c r="T122" s="43"/>
      <c r="U122" s="43"/>
      <c r="V122" s="43"/>
      <c r="W122" s="56" t="s">
        <v>46</v>
      </c>
      <c r="X122" s="34"/>
      <c r="Y122" s="34"/>
      <c r="Z122" s="61"/>
      <c r="AA122" s="61"/>
      <c r="AB122" s="66"/>
      <c r="AC122" s="34"/>
      <c r="AD122" s="34"/>
      <c r="AE122" s="66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</row>
    <row r="123" ht="15.75" customHeight="1">
      <c r="A123" s="28">
        <v>116.0</v>
      </c>
      <c r="B123" s="37" t="s">
        <v>2237</v>
      </c>
      <c r="C123" s="37" t="s">
        <v>2238</v>
      </c>
      <c r="D123" s="37" t="s">
        <v>834</v>
      </c>
      <c r="E123" s="133" t="s">
        <v>338</v>
      </c>
      <c r="F123" s="134">
        <v>59.0</v>
      </c>
      <c r="G123" s="134" t="s">
        <v>339</v>
      </c>
      <c r="H123" s="134" t="s">
        <v>435</v>
      </c>
      <c r="I123" s="134">
        <v>9.065962608E9</v>
      </c>
      <c r="J123" s="54">
        <v>25.0</v>
      </c>
      <c r="K123" s="55">
        <v>19.0</v>
      </c>
      <c r="L123" s="55">
        <v>3.0</v>
      </c>
      <c r="M123" s="55">
        <v>3.0</v>
      </c>
      <c r="N123" s="43">
        <f t="shared" si="3"/>
        <v>6</v>
      </c>
      <c r="O123" s="55">
        <v>3.0</v>
      </c>
      <c r="P123" s="55">
        <v>0.0</v>
      </c>
      <c r="Q123" s="43">
        <f t="shared" si="2"/>
        <v>9</v>
      </c>
      <c r="R123" s="43"/>
      <c r="S123" s="43"/>
      <c r="T123" s="55" t="s">
        <v>140</v>
      </c>
      <c r="U123" s="43"/>
      <c r="V123" s="55"/>
      <c r="W123" s="56" t="s">
        <v>46</v>
      </c>
      <c r="X123" s="34"/>
      <c r="Y123" s="34"/>
      <c r="Z123" s="61"/>
      <c r="AA123" s="61"/>
      <c r="AB123" s="66"/>
      <c r="AC123" s="34"/>
      <c r="AD123" s="34"/>
      <c r="AE123" s="66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</row>
    <row r="124" ht="15.75" customHeight="1">
      <c r="A124" s="28">
        <v>117.0</v>
      </c>
      <c r="B124" s="37" t="s">
        <v>2239</v>
      </c>
      <c r="C124" s="37" t="s">
        <v>2240</v>
      </c>
      <c r="D124" s="37" t="s">
        <v>2241</v>
      </c>
      <c r="E124" s="133" t="s">
        <v>338</v>
      </c>
      <c r="F124" s="134">
        <v>58.0</v>
      </c>
      <c r="G124" s="134" t="s">
        <v>339</v>
      </c>
      <c r="H124" s="134" t="s">
        <v>646</v>
      </c>
      <c r="I124" s="134">
        <v>9.568240699E9</v>
      </c>
      <c r="J124" s="54">
        <v>21.0</v>
      </c>
      <c r="K124" s="55">
        <v>17.0</v>
      </c>
      <c r="L124" s="55">
        <v>2.0</v>
      </c>
      <c r="M124" s="55">
        <v>2.0</v>
      </c>
      <c r="N124" s="43">
        <f t="shared" si="3"/>
        <v>4</v>
      </c>
      <c r="O124" s="55">
        <v>11.0</v>
      </c>
      <c r="P124" s="55">
        <v>0.0</v>
      </c>
      <c r="Q124" s="43">
        <f t="shared" si="2"/>
        <v>15</v>
      </c>
      <c r="R124" s="43"/>
      <c r="S124" s="43"/>
      <c r="T124" s="43"/>
      <c r="U124" s="43"/>
      <c r="V124" s="43"/>
      <c r="W124" s="56" t="s">
        <v>46</v>
      </c>
      <c r="X124" s="34"/>
      <c r="Y124" s="34"/>
      <c r="Z124" s="61"/>
      <c r="AA124" s="61"/>
      <c r="AB124" s="66"/>
      <c r="AC124" s="34"/>
      <c r="AD124" s="34"/>
      <c r="AE124" s="66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</row>
    <row r="125" ht="15.75" customHeight="1">
      <c r="A125" s="28">
        <v>118.0</v>
      </c>
      <c r="B125" s="37" t="s">
        <v>2242</v>
      </c>
      <c r="C125" s="37" t="s">
        <v>2243</v>
      </c>
      <c r="D125" s="37" t="s">
        <v>932</v>
      </c>
      <c r="E125" s="133" t="s">
        <v>338</v>
      </c>
      <c r="F125" s="208">
        <v>28.0</v>
      </c>
      <c r="G125" s="134" t="s">
        <v>385</v>
      </c>
      <c r="H125" s="134" t="s">
        <v>435</v>
      </c>
      <c r="I125" s="208">
        <v>9.457569222E9</v>
      </c>
      <c r="J125" s="54">
        <v>29.0</v>
      </c>
      <c r="K125" s="55">
        <v>23.0</v>
      </c>
      <c r="L125" s="55">
        <v>0.0</v>
      </c>
      <c r="M125" s="55">
        <v>3.0</v>
      </c>
      <c r="N125" s="43">
        <f t="shared" si="3"/>
        <v>3</v>
      </c>
      <c r="O125" s="55">
        <v>1.0</v>
      </c>
      <c r="P125" s="55">
        <v>3.0</v>
      </c>
      <c r="Q125" s="43">
        <f t="shared" si="2"/>
        <v>7</v>
      </c>
      <c r="R125" s="43"/>
      <c r="S125" s="55" t="s">
        <v>277</v>
      </c>
      <c r="T125" s="43"/>
      <c r="U125" s="43"/>
      <c r="V125" s="43"/>
      <c r="W125" s="56" t="s">
        <v>46</v>
      </c>
      <c r="X125" s="34"/>
      <c r="Y125" s="34"/>
      <c r="Z125" s="61"/>
      <c r="AA125" s="61"/>
      <c r="AB125" s="66"/>
      <c r="AC125" s="34"/>
      <c r="AD125" s="34"/>
      <c r="AE125" s="66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</row>
    <row r="126" ht="15.75" customHeight="1">
      <c r="A126" s="28">
        <v>119.0</v>
      </c>
      <c r="B126" s="37" t="s">
        <v>2244</v>
      </c>
      <c r="C126" s="37" t="s">
        <v>2245</v>
      </c>
      <c r="D126" s="37" t="s">
        <v>2246</v>
      </c>
      <c r="E126" s="133" t="s">
        <v>338</v>
      </c>
      <c r="F126" s="134">
        <v>28.0</v>
      </c>
      <c r="G126" s="134" t="s">
        <v>385</v>
      </c>
      <c r="H126" s="134" t="s">
        <v>435</v>
      </c>
      <c r="I126" s="134">
        <v>9.611948864E9</v>
      </c>
      <c r="J126" s="54">
        <v>32.0</v>
      </c>
      <c r="K126" s="55">
        <v>24.0</v>
      </c>
      <c r="L126" s="55">
        <v>2.0</v>
      </c>
      <c r="M126" s="55">
        <v>5.0</v>
      </c>
      <c r="N126" s="43">
        <f t="shared" si="3"/>
        <v>7</v>
      </c>
      <c r="O126" s="55">
        <v>0.0</v>
      </c>
      <c r="P126" s="55">
        <v>0.0</v>
      </c>
      <c r="Q126" s="43">
        <f t="shared" si="2"/>
        <v>7</v>
      </c>
      <c r="R126" s="43"/>
      <c r="S126" s="43"/>
      <c r="T126" s="43"/>
      <c r="U126" s="43"/>
      <c r="V126" s="43"/>
      <c r="W126" s="56" t="s">
        <v>46</v>
      </c>
      <c r="X126" s="34"/>
      <c r="Y126" s="34"/>
      <c r="Z126" s="61"/>
      <c r="AA126" s="61"/>
      <c r="AB126" s="66"/>
      <c r="AC126" s="34"/>
      <c r="AD126" s="34"/>
      <c r="AE126" s="66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</row>
    <row r="127" ht="15.75" customHeight="1">
      <c r="A127" s="28">
        <v>120.0</v>
      </c>
      <c r="B127" s="37" t="s">
        <v>2247</v>
      </c>
      <c r="C127" s="37" t="s">
        <v>2248</v>
      </c>
      <c r="D127" s="37" t="s">
        <v>2249</v>
      </c>
      <c r="E127" s="133" t="s">
        <v>338</v>
      </c>
      <c r="F127" s="134">
        <v>37.0</v>
      </c>
      <c r="G127" s="134" t="s">
        <v>339</v>
      </c>
      <c r="H127" s="134" t="s">
        <v>435</v>
      </c>
      <c r="I127" s="134">
        <v>9.104943516E9</v>
      </c>
      <c r="J127" s="54">
        <v>24.0</v>
      </c>
      <c r="K127" s="55">
        <v>14.0</v>
      </c>
      <c r="L127" s="55">
        <v>1.0</v>
      </c>
      <c r="M127" s="55">
        <v>7.0</v>
      </c>
      <c r="N127" s="43">
        <f t="shared" si="3"/>
        <v>8</v>
      </c>
      <c r="O127" s="55">
        <v>4.0</v>
      </c>
      <c r="P127" s="55">
        <v>2.0</v>
      </c>
      <c r="Q127" s="43">
        <f t="shared" si="2"/>
        <v>14</v>
      </c>
      <c r="R127" s="43"/>
      <c r="S127" s="55" t="s">
        <v>88</v>
      </c>
      <c r="T127" s="43"/>
      <c r="U127" s="43"/>
      <c r="V127" s="43"/>
      <c r="W127" s="56" t="s">
        <v>46</v>
      </c>
      <c r="X127" s="34"/>
      <c r="Y127" s="34"/>
      <c r="Z127" s="61"/>
      <c r="AA127" s="61"/>
      <c r="AB127" s="66"/>
      <c r="AC127" s="34"/>
      <c r="AD127" s="34"/>
      <c r="AE127" s="66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</row>
    <row r="128" ht="15.75" customHeight="1">
      <c r="A128" s="28">
        <v>121.0</v>
      </c>
      <c r="B128" s="37" t="s">
        <v>2250</v>
      </c>
      <c r="C128" s="37" t="s">
        <v>2251</v>
      </c>
      <c r="D128" s="37" t="s">
        <v>2252</v>
      </c>
      <c r="E128" s="133" t="s">
        <v>338</v>
      </c>
      <c r="F128" s="134">
        <v>36.0</v>
      </c>
      <c r="G128" s="134" t="s">
        <v>385</v>
      </c>
      <c r="H128" s="134" t="s">
        <v>435</v>
      </c>
      <c r="I128" s="134">
        <v>9.078754628E9</v>
      </c>
      <c r="J128" s="54">
        <v>29.0</v>
      </c>
      <c r="K128" s="55">
        <v>18.0</v>
      </c>
      <c r="L128" s="55">
        <v>2.0</v>
      </c>
      <c r="M128" s="55">
        <v>9.0</v>
      </c>
      <c r="N128" s="43">
        <f t="shared" si="3"/>
        <v>11</v>
      </c>
      <c r="O128" s="55">
        <v>3.0</v>
      </c>
      <c r="P128" s="55">
        <v>0.0</v>
      </c>
      <c r="Q128" s="43">
        <f t="shared" si="2"/>
        <v>14</v>
      </c>
      <c r="R128" s="43"/>
      <c r="S128" s="43"/>
      <c r="T128" s="43"/>
      <c r="U128" s="43"/>
      <c r="V128" s="43"/>
      <c r="W128" s="56" t="s">
        <v>46</v>
      </c>
      <c r="X128" s="34"/>
      <c r="Y128" s="34"/>
      <c r="Z128" s="61"/>
      <c r="AA128" s="61"/>
      <c r="AB128" s="66"/>
      <c r="AC128" s="34"/>
      <c r="AD128" s="34"/>
      <c r="AE128" s="66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</row>
    <row r="129" ht="15.75" customHeight="1">
      <c r="A129" s="28">
        <v>122.0</v>
      </c>
      <c r="B129" s="37" t="s">
        <v>2253</v>
      </c>
      <c r="C129" s="37" t="s">
        <v>2254</v>
      </c>
      <c r="D129" s="37" t="s">
        <v>2026</v>
      </c>
      <c r="E129" s="133" t="s">
        <v>338</v>
      </c>
      <c r="F129" s="134">
        <v>25.0</v>
      </c>
      <c r="G129" s="134" t="s">
        <v>385</v>
      </c>
      <c r="H129" s="134" t="s">
        <v>435</v>
      </c>
      <c r="I129" s="134">
        <v>9.082112565E9</v>
      </c>
      <c r="J129" s="42"/>
      <c r="K129" s="43"/>
      <c r="L129" s="43"/>
      <c r="M129" s="43"/>
      <c r="N129" s="43">
        <f t="shared" si="3"/>
        <v>0</v>
      </c>
      <c r="O129" s="43"/>
      <c r="P129" s="43"/>
      <c r="Q129" s="43">
        <f t="shared" si="2"/>
        <v>0</v>
      </c>
      <c r="R129" s="43"/>
      <c r="S129" s="43"/>
      <c r="T129" s="43"/>
      <c r="U129" s="43"/>
      <c r="V129" s="43"/>
      <c r="W129" s="44"/>
      <c r="X129" s="34"/>
      <c r="Y129" s="34"/>
      <c r="Z129" s="61"/>
      <c r="AA129" s="61"/>
      <c r="AB129" s="66"/>
      <c r="AC129" s="34"/>
      <c r="AD129" s="34"/>
      <c r="AE129" s="66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</row>
    <row r="130" ht="15.75" customHeight="1">
      <c r="A130" s="28">
        <v>123.0</v>
      </c>
      <c r="B130" s="37" t="s">
        <v>2255</v>
      </c>
      <c r="C130" s="37" t="s">
        <v>2256</v>
      </c>
      <c r="D130" s="37" t="s">
        <v>2257</v>
      </c>
      <c r="E130" s="133" t="s">
        <v>338</v>
      </c>
      <c r="F130" s="134">
        <v>34.0</v>
      </c>
      <c r="G130" s="134" t="s">
        <v>339</v>
      </c>
      <c r="H130" s="134" t="s">
        <v>435</v>
      </c>
      <c r="I130" s="134">
        <v>9.3590689E9</v>
      </c>
      <c r="J130" s="54">
        <v>29.0</v>
      </c>
      <c r="K130" s="55">
        <v>23.0</v>
      </c>
      <c r="L130" s="55">
        <v>2.0</v>
      </c>
      <c r="M130" s="55">
        <v>2.0</v>
      </c>
      <c r="N130" s="43">
        <f t="shared" si="3"/>
        <v>4</v>
      </c>
      <c r="O130" s="55">
        <v>3.0</v>
      </c>
      <c r="P130" s="55">
        <v>2.0</v>
      </c>
      <c r="Q130" s="43">
        <f t="shared" si="2"/>
        <v>9</v>
      </c>
      <c r="R130" s="43"/>
      <c r="S130" s="43"/>
      <c r="T130" s="43"/>
      <c r="U130" s="43"/>
      <c r="V130" s="43"/>
      <c r="W130" s="56" t="s">
        <v>46</v>
      </c>
      <c r="X130" s="34"/>
      <c r="Y130" s="34"/>
      <c r="Z130" s="61"/>
      <c r="AA130" s="61"/>
      <c r="AB130" s="66"/>
      <c r="AC130" s="34"/>
      <c r="AD130" s="34"/>
      <c r="AE130" s="66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</row>
    <row r="131" ht="15.75" customHeight="1">
      <c r="A131" s="28">
        <v>124.0</v>
      </c>
      <c r="B131" s="37" t="s">
        <v>2258</v>
      </c>
      <c r="C131" s="37" t="s">
        <v>2259</v>
      </c>
      <c r="D131" s="37" t="s">
        <v>2260</v>
      </c>
      <c r="E131" s="133" t="s">
        <v>338</v>
      </c>
      <c r="F131" s="134">
        <v>45.0</v>
      </c>
      <c r="G131" s="134" t="s">
        <v>339</v>
      </c>
      <c r="H131" s="134" t="s">
        <v>435</v>
      </c>
      <c r="I131" s="134">
        <v>9.950822099E9</v>
      </c>
      <c r="J131" s="54">
        <v>22.0</v>
      </c>
      <c r="K131" s="55">
        <v>4.0</v>
      </c>
      <c r="L131" s="55">
        <v>0.0</v>
      </c>
      <c r="M131" s="55">
        <v>7.0</v>
      </c>
      <c r="N131" s="43">
        <f t="shared" si="3"/>
        <v>7</v>
      </c>
      <c r="O131" s="55">
        <v>10.0</v>
      </c>
      <c r="P131" s="55">
        <v>6.0</v>
      </c>
      <c r="Q131" s="43">
        <f t="shared" si="2"/>
        <v>23</v>
      </c>
      <c r="R131" s="43"/>
      <c r="S131" s="55" t="s">
        <v>88</v>
      </c>
      <c r="T131" s="43"/>
      <c r="U131" s="43"/>
      <c r="V131" s="55"/>
      <c r="W131" s="56" t="s">
        <v>46</v>
      </c>
      <c r="X131" s="34"/>
      <c r="Y131" s="34"/>
      <c r="Z131" s="61"/>
      <c r="AA131" s="61"/>
      <c r="AB131" s="66"/>
      <c r="AC131" s="34"/>
      <c r="AD131" s="34"/>
      <c r="AE131" s="66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</row>
    <row r="132" ht="15.75" customHeight="1">
      <c r="A132" s="28">
        <v>125.0</v>
      </c>
      <c r="B132" s="37" t="s">
        <v>2261</v>
      </c>
      <c r="C132" s="37" t="s">
        <v>2262</v>
      </c>
      <c r="D132" s="37" t="s">
        <v>2263</v>
      </c>
      <c r="E132" s="133" t="s">
        <v>338</v>
      </c>
      <c r="F132" s="134">
        <v>29.0</v>
      </c>
      <c r="G132" s="134" t="s">
        <v>339</v>
      </c>
      <c r="H132" s="134" t="s">
        <v>435</v>
      </c>
      <c r="I132" s="134">
        <v>9.620909505E9</v>
      </c>
      <c r="J132" s="54">
        <v>24.0</v>
      </c>
      <c r="K132" s="55">
        <v>18.0</v>
      </c>
      <c r="L132" s="55">
        <v>2.0</v>
      </c>
      <c r="M132" s="55">
        <v>4.0</v>
      </c>
      <c r="N132" s="43">
        <f t="shared" si="3"/>
        <v>6</v>
      </c>
      <c r="O132" s="55">
        <v>8.0</v>
      </c>
      <c r="P132" s="55">
        <v>0.0</v>
      </c>
      <c r="Q132" s="43">
        <f t="shared" si="2"/>
        <v>14</v>
      </c>
      <c r="R132" s="43"/>
      <c r="S132" s="55" t="s">
        <v>88</v>
      </c>
      <c r="T132" s="43"/>
      <c r="U132" s="43"/>
      <c r="V132" s="43"/>
      <c r="W132" s="56" t="s">
        <v>46</v>
      </c>
      <c r="X132" s="34"/>
      <c r="Y132" s="34"/>
      <c r="Z132" s="61"/>
      <c r="AA132" s="61"/>
      <c r="AB132" s="66"/>
      <c r="AC132" s="34"/>
      <c r="AD132" s="34"/>
      <c r="AE132" s="66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</row>
    <row r="133" ht="17.25" customHeight="1">
      <c r="A133" s="28">
        <v>126.0</v>
      </c>
      <c r="B133" s="37" t="s">
        <v>232</v>
      </c>
      <c r="C133" s="37" t="s">
        <v>2264</v>
      </c>
      <c r="D133" s="37" t="s">
        <v>1424</v>
      </c>
      <c r="E133" s="133" t="s">
        <v>338</v>
      </c>
      <c r="F133" s="134">
        <v>28.0</v>
      </c>
      <c r="G133" s="134" t="s">
        <v>339</v>
      </c>
      <c r="H133" s="134" t="s">
        <v>435</v>
      </c>
      <c r="I133" s="134">
        <v>9.384340477E9</v>
      </c>
      <c r="J133" s="54">
        <v>30.0</v>
      </c>
      <c r="K133" s="55">
        <v>29.0</v>
      </c>
      <c r="L133" s="55">
        <v>0.0</v>
      </c>
      <c r="M133" s="55">
        <v>0.0</v>
      </c>
      <c r="N133" s="43">
        <f t="shared" si="3"/>
        <v>0</v>
      </c>
      <c r="O133" s="55">
        <v>2.0</v>
      </c>
      <c r="P133" s="55">
        <v>1.0</v>
      </c>
      <c r="Q133" s="43">
        <f t="shared" si="2"/>
        <v>3</v>
      </c>
      <c r="R133" s="43"/>
      <c r="S133" s="43"/>
      <c r="T133" s="43"/>
      <c r="U133" s="43"/>
      <c r="V133" s="43"/>
      <c r="W133" s="56" t="s">
        <v>46</v>
      </c>
      <c r="X133" s="34"/>
      <c r="Y133" s="34"/>
      <c r="Z133" s="61"/>
      <c r="AA133" s="61"/>
      <c r="AB133" s="66"/>
      <c r="AC133" s="34"/>
      <c r="AD133" s="34"/>
      <c r="AE133" s="66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</row>
    <row r="134" ht="15.75" customHeight="1">
      <c r="A134" s="28">
        <v>127.0</v>
      </c>
      <c r="B134" s="37" t="s">
        <v>2265</v>
      </c>
      <c r="C134" s="37" t="s">
        <v>2266</v>
      </c>
      <c r="D134" s="37" t="s">
        <v>2267</v>
      </c>
      <c r="E134" s="133" t="s">
        <v>338</v>
      </c>
      <c r="F134" s="134">
        <v>37.0</v>
      </c>
      <c r="G134" s="134" t="s">
        <v>385</v>
      </c>
      <c r="H134" s="134" t="s">
        <v>646</v>
      </c>
      <c r="I134" s="163" t="s">
        <v>2268</v>
      </c>
      <c r="J134" s="54">
        <v>32.0</v>
      </c>
      <c r="K134" s="55">
        <v>19.0</v>
      </c>
      <c r="L134" s="55">
        <v>5.0</v>
      </c>
      <c r="M134" s="55">
        <v>8.0</v>
      </c>
      <c r="N134" s="43">
        <f t="shared" si="3"/>
        <v>13</v>
      </c>
      <c r="O134" s="55">
        <v>0.0</v>
      </c>
      <c r="P134" s="55">
        <v>0.0</v>
      </c>
      <c r="Q134" s="43">
        <f t="shared" si="2"/>
        <v>13</v>
      </c>
      <c r="R134" s="43"/>
      <c r="S134" s="43"/>
      <c r="T134" s="43"/>
      <c r="U134" s="43"/>
      <c r="V134" s="43"/>
      <c r="W134" s="56" t="s">
        <v>46</v>
      </c>
      <c r="X134" s="34"/>
      <c r="Y134" s="34"/>
      <c r="Z134" s="61"/>
      <c r="AA134" s="61"/>
      <c r="AB134" s="66"/>
      <c r="AC134" s="34"/>
      <c r="AD134" s="34"/>
      <c r="AE134" s="66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</row>
    <row r="135" ht="15.75" customHeight="1">
      <c r="A135" s="28">
        <v>128.0</v>
      </c>
      <c r="B135" s="37" t="s">
        <v>2269</v>
      </c>
      <c r="C135" s="37" t="s">
        <v>1551</v>
      </c>
      <c r="D135" s="37" t="s">
        <v>2270</v>
      </c>
      <c r="E135" s="133" t="s">
        <v>338</v>
      </c>
      <c r="F135" s="134">
        <v>42.0</v>
      </c>
      <c r="G135" s="134" t="s">
        <v>339</v>
      </c>
      <c r="H135" s="134" t="s">
        <v>435</v>
      </c>
      <c r="I135" s="134">
        <v>9.605314298E9</v>
      </c>
      <c r="J135" s="54">
        <v>29.0</v>
      </c>
      <c r="K135" s="55">
        <v>22.0</v>
      </c>
      <c r="L135" s="55">
        <v>3.0</v>
      </c>
      <c r="M135" s="55">
        <v>2.0</v>
      </c>
      <c r="N135" s="43">
        <f t="shared" si="3"/>
        <v>5</v>
      </c>
      <c r="O135" s="55">
        <v>3.0</v>
      </c>
      <c r="P135" s="55">
        <v>2.0</v>
      </c>
      <c r="Q135" s="43">
        <f t="shared" si="2"/>
        <v>10</v>
      </c>
      <c r="R135" s="43"/>
      <c r="S135" s="43"/>
      <c r="T135" s="43"/>
      <c r="U135" s="43"/>
      <c r="V135" s="43"/>
      <c r="W135" s="56" t="s">
        <v>46</v>
      </c>
      <c r="X135" s="34"/>
      <c r="Y135" s="34"/>
      <c r="Z135" s="61"/>
      <c r="AA135" s="61"/>
      <c r="AB135" s="66"/>
      <c r="AC135" s="34"/>
      <c r="AD135" s="34"/>
      <c r="AE135" s="66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</row>
    <row r="136" ht="15.75" customHeight="1">
      <c r="A136" s="28">
        <v>129.0</v>
      </c>
      <c r="B136" s="37" t="s">
        <v>2271</v>
      </c>
      <c r="C136" s="37" t="s">
        <v>2272</v>
      </c>
      <c r="D136" s="37" t="s">
        <v>2273</v>
      </c>
      <c r="E136" s="133" t="s">
        <v>338</v>
      </c>
      <c r="F136" s="134">
        <v>55.0</v>
      </c>
      <c r="G136" s="134" t="s">
        <v>339</v>
      </c>
      <c r="H136" s="134" t="s">
        <v>435</v>
      </c>
      <c r="I136" s="134">
        <v>9.120856285E9</v>
      </c>
      <c r="J136" s="54">
        <v>17.0</v>
      </c>
      <c r="K136" s="55">
        <v>8.0</v>
      </c>
      <c r="L136" s="55">
        <v>0.0</v>
      </c>
      <c r="M136" s="55">
        <v>9.0</v>
      </c>
      <c r="N136" s="43">
        <f t="shared" si="3"/>
        <v>9</v>
      </c>
      <c r="O136" s="55">
        <v>13.0</v>
      </c>
      <c r="P136" s="55">
        <v>2.0</v>
      </c>
      <c r="Q136" s="43">
        <f t="shared" si="2"/>
        <v>24</v>
      </c>
      <c r="R136" s="43"/>
      <c r="S136" s="43"/>
      <c r="T136" s="43"/>
      <c r="U136" s="43"/>
      <c r="V136" s="43"/>
      <c r="W136" s="56" t="s">
        <v>46</v>
      </c>
      <c r="X136" s="34"/>
      <c r="Y136" s="34"/>
      <c r="Z136" s="61"/>
      <c r="AA136" s="61"/>
      <c r="AB136" s="66"/>
      <c r="AC136" s="34"/>
      <c r="AD136" s="34"/>
      <c r="AE136" s="66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</row>
    <row r="137" ht="15.75" customHeight="1">
      <c r="A137" s="28">
        <v>130.0</v>
      </c>
      <c r="B137" s="37" t="s">
        <v>932</v>
      </c>
      <c r="C137" s="37" t="s">
        <v>2274</v>
      </c>
      <c r="D137" s="37" t="s">
        <v>2275</v>
      </c>
      <c r="E137" s="133" t="s">
        <v>338</v>
      </c>
      <c r="F137" s="134">
        <v>32.0</v>
      </c>
      <c r="G137" s="134" t="s">
        <v>339</v>
      </c>
      <c r="H137" s="134" t="s">
        <v>435</v>
      </c>
      <c r="I137" s="134">
        <v>9.456716389E9</v>
      </c>
      <c r="J137" s="54">
        <v>26.0</v>
      </c>
      <c r="K137" s="55">
        <v>21.0</v>
      </c>
      <c r="L137" s="55">
        <v>2.0</v>
      </c>
      <c r="M137" s="55">
        <v>3.0</v>
      </c>
      <c r="N137" s="43">
        <f t="shared" si="3"/>
        <v>5</v>
      </c>
      <c r="O137" s="55">
        <v>6.0</v>
      </c>
      <c r="P137" s="55">
        <v>0.0</v>
      </c>
      <c r="Q137" s="43">
        <f t="shared" si="2"/>
        <v>11</v>
      </c>
      <c r="R137" s="43"/>
      <c r="S137" s="43"/>
      <c r="T137" s="43"/>
      <c r="U137" s="43"/>
      <c r="V137" s="43"/>
      <c r="W137" s="56" t="s">
        <v>46</v>
      </c>
      <c r="X137" s="34"/>
      <c r="Y137" s="34"/>
      <c r="Z137" s="61"/>
      <c r="AA137" s="61"/>
      <c r="AB137" s="66"/>
      <c r="AC137" s="34"/>
      <c r="AD137" s="34"/>
      <c r="AE137" s="66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</row>
    <row r="138" ht="15.75" customHeight="1">
      <c r="A138" s="28">
        <v>131.0</v>
      </c>
      <c r="B138" s="37" t="s">
        <v>2276</v>
      </c>
      <c r="C138" s="37" t="s">
        <v>2277</v>
      </c>
      <c r="D138" s="37" t="s">
        <v>2278</v>
      </c>
      <c r="E138" s="133" t="s">
        <v>338</v>
      </c>
      <c r="F138" s="134">
        <v>28.0</v>
      </c>
      <c r="G138" s="134" t="s">
        <v>339</v>
      </c>
      <c r="H138" s="134" t="s">
        <v>435</v>
      </c>
      <c r="I138" s="134">
        <v>9.384195115E9</v>
      </c>
      <c r="J138" s="42"/>
      <c r="K138" s="43"/>
      <c r="L138" s="43"/>
      <c r="M138" s="43"/>
      <c r="N138" s="43">
        <f t="shared" si="3"/>
        <v>0</v>
      </c>
      <c r="O138" s="43"/>
      <c r="P138" s="43"/>
      <c r="Q138" s="43">
        <f t="shared" si="2"/>
        <v>0</v>
      </c>
      <c r="R138" s="43"/>
      <c r="S138" s="43"/>
      <c r="T138" s="43"/>
      <c r="U138" s="43"/>
      <c r="V138" s="43"/>
      <c r="W138" s="44"/>
      <c r="X138" s="34"/>
      <c r="Y138" s="34"/>
      <c r="Z138" s="61"/>
      <c r="AA138" s="61"/>
      <c r="AB138" s="66"/>
      <c r="AC138" s="34"/>
      <c r="AD138" s="34"/>
      <c r="AE138" s="66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</row>
    <row r="139" ht="15.75" customHeight="1">
      <c r="A139" s="28">
        <v>132.0</v>
      </c>
      <c r="B139" s="37" t="s">
        <v>2279</v>
      </c>
      <c r="C139" s="37" t="s">
        <v>2280</v>
      </c>
      <c r="D139" s="37" t="s">
        <v>2281</v>
      </c>
      <c r="E139" s="133" t="s">
        <v>338</v>
      </c>
      <c r="F139" s="134">
        <v>44.0</v>
      </c>
      <c r="G139" s="134" t="s">
        <v>339</v>
      </c>
      <c r="H139" s="134" t="s">
        <v>663</v>
      </c>
      <c r="I139" s="134">
        <v>9.218066997E9</v>
      </c>
      <c r="J139" s="54">
        <v>18.0</v>
      </c>
      <c r="K139" s="55">
        <v>10.0</v>
      </c>
      <c r="L139" s="55">
        <v>6.0</v>
      </c>
      <c r="M139" s="55">
        <v>2.0</v>
      </c>
      <c r="N139" s="43">
        <f t="shared" si="3"/>
        <v>8</v>
      </c>
      <c r="O139" s="55">
        <v>6.0</v>
      </c>
      <c r="P139" s="55">
        <v>0.0</v>
      </c>
      <c r="Q139" s="43">
        <f t="shared" si="2"/>
        <v>14</v>
      </c>
      <c r="R139" s="43"/>
      <c r="S139" s="55" t="s">
        <v>88</v>
      </c>
      <c r="T139" s="43"/>
      <c r="U139" s="43"/>
      <c r="V139" s="43"/>
      <c r="W139" s="56" t="s">
        <v>46</v>
      </c>
      <c r="X139" s="34"/>
      <c r="Y139" s="34"/>
      <c r="Z139" s="61"/>
      <c r="AA139" s="61"/>
      <c r="AB139" s="66"/>
      <c r="AC139" s="34"/>
      <c r="AD139" s="34"/>
      <c r="AE139" s="66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</row>
    <row r="140" ht="15.75" customHeight="1">
      <c r="A140" s="28">
        <v>133.0</v>
      </c>
      <c r="B140" s="37" t="s">
        <v>1121</v>
      </c>
      <c r="C140" s="37" t="s">
        <v>2282</v>
      </c>
      <c r="D140" s="37" t="s">
        <v>2283</v>
      </c>
      <c r="E140" s="133" t="s">
        <v>338</v>
      </c>
      <c r="F140" s="134">
        <v>46.0</v>
      </c>
      <c r="G140" s="134" t="s">
        <v>339</v>
      </c>
      <c r="H140" s="134" t="s">
        <v>663</v>
      </c>
      <c r="I140" s="134">
        <v>9.605314665E9</v>
      </c>
      <c r="J140" s="54">
        <v>29.0</v>
      </c>
      <c r="K140" s="55">
        <v>20.0</v>
      </c>
      <c r="L140" s="55">
        <v>2.0</v>
      </c>
      <c r="M140" s="55">
        <v>7.0</v>
      </c>
      <c r="N140" s="43">
        <f t="shared" si="3"/>
        <v>9</v>
      </c>
      <c r="O140" s="55">
        <v>3.0</v>
      </c>
      <c r="P140" s="55">
        <v>0.0</v>
      </c>
      <c r="Q140" s="43">
        <f t="shared" si="2"/>
        <v>12</v>
      </c>
      <c r="R140" s="43"/>
      <c r="S140" s="43"/>
      <c r="T140" s="43"/>
      <c r="U140" s="43"/>
      <c r="V140" s="43"/>
      <c r="W140" s="56" t="s">
        <v>46</v>
      </c>
      <c r="X140" s="34"/>
      <c r="Y140" s="34"/>
      <c r="Z140" s="61"/>
      <c r="AA140" s="61"/>
      <c r="AB140" s="66"/>
      <c r="AC140" s="34"/>
      <c r="AD140" s="34"/>
      <c r="AE140" s="66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</row>
    <row r="141" ht="15.75" customHeight="1">
      <c r="A141" s="28">
        <v>134.0</v>
      </c>
      <c r="B141" s="37" t="s">
        <v>2284</v>
      </c>
      <c r="C141" s="37" t="s">
        <v>2285</v>
      </c>
      <c r="D141" s="37" t="s">
        <v>2286</v>
      </c>
      <c r="E141" s="133" t="s">
        <v>338</v>
      </c>
      <c r="F141" s="134">
        <v>45.0</v>
      </c>
      <c r="G141" s="134" t="s">
        <v>339</v>
      </c>
      <c r="H141" s="134" t="s">
        <v>435</v>
      </c>
      <c r="I141" s="134">
        <v>9.684992623E9</v>
      </c>
      <c r="J141" s="54">
        <v>13.0</v>
      </c>
      <c r="K141" s="55">
        <v>10.0</v>
      </c>
      <c r="L141" s="55">
        <v>0.0</v>
      </c>
      <c r="M141" s="55">
        <v>0.0</v>
      </c>
      <c r="N141" s="43">
        <f t="shared" si="3"/>
        <v>0</v>
      </c>
      <c r="O141" s="55">
        <v>18.0</v>
      </c>
      <c r="P141" s="55">
        <v>3.0</v>
      </c>
      <c r="Q141" s="43">
        <f t="shared" si="2"/>
        <v>21</v>
      </c>
      <c r="R141" s="43"/>
      <c r="S141" s="43"/>
      <c r="T141" s="43"/>
      <c r="U141" s="43"/>
      <c r="V141" s="43"/>
      <c r="W141" s="56" t="s">
        <v>46</v>
      </c>
      <c r="X141" s="34"/>
      <c r="Y141" s="34"/>
      <c r="Z141" s="61"/>
      <c r="AA141" s="61"/>
      <c r="AB141" s="66"/>
      <c r="AC141" s="34"/>
      <c r="AD141" s="34"/>
      <c r="AE141" s="66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</row>
    <row r="142" ht="15.75" customHeight="1">
      <c r="A142" s="28">
        <v>135.0</v>
      </c>
      <c r="B142" s="37" t="s">
        <v>2287</v>
      </c>
      <c r="C142" s="37" t="s">
        <v>1425</v>
      </c>
      <c r="D142" s="37" t="s">
        <v>2288</v>
      </c>
      <c r="E142" s="133" t="s">
        <v>338</v>
      </c>
      <c r="F142" s="134">
        <v>43.0</v>
      </c>
      <c r="G142" s="134" t="s">
        <v>339</v>
      </c>
      <c r="H142" s="134" t="s">
        <v>646</v>
      </c>
      <c r="I142" s="134">
        <v>9.469672192E9</v>
      </c>
      <c r="J142" s="54">
        <v>26.0</v>
      </c>
      <c r="K142" s="55">
        <v>18.0</v>
      </c>
      <c r="L142" s="55">
        <v>0.0</v>
      </c>
      <c r="M142" s="55">
        <v>4.0</v>
      </c>
      <c r="N142" s="43">
        <v>0.0</v>
      </c>
      <c r="O142" s="55">
        <v>6.0</v>
      </c>
      <c r="P142" s="55">
        <v>4.0</v>
      </c>
      <c r="Q142" s="43">
        <f t="shared" si="2"/>
        <v>10</v>
      </c>
      <c r="R142" s="43"/>
      <c r="S142" s="55" t="s">
        <v>237</v>
      </c>
      <c r="T142" s="43"/>
      <c r="U142" s="43"/>
      <c r="V142" s="43"/>
      <c r="W142" s="56" t="s">
        <v>46</v>
      </c>
      <c r="X142" s="34"/>
      <c r="Y142" s="34"/>
      <c r="Z142" s="61"/>
      <c r="AA142" s="61"/>
      <c r="AB142" s="66"/>
      <c r="AC142" s="34"/>
      <c r="AD142" s="34"/>
      <c r="AE142" s="66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</row>
    <row r="143" ht="15.75" customHeight="1">
      <c r="A143" s="28">
        <v>136.0</v>
      </c>
      <c r="B143" s="37" t="s">
        <v>2289</v>
      </c>
      <c r="C143" s="37" t="s">
        <v>2290</v>
      </c>
      <c r="D143" s="37" t="s">
        <v>2252</v>
      </c>
      <c r="E143" s="133" t="s">
        <v>338</v>
      </c>
      <c r="F143" s="134">
        <v>47.0</v>
      </c>
      <c r="G143" s="134" t="s">
        <v>339</v>
      </c>
      <c r="H143" s="134" t="s">
        <v>646</v>
      </c>
      <c r="I143" s="134">
        <v>9.398617566E9</v>
      </c>
      <c r="J143" s="54">
        <v>10.0</v>
      </c>
      <c r="K143" s="55">
        <v>7.0</v>
      </c>
      <c r="L143" s="55">
        <v>0.0</v>
      </c>
      <c r="M143" s="55">
        <v>3.0</v>
      </c>
      <c r="N143" s="43">
        <v>0.0</v>
      </c>
      <c r="O143" s="55">
        <v>22.0</v>
      </c>
      <c r="P143" s="55">
        <v>0.0</v>
      </c>
      <c r="Q143" s="43">
        <f t="shared" si="2"/>
        <v>22</v>
      </c>
      <c r="R143" s="43"/>
      <c r="S143" s="55" t="s">
        <v>237</v>
      </c>
      <c r="T143" s="43"/>
      <c r="U143" s="43"/>
      <c r="V143" s="43"/>
      <c r="W143" s="56" t="s">
        <v>46</v>
      </c>
      <c r="X143" s="34"/>
      <c r="Y143" s="34"/>
      <c r="Z143" s="61"/>
      <c r="AA143" s="61"/>
      <c r="AB143" s="66"/>
      <c r="AC143" s="34"/>
      <c r="AD143" s="34"/>
      <c r="AE143" s="66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</row>
    <row r="144" ht="15.75" customHeight="1">
      <c r="A144" s="28">
        <v>137.0</v>
      </c>
      <c r="B144" s="37" t="s">
        <v>2291</v>
      </c>
      <c r="C144" s="37" t="s">
        <v>2292</v>
      </c>
      <c r="D144" s="37" t="s">
        <v>2293</v>
      </c>
      <c r="E144" s="133" t="s">
        <v>338</v>
      </c>
      <c r="F144" s="134">
        <v>27.0</v>
      </c>
      <c r="G144" s="134" t="s">
        <v>339</v>
      </c>
      <c r="H144" s="134" t="s">
        <v>435</v>
      </c>
      <c r="I144" s="134">
        <v>9.062394896E9</v>
      </c>
      <c r="J144" s="54">
        <v>30.0</v>
      </c>
      <c r="K144" s="54">
        <v>24.0</v>
      </c>
      <c r="L144" s="55">
        <v>0.0</v>
      </c>
      <c r="M144" s="55">
        <v>4.0</v>
      </c>
      <c r="N144" s="43">
        <v>0.0</v>
      </c>
      <c r="O144" s="55">
        <v>2.0</v>
      </c>
      <c r="P144" s="55">
        <v>2.0</v>
      </c>
      <c r="Q144" s="43">
        <v>0.0</v>
      </c>
      <c r="R144" s="43"/>
      <c r="S144" s="43"/>
      <c r="T144" s="43"/>
      <c r="U144" s="43"/>
      <c r="V144" s="43"/>
      <c r="W144" s="56" t="s">
        <v>46</v>
      </c>
      <c r="X144" s="34"/>
      <c r="Y144" s="34"/>
      <c r="Z144" s="61"/>
      <c r="AA144" s="61"/>
      <c r="AB144" s="66"/>
      <c r="AC144" s="34"/>
      <c r="AD144" s="34"/>
      <c r="AE144" s="66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</row>
    <row r="145" ht="15.75" customHeight="1">
      <c r="A145" s="28">
        <v>138.0</v>
      </c>
      <c r="B145" s="37" t="s">
        <v>2294</v>
      </c>
      <c r="C145" s="37" t="s">
        <v>2295</v>
      </c>
      <c r="D145" s="37" t="s">
        <v>2296</v>
      </c>
      <c r="E145" s="133" t="s">
        <v>338</v>
      </c>
      <c r="F145" s="134">
        <v>52.0</v>
      </c>
      <c r="G145" s="134" t="s">
        <v>339</v>
      </c>
      <c r="H145" s="134" t="s">
        <v>646</v>
      </c>
      <c r="I145" s="134">
        <v>9.491340053E9</v>
      </c>
      <c r="J145" s="54">
        <v>14.0</v>
      </c>
      <c r="K145" s="55">
        <v>11.0</v>
      </c>
      <c r="L145" s="55">
        <v>1.0</v>
      </c>
      <c r="M145" s="55">
        <v>2.0</v>
      </c>
      <c r="N145" s="43">
        <v>0.0</v>
      </c>
      <c r="O145" s="55">
        <v>18.0</v>
      </c>
      <c r="P145" s="55">
        <v>0.0</v>
      </c>
      <c r="Q145" s="43">
        <f t="shared" ref="Q145:Q158" si="4">SUM(N145:P145)</f>
        <v>18</v>
      </c>
      <c r="R145" s="43"/>
      <c r="S145" s="55" t="s">
        <v>88</v>
      </c>
      <c r="T145" s="43"/>
      <c r="U145" s="43"/>
      <c r="V145" s="43"/>
      <c r="W145" s="44"/>
      <c r="X145" s="34"/>
      <c r="Y145" s="34"/>
      <c r="Z145" s="61"/>
      <c r="AA145" s="61"/>
      <c r="AB145" s="66"/>
      <c r="AC145" s="34"/>
      <c r="AD145" s="34"/>
      <c r="AE145" s="66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</row>
    <row r="146" ht="15.75" customHeight="1">
      <c r="A146" s="28">
        <v>139.0</v>
      </c>
      <c r="B146" s="37" t="s">
        <v>2297</v>
      </c>
      <c r="C146" s="37" t="s">
        <v>2298</v>
      </c>
      <c r="D146" s="37" t="s">
        <v>2299</v>
      </c>
      <c r="E146" s="133" t="s">
        <v>338</v>
      </c>
      <c r="F146" s="134">
        <v>40.0</v>
      </c>
      <c r="G146" s="134" t="s">
        <v>339</v>
      </c>
      <c r="H146" s="134" t="s">
        <v>708</v>
      </c>
      <c r="I146" s="134">
        <v>9.664594585E9</v>
      </c>
      <c r="J146" s="54">
        <v>17.0</v>
      </c>
      <c r="K146" s="55">
        <v>12.0</v>
      </c>
      <c r="L146" s="55">
        <v>0.0</v>
      </c>
      <c r="M146" s="55">
        <v>3.0</v>
      </c>
      <c r="N146" s="43">
        <v>0.0</v>
      </c>
      <c r="O146" s="55">
        <v>15.0</v>
      </c>
      <c r="P146" s="55">
        <v>2.0</v>
      </c>
      <c r="Q146" s="43">
        <f t="shared" si="4"/>
        <v>17</v>
      </c>
      <c r="R146" s="43"/>
      <c r="S146" s="55" t="s">
        <v>88</v>
      </c>
      <c r="T146" s="43"/>
      <c r="U146" s="43"/>
      <c r="V146" s="43"/>
      <c r="W146" s="56" t="s">
        <v>46</v>
      </c>
      <c r="X146" s="34"/>
      <c r="Y146" s="34"/>
      <c r="Z146" s="61"/>
      <c r="AA146" s="61"/>
      <c r="AB146" s="66"/>
      <c r="AC146" s="34"/>
      <c r="AD146" s="34"/>
      <c r="AE146" s="66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</row>
    <row r="147" ht="15.75" customHeight="1">
      <c r="A147" s="28">
        <v>140.0</v>
      </c>
      <c r="B147" s="37" t="s">
        <v>2300</v>
      </c>
      <c r="C147" s="37" t="s">
        <v>2301</v>
      </c>
      <c r="D147" s="37" t="s">
        <v>2302</v>
      </c>
      <c r="E147" s="133" t="s">
        <v>338</v>
      </c>
      <c r="F147" s="134">
        <v>35.0</v>
      </c>
      <c r="G147" s="134" t="s">
        <v>339</v>
      </c>
      <c r="H147" s="134" t="s">
        <v>435</v>
      </c>
      <c r="I147" s="134">
        <v>9.567660276E9</v>
      </c>
      <c r="J147" s="54">
        <v>26.0</v>
      </c>
      <c r="K147" s="55">
        <v>24.0</v>
      </c>
      <c r="L147" s="55">
        <v>0.0</v>
      </c>
      <c r="M147" s="55">
        <v>1.0</v>
      </c>
      <c r="N147" s="43">
        <v>0.0</v>
      </c>
      <c r="O147" s="55">
        <v>6.0</v>
      </c>
      <c r="P147" s="55">
        <v>1.0</v>
      </c>
      <c r="Q147" s="43">
        <f t="shared" si="4"/>
        <v>7</v>
      </c>
      <c r="R147" s="43"/>
      <c r="S147" s="43"/>
      <c r="T147" s="43"/>
      <c r="U147" s="43"/>
      <c r="V147" s="43"/>
      <c r="W147" s="56" t="s">
        <v>46</v>
      </c>
      <c r="X147" s="34"/>
      <c r="Y147" s="34"/>
      <c r="Z147" s="61"/>
      <c r="AA147" s="61"/>
      <c r="AB147" s="66"/>
      <c r="AC147" s="34"/>
      <c r="AD147" s="34"/>
      <c r="AE147" s="66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</row>
    <row r="148" ht="15.75" customHeight="1">
      <c r="A148" s="28">
        <v>141.0</v>
      </c>
      <c r="B148" s="37" t="s">
        <v>2303</v>
      </c>
      <c r="C148" s="37" t="s">
        <v>2304</v>
      </c>
      <c r="D148" s="37" t="s">
        <v>2305</v>
      </c>
      <c r="E148" s="133" t="s">
        <v>338</v>
      </c>
      <c r="F148" s="134">
        <v>44.0</v>
      </c>
      <c r="G148" s="134" t="s">
        <v>339</v>
      </c>
      <c r="H148" s="134" t="s">
        <v>646</v>
      </c>
      <c r="I148" s="134">
        <v>9.554951409E9</v>
      </c>
      <c r="J148" s="54">
        <v>25.0</v>
      </c>
      <c r="K148" s="55">
        <v>20.0</v>
      </c>
      <c r="L148" s="55">
        <v>0.0</v>
      </c>
      <c r="M148" s="55">
        <v>1.0</v>
      </c>
      <c r="N148" s="43">
        <v>0.0</v>
      </c>
      <c r="O148" s="55">
        <v>7.0</v>
      </c>
      <c r="P148" s="55">
        <v>3.0</v>
      </c>
      <c r="Q148" s="43">
        <f t="shared" si="4"/>
        <v>10</v>
      </c>
      <c r="R148" s="43"/>
      <c r="S148" s="43"/>
      <c r="T148" s="43"/>
      <c r="U148" s="43"/>
      <c r="V148" s="43"/>
      <c r="W148" s="56" t="s">
        <v>46</v>
      </c>
      <c r="X148" s="34"/>
      <c r="Y148" s="34"/>
      <c r="Z148" s="61"/>
      <c r="AA148" s="61"/>
      <c r="AB148" s="66"/>
      <c r="AC148" s="34"/>
      <c r="AD148" s="34"/>
      <c r="AE148" s="66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</row>
    <row r="149" ht="15.75" customHeight="1">
      <c r="A149" s="28">
        <v>142.0</v>
      </c>
      <c r="B149" s="37" t="s">
        <v>2306</v>
      </c>
      <c r="C149" s="37" t="s">
        <v>2307</v>
      </c>
      <c r="D149" s="37" t="s">
        <v>2308</v>
      </c>
      <c r="E149" s="133" t="s">
        <v>338</v>
      </c>
      <c r="F149" s="134">
        <v>42.0</v>
      </c>
      <c r="G149" s="134" t="s">
        <v>339</v>
      </c>
      <c r="H149" s="134" t="s">
        <v>435</v>
      </c>
      <c r="I149" s="134" t="s">
        <v>2309</v>
      </c>
      <c r="J149" s="54">
        <v>30.0</v>
      </c>
      <c r="K149" s="55">
        <v>25.0</v>
      </c>
      <c r="L149" s="55">
        <v>0.0</v>
      </c>
      <c r="M149" s="55">
        <v>5.0</v>
      </c>
      <c r="N149" s="43">
        <v>0.0</v>
      </c>
      <c r="O149" s="55">
        <v>2.0</v>
      </c>
      <c r="P149" s="55">
        <v>0.0</v>
      </c>
      <c r="Q149" s="43">
        <f t="shared" si="4"/>
        <v>2</v>
      </c>
      <c r="R149" s="43"/>
      <c r="S149" s="43"/>
      <c r="T149" s="43"/>
      <c r="U149" s="43"/>
      <c r="V149" s="43"/>
      <c r="W149" s="56" t="s">
        <v>46</v>
      </c>
      <c r="X149" s="34"/>
      <c r="Y149" s="34"/>
      <c r="Z149" s="61"/>
      <c r="AA149" s="61"/>
      <c r="AB149" s="66"/>
      <c r="AC149" s="34"/>
      <c r="AD149" s="34"/>
      <c r="AE149" s="66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</row>
    <row r="150" ht="15.75" customHeight="1">
      <c r="A150" s="28">
        <v>143.0</v>
      </c>
      <c r="B150" s="37" t="s">
        <v>2310</v>
      </c>
      <c r="C150" s="37" t="s">
        <v>2311</v>
      </c>
      <c r="D150" s="37" t="s">
        <v>1656</v>
      </c>
      <c r="E150" s="133" t="s">
        <v>338</v>
      </c>
      <c r="F150" s="134">
        <v>43.0</v>
      </c>
      <c r="G150" s="134" t="s">
        <v>339</v>
      </c>
      <c r="H150" s="134" t="s">
        <v>435</v>
      </c>
      <c r="I150" s="208">
        <v>9.605314258E9</v>
      </c>
      <c r="J150" s="54">
        <v>26.0</v>
      </c>
      <c r="K150" s="55">
        <v>21.0</v>
      </c>
      <c r="L150" s="55">
        <v>0.0</v>
      </c>
      <c r="M150" s="55">
        <v>5.0</v>
      </c>
      <c r="N150" s="43">
        <v>0.0</v>
      </c>
      <c r="O150" s="55">
        <v>6.0</v>
      </c>
      <c r="P150" s="55">
        <v>1.0</v>
      </c>
      <c r="Q150" s="43">
        <f t="shared" si="4"/>
        <v>7</v>
      </c>
      <c r="R150" s="43"/>
      <c r="S150" s="43"/>
      <c r="T150" s="43"/>
      <c r="U150" s="43"/>
      <c r="V150" s="43"/>
      <c r="W150" s="56" t="s">
        <v>46</v>
      </c>
      <c r="X150" s="34"/>
      <c r="Y150" s="34"/>
      <c r="Z150" s="61"/>
      <c r="AA150" s="61"/>
      <c r="AB150" s="66"/>
      <c r="AC150" s="34"/>
      <c r="AD150" s="34"/>
      <c r="AE150" s="66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</row>
    <row r="151" ht="15.75" customHeight="1">
      <c r="A151" s="28">
        <v>144.0</v>
      </c>
      <c r="B151" s="37" t="s">
        <v>2310</v>
      </c>
      <c r="C151" s="37" t="s">
        <v>2312</v>
      </c>
      <c r="D151" s="37" t="s">
        <v>2313</v>
      </c>
      <c r="E151" s="133" t="s">
        <v>338</v>
      </c>
      <c r="F151" s="134">
        <v>40.0</v>
      </c>
      <c r="G151" s="134" t="s">
        <v>385</v>
      </c>
      <c r="H151" s="134" t="s">
        <v>708</v>
      </c>
      <c r="I151" s="208">
        <v>9.182079118E9</v>
      </c>
      <c r="J151" s="54">
        <v>27.0</v>
      </c>
      <c r="K151" s="55">
        <v>26.0</v>
      </c>
      <c r="L151" s="55">
        <v>0.0</v>
      </c>
      <c r="M151" s="55">
        <v>1.0</v>
      </c>
      <c r="N151" s="43">
        <v>0.0</v>
      </c>
      <c r="O151" s="55">
        <v>5.0</v>
      </c>
      <c r="P151" s="55">
        <v>0.0</v>
      </c>
      <c r="Q151" s="43">
        <f t="shared" si="4"/>
        <v>5</v>
      </c>
      <c r="R151" s="43"/>
      <c r="S151" s="43"/>
      <c r="T151" s="43"/>
      <c r="U151" s="43"/>
      <c r="V151" s="43"/>
      <c r="W151" s="56" t="s">
        <v>46</v>
      </c>
      <c r="X151" s="34"/>
      <c r="Y151" s="34"/>
      <c r="Z151" s="61"/>
      <c r="AA151" s="61"/>
      <c r="AB151" s="66"/>
      <c r="AC151" s="34"/>
      <c r="AD151" s="34"/>
      <c r="AE151" s="66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</row>
    <row r="152" ht="15.75" customHeight="1">
      <c r="A152" s="28">
        <v>145.0</v>
      </c>
      <c r="B152" s="37" t="s">
        <v>2314</v>
      </c>
      <c r="C152" s="37" t="s">
        <v>2315</v>
      </c>
      <c r="D152" s="37" t="s">
        <v>405</v>
      </c>
      <c r="E152" s="133" t="s">
        <v>338</v>
      </c>
      <c r="F152" s="134">
        <v>47.0</v>
      </c>
      <c r="G152" s="134" t="s">
        <v>339</v>
      </c>
      <c r="H152" s="134" t="s">
        <v>435</v>
      </c>
      <c r="I152" s="134">
        <v>9.2080527E8</v>
      </c>
      <c r="J152" s="54">
        <v>27.0</v>
      </c>
      <c r="K152" s="55">
        <v>16.0</v>
      </c>
      <c r="L152" s="55">
        <v>0.0</v>
      </c>
      <c r="M152" s="55">
        <v>1.0</v>
      </c>
      <c r="N152" s="43">
        <v>0.0</v>
      </c>
      <c r="O152" s="55">
        <v>5.0</v>
      </c>
      <c r="P152" s="55">
        <v>10.0</v>
      </c>
      <c r="Q152" s="43">
        <f t="shared" si="4"/>
        <v>15</v>
      </c>
      <c r="R152" s="43"/>
      <c r="S152" s="43"/>
      <c r="T152" s="43"/>
      <c r="U152" s="43"/>
      <c r="V152" s="43"/>
      <c r="W152" s="56" t="s">
        <v>46</v>
      </c>
      <c r="X152" s="34"/>
      <c r="Y152" s="34"/>
      <c r="Z152" s="61"/>
      <c r="AA152" s="61"/>
      <c r="AB152" s="66"/>
      <c r="AC152" s="34"/>
      <c r="AD152" s="34"/>
      <c r="AE152" s="66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</row>
    <row r="153" ht="15.75" customHeight="1">
      <c r="A153" s="28">
        <v>146.0</v>
      </c>
      <c r="B153" s="37" t="s">
        <v>2316</v>
      </c>
      <c r="C153" s="37" t="s">
        <v>2317</v>
      </c>
      <c r="D153" s="37" t="s">
        <v>2318</v>
      </c>
      <c r="E153" s="133" t="s">
        <v>338</v>
      </c>
      <c r="F153" s="134">
        <v>28.0</v>
      </c>
      <c r="G153" s="134" t="s">
        <v>385</v>
      </c>
      <c r="H153" s="134" t="s">
        <v>435</v>
      </c>
      <c r="I153" s="134">
        <v>9.554663278E9</v>
      </c>
      <c r="J153" s="54">
        <v>25.0</v>
      </c>
      <c r="K153" s="55">
        <v>15.0</v>
      </c>
      <c r="L153" s="55">
        <v>0.0</v>
      </c>
      <c r="M153" s="55">
        <v>0.0</v>
      </c>
      <c r="N153" s="43">
        <v>0.0</v>
      </c>
      <c r="O153" s="55">
        <v>7.0</v>
      </c>
      <c r="P153" s="55">
        <v>9.0</v>
      </c>
      <c r="Q153" s="43">
        <f t="shared" si="4"/>
        <v>16</v>
      </c>
      <c r="R153" s="43"/>
      <c r="S153" s="55" t="s">
        <v>93</v>
      </c>
      <c r="T153" s="43"/>
      <c r="U153" s="43"/>
      <c r="V153" s="43"/>
      <c r="W153" s="56" t="s">
        <v>46</v>
      </c>
      <c r="X153" s="34"/>
      <c r="Y153" s="34"/>
      <c r="Z153" s="61"/>
      <c r="AA153" s="61"/>
      <c r="AB153" s="66"/>
      <c r="AC153" s="34"/>
      <c r="AD153" s="34"/>
      <c r="AE153" s="66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</row>
    <row r="154" ht="15.75" customHeight="1">
      <c r="A154" s="28">
        <v>147.0</v>
      </c>
      <c r="B154" s="37" t="s">
        <v>2319</v>
      </c>
      <c r="C154" s="37" t="s">
        <v>2320</v>
      </c>
      <c r="D154" s="37" t="s">
        <v>2321</v>
      </c>
      <c r="E154" s="133" t="s">
        <v>338</v>
      </c>
      <c r="F154" s="134">
        <v>49.0</v>
      </c>
      <c r="G154" s="134" t="s">
        <v>339</v>
      </c>
      <c r="H154" s="134" t="s">
        <v>646</v>
      </c>
      <c r="I154" s="163" t="s">
        <v>2322</v>
      </c>
      <c r="J154" s="54">
        <v>29.0</v>
      </c>
      <c r="K154" s="55">
        <v>24.0</v>
      </c>
      <c r="L154" s="55">
        <v>0.0</v>
      </c>
      <c r="M154" s="55">
        <v>5.0</v>
      </c>
      <c r="N154" s="43">
        <v>0.0</v>
      </c>
      <c r="O154" s="55">
        <v>3.0</v>
      </c>
      <c r="P154" s="55">
        <v>0.0</v>
      </c>
      <c r="Q154" s="43">
        <f t="shared" si="4"/>
        <v>3</v>
      </c>
      <c r="R154" s="43"/>
      <c r="S154" s="43"/>
      <c r="T154" s="43"/>
      <c r="U154" s="43"/>
      <c r="V154" s="43"/>
      <c r="W154" s="56" t="s">
        <v>46</v>
      </c>
      <c r="X154" s="34"/>
      <c r="Y154" s="34"/>
      <c r="Z154" s="61"/>
      <c r="AA154" s="61"/>
      <c r="AB154" s="66"/>
      <c r="AC154" s="34"/>
      <c r="AD154" s="34"/>
      <c r="AE154" s="66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</row>
    <row r="155" ht="15.75" customHeight="1">
      <c r="A155" s="28">
        <v>148.0</v>
      </c>
      <c r="B155" s="37" t="s">
        <v>2323</v>
      </c>
      <c r="C155" s="37" t="s">
        <v>1071</v>
      </c>
      <c r="D155" s="37" t="s">
        <v>2324</v>
      </c>
      <c r="E155" s="133" t="s">
        <v>338</v>
      </c>
      <c r="F155" s="134">
        <v>56.0</v>
      </c>
      <c r="G155" s="134" t="s">
        <v>385</v>
      </c>
      <c r="H155" s="134" t="s">
        <v>2325</v>
      </c>
      <c r="I155" s="134">
        <v>9.630064238E9</v>
      </c>
      <c r="J155" s="42"/>
      <c r="K155" s="43"/>
      <c r="L155" s="43"/>
      <c r="M155" s="43"/>
      <c r="N155" s="43">
        <v>0.0</v>
      </c>
      <c r="O155" s="43"/>
      <c r="P155" s="43"/>
      <c r="Q155" s="43">
        <f t="shared" si="4"/>
        <v>0</v>
      </c>
      <c r="R155" s="43"/>
      <c r="S155" s="43"/>
      <c r="T155" s="43"/>
      <c r="U155" s="43"/>
      <c r="V155" s="43"/>
      <c r="W155" s="44"/>
      <c r="X155" s="34"/>
      <c r="Y155" s="34"/>
      <c r="Z155" s="61"/>
      <c r="AA155" s="61"/>
      <c r="AB155" s="66"/>
      <c r="AC155" s="34"/>
      <c r="AD155" s="34"/>
      <c r="AE155" s="66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</row>
    <row r="156" ht="15.75" customHeight="1">
      <c r="A156" s="28">
        <v>149.0</v>
      </c>
      <c r="B156" s="37" t="s">
        <v>2326</v>
      </c>
      <c r="C156" s="37" t="s">
        <v>2327</v>
      </c>
      <c r="D156" s="37" t="s">
        <v>1492</v>
      </c>
      <c r="E156" s="133" t="s">
        <v>338</v>
      </c>
      <c r="F156" s="134">
        <v>52.0</v>
      </c>
      <c r="G156" s="134" t="s">
        <v>339</v>
      </c>
      <c r="H156" s="134" t="s">
        <v>508</v>
      </c>
      <c r="I156" s="142"/>
      <c r="J156" s="54">
        <v>30.0</v>
      </c>
      <c r="K156" s="55">
        <v>23.0</v>
      </c>
      <c r="L156" s="55">
        <v>0.0</v>
      </c>
      <c r="M156" s="55">
        <v>7.0</v>
      </c>
      <c r="N156" s="43">
        <v>0.0</v>
      </c>
      <c r="O156" s="55">
        <v>2.0</v>
      </c>
      <c r="P156" s="55">
        <v>0.0</v>
      </c>
      <c r="Q156" s="43">
        <f t="shared" si="4"/>
        <v>2</v>
      </c>
      <c r="R156" s="43"/>
      <c r="S156" s="43"/>
      <c r="T156" s="43"/>
      <c r="U156" s="43"/>
      <c r="V156" s="43"/>
      <c r="W156" s="56" t="s">
        <v>46</v>
      </c>
      <c r="X156" s="34"/>
      <c r="Y156" s="34"/>
      <c r="Z156" s="61"/>
      <c r="AA156" s="61"/>
      <c r="AB156" s="66"/>
      <c r="AC156" s="34"/>
      <c r="AD156" s="34"/>
      <c r="AE156" s="66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</row>
    <row r="157" ht="15.75" customHeight="1">
      <c r="A157" s="28">
        <v>150.0</v>
      </c>
      <c r="B157" s="249" t="s">
        <v>2328</v>
      </c>
      <c r="C157" s="249" t="s">
        <v>911</v>
      </c>
      <c r="D157" s="249" t="s">
        <v>2329</v>
      </c>
      <c r="E157" s="250" t="s">
        <v>2330</v>
      </c>
      <c r="F157" s="250">
        <v>30.0</v>
      </c>
      <c r="G157" s="250" t="s">
        <v>339</v>
      </c>
      <c r="H157" s="250" t="s">
        <v>349</v>
      </c>
      <c r="I157" s="117"/>
      <c r="J157" s="54">
        <v>25.0</v>
      </c>
      <c r="K157" s="55">
        <v>24.0</v>
      </c>
      <c r="L157" s="55">
        <v>0.0</v>
      </c>
      <c r="M157" s="55">
        <v>1.0</v>
      </c>
      <c r="N157" s="43">
        <v>0.0</v>
      </c>
      <c r="O157" s="55">
        <v>7.0</v>
      </c>
      <c r="P157" s="55">
        <v>0.0</v>
      </c>
      <c r="Q157" s="43">
        <f t="shared" si="4"/>
        <v>7</v>
      </c>
      <c r="R157" s="43"/>
      <c r="S157" s="55" t="s">
        <v>237</v>
      </c>
      <c r="T157" s="43"/>
      <c r="U157" s="43"/>
      <c r="V157" s="43"/>
      <c r="W157" s="56" t="s">
        <v>46</v>
      </c>
      <c r="X157" s="34"/>
      <c r="Y157" s="34"/>
      <c r="Z157" s="61"/>
      <c r="AA157" s="61"/>
      <c r="AB157" s="66"/>
      <c r="AC157" s="34"/>
      <c r="AD157" s="34"/>
      <c r="AE157" s="66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</row>
    <row r="158" ht="15.75" customHeight="1">
      <c r="A158" s="28">
        <v>151.0</v>
      </c>
      <c r="B158" s="119"/>
      <c r="C158" s="119"/>
      <c r="D158" s="120"/>
      <c r="E158" s="121"/>
      <c r="F158" s="121"/>
      <c r="G158" s="121"/>
      <c r="H158" s="121"/>
      <c r="I158" s="122" t="s">
        <v>329</v>
      </c>
      <c r="J158" s="123">
        <f t="shared" ref="J158:P158" si="5">SUM(J8:J157)</f>
        <v>3481</v>
      </c>
      <c r="K158" s="123">
        <f t="shared" si="5"/>
        <v>2745</v>
      </c>
      <c r="L158" s="123">
        <f t="shared" si="5"/>
        <v>87</v>
      </c>
      <c r="M158" s="123">
        <f t="shared" si="5"/>
        <v>402</v>
      </c>
      <c r="N158" s="123">
        <f t="shared" si="5"/>
        <v>443</v>
      </c>
      <c r="O158" s="123">
        <f t="shared" si="5"/>
        <v>1039</v>
      </c>
      <c r="P158" s="123">
        <f t="shared" si="5"/>
        <v>270</v>
      </c>
      <c r="Q158" s="43">
        <f t="shared" si="4"/>
        <v>1752</v>
      </c>
      <c r="R158" s="124"/>
      <c r="S158" s="124"/>
      <c r="T158" s="125"/>
      <c r="U158" s="83"/>
      <c r="V158" s="83" t="s">
        <v>330</v>
      </c>
      <c r="W158" s="126">
        <f>COUNTIF(W8:W157, "YES")</f>
        <v>143</v>
      </c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</row>
    <row r="159" ht="15.75" customHeight="1">
      <c r="A159" s="28">
        <v>152.0</v>
      </c>
      <c r="B159" s="128"/>
      <c r="C159" s="128"/>
      <c r="D159" s="129"/>
      <c r="E159" s="130"/>
      <c r="F159" s="130"/>
      <c r="G159" s="130"/>
      <c r="H159" s="130"/>
      <c r="I159" s="130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 t="s">
        <v>331</v>
      </c>
      <c r="W159" s="126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</row>
    <row r="160" ht="15.75" customHeight="1">
      <c r="A160" s="251"/>
      <c r="B160" s="252"/>
      <c r="C160" s="252"/>
      <c r="D160" s="253"/>
      <c r="E160" s="253"/>
      <c r="F160" s="253"/>
      <c r="G160" s="253"/>
      <c r="H160" s="253"/>
      <c r="I160" s="253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</row>
    <row r="161" ht="15.75" customHeight="1">
      <c r="A161" s="251"/>
      <c r="B161" s="252"/>
      <c r="C161" s="252"/>
      <c r="D161" s="253"/>
      <c r="E161" s="253"/>
      <c r="F161" s="253"/>
      <c r="G161" s="253"/>
      <c r="H161" s="253"/>
      <c r="I161" s="253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</row>
    <row r="162" ht="15.75" customHeight="1">
      <c r="A162" s="251"/>
      <c r="B162" s="252"/>
      <c r="C162" s="252"/>
      <c r="D162" s="253"/>
      <c r="E162" s="253"/>
      <c r="F162" s="253"/>
      <c r="G162" s="253"/>
      <c r="H162" s="253"/>
      <c r="I162" s="253"/>
      <c r="J162" s="25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</row>
    <row r="163" ht="15.75" customHeight="1">
      <c r="A163" s="251"/>
      <c r="B163" s="252"/>
      <c r="C163" s="252"/>
      <c r="D163" s="253"/>
      <c r="E163" s="253"/>
      <c r="F163" s="253"/>
      <c r="G163" s="253"/>
      <c r="H163" s="253"/>
      <c r="I163" s="253"/>
      <c r="J163" s="25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</row>
    <row r="164" ht="15.75" customHeight="1">
      <c r="A164" s="251"/>
      <c r="B164" s="252"/>
      <c r="C164" s="252"/>
      <c r="D164" s="253"/>
      <c r="E164" s="253"/>
      <c r="F164" s="253"/>
      <c r="G164" s="253"/>
      <c r="H164" s="253"/>
      <c r="I164" s="253"/>
      <c r="J164" s="25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</row>
    <row r="165" ht="15.75" customHeight="1">
      <c r="A165" s="251"/>
      <c r="B165" s="252"/>
      <c r="C165" s="252"/>
      <c r="D165" s="253"/>
      <c r="E165" s="253"/>
      <c r="F165" s="253"/>
      <c r="G165" s="253"/>
      <c r="H165" s="253"/>
      <c r="I165" s="253"/>
      <c r="J165" s="25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</row>
    <row r="166" ht="15.75" customHeight="1">
      <c r="A166" s="251"/>
      <c r="B166" s="252"/>
      <c r="C166" s="252"/>
      <c r="D166" s="253"/>
      <c r="E166" s="253"/>
      <c r="F166" s="253"/>
      <c r="G166" s="253"/>
      <c r="H166" s="253"/>
      <c r="I166" s="253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</row>
    <row r="167" ht="15.75" customHeight="1">
      <c r="A167" s="251"/>
      <c r="B167" s="252"/>
      <c r="C167" s="252"/>
      <c r="D167" s="253"/>
      <c r="E167" s="253"/>
      <c r="F167" s="253"/>
      <c r="G167" s="253"/>
      <c r="H167" s="253"/>
      <c r="I167" s="253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</row>
    <row r="168" ht="15.75" customHeight="1">
      <c r="A168" s="251"/>
      <c r="B168" s="252"/>
      <c r="C168" s="252"/>
      <c r="D168" s="253"/>
      <c r="E168" s="253"/>
      <c r="F168" s="253"/>
      <c r="G168" s="253"/>
      <c r="H168" s="253"/>
      <c r="I168" s="253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</row>
    <row r="169" ht="15.75" customHeight="1">
      <c r="A169" s="251"/>
      <c r="B169" s="252"/>
      <c r="C169" s="252"/>
      <c r="D169" s="253"/>
      <c r="E169" s="253"/>
      <c r="F169" s="253"/>
      <c r="G169" s="253"/>
      <c r="H169" s="253"/>
      <c r="I169" s="253"/>
      <c r="J169" s="254"/>
      <c r="K169" s="254"/>
      <c r="L169" s="254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</row>
    <row r="170" ht="15.75" customHeight="1">
      <c r="A170" s="251"/>
      <c r="B170" s="252"/>
      <c r="C170" s="252"/>
      <c r="D170" s="253"/>
      <c r="E170" s="253"/>
      <c r="F170" s="253"/>
      <c r="G170" s="253"/>
      <c r="H170" s="253"/>
      <c r="I170" s="253"/>
      <c r="J170" s="254"/>
      <c r="K170" s="254"/>
      <c r="L170" s="254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</row>
    <row r="171" ht="15.75" customHeight="1">
      <c r="A171" s="251"/>
      <c r="B171" s="252"/>
      <c r="C171" s="252"/>
      <c r="D171" s="253"/>
      <c r="E171" s="253"/>
      <c r="F171" s="253"/>
      <c r="G171" s="253"/>
      <c r="H171" s="253"/>
      <c r="I171" s="253"/>
      <c r="J171" s="254"/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</row>
    <row r="172" ht="15.75" customHeight="1">
      <c r="A172" s="251"/>
      <c r="B172" s="252"/>
      <c r="C172" s="252"/>
      <c r="D172" s="253"/>
      <c r="E172" s="253"/>
      <c r="F172" s="253"/>
      <c r="G172" s="253"/>
      <c r="H172" s="253"/>
      <c r="I172" s="253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</row>
    <row r="173" ht="15.75" customHeight="1">
      <c r="A173" s="251"/>
      <c r="B173" s="252"/>
      <c r="C173" s="252"/>
      <c r="D173" s="253"/>
      <c r="E173" s="253"/>
      <c r="F173" s="253"/>
      <c r="G173" s="253"/>
      <c r="H173" s="253"/>
      <c r="I173" s="253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</row>
    <row r="174" ht="15.75" customHeight="1">
      <c r="A174" s="251"/>
      <c r="B174" s="252"/>
      <c r="C174" s="252"/>
      <c r="D174" s="253"/>
      <c r="E174" s="253"/>
      <c r="F174" s="253"/>
      <c r="G174" s="253"/>
      <c r="H174" s="253"/>
      <c r="I174" s="253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</row>
    <row r="175" ht="15.75" customHeight="1">
      <c r="A175" s="251"/>
      <c r="B175" s="252"/>
      <c r="C175" s="252"/>
      <c r="D175" s="253"/>
      <c r="E175" s="253"/>
      <c r="F175" s="253"/>
      <c r="G175" s="253"/>
      <c r="H175" s="253"/>
      <c r="I175" s="253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</row>
    <row r="176" ht="15.75" customHeight="1">
      <c r="A176" s="251"/>
      <c r="B176" s="252"/>
      <c r="C176" s="252"/>
      <c r="D176" s="253"/>
      <c r="E176" s="253"/>
      <c r="F176" s="253"/>
      <c r="G176" s="253"/>
      <c r="H176" s="253"/>
      <c r="I176" s="253"/>
      <c r="J176" s="254"/>
      <c r="K176" s="254"/>
      <c r="L176" s="254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</row>
    <row r="177" ht="15.75" customHeight="1">
      <c r="A177" s="251"/>
      <c r="B177" s="252"/>
      <c r="C177" s="252"/>
      <c r="D177" s="253"/>
      <c r="E177" s="253"/>
      <c r="F177" s="253"/>
      <c r="G177" s="253"/>
      <c r="H177" s="253"/>
      <c r="I177" s="253"/>
      <c r="J177" s="254"/>
      <c r="K177" s="254"/>
      <c r="L177" s="254"/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</row>
    <row r="178" ht="15.0" customHeight="1">
      <c r="A178" s="251"/>
      <c r="B178" s="252"/>
      <c r="C178" s="252"/>
      <c r="D178" s="253"/>
      <c r="E178" s="253"/>
      <c r="F178" s="253"/>
      <c r="G178" s="253"/>
      <c r="H178" s="253"/>
      <c r="I178" s="253"/>
      <c r="J178" s="254"/>
      <c r="K178" s="254"/>
      <c r="L178" s="254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34"/>
    </row>
    <row r="179" ht="15.0" customHeight="1">
      <c r="A179" s="251"/>
      <c r="B179" s="252"/>
      <c r="C179" s="252"/>
      <c r="D179" s="253"/>
      <c r="E179" s="253"/>
      <c r="F179" s="253"/>
      <c r="G179" s="253"/>
      <c r="H179" s="253"/>
      <c r="I179" s="253"/>
      <c r="J179" s="254"/>
      <c r="K179" s="254"/>
      <c r="L179" s="254"/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34"/>
    </row>
    <row r="180" ht="15.0" customHeight="1">
      <c r="A180" s="251"/>
      <c r="B180" s="252"/>
      <c r="C180" s="252"/>
      <c r="D180" s="253"/>
      <c r="E180" s="253"/>
      <c r="F180" s="253"/>
      <c r="G180" s="253"/>
      <c r="H180" s="253"/>
      <c r="I180" s="253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34"/>
    </row>
    <row r="181" ht="15.0" customHeight="1">
      <c r="A181" s="251"/>
      <c r="B181" s="252"/>
      <c r="C181" s="252"/>
      <c r="D181" s="253"/>
      <c r="E181" s="253"/>
      <c r="F181" s="253"/>
      <c r="G181" s="253"/>
      <c r="H181" s="253"/>
      <c r="I181" s="253"/>
      <c r="J181" s="254"/>
      <c r="K181" s="254"/>
      <c r="L181" s="254"/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34"/>
    </row>
    <row r="182" ht="15.0" customHeight="1">
      <c r="A182" s="251"/>
      <c r="B182" s="252"/>
      <c r="C182" s="252"/>
      <c r="D182" s="253"/>
      <c r="E182" s="253"/>
      <c r="F182" s="253"/>
      <c r="G182" s="253"/>
      <c r="H182" s="253"/>
      <c r="I182" s="253"/>
      <c r="J182" s="254"/>
      <c r="K182" s="254"/>
      <c r="L182" s="254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34"/>
    </row>
    <row r="183" ht="15.0" customHeight="1">
      <c r="A183" s="251"/>
      <c r="B183" s="252"/>
      <c r="C183" s="252"/>
      <c r="D183" s="253"/>
      <c r="E183" s="253"/>
      <c r="F183" s="253"/>
      <c r="G183" s="253"/>
      <c r="H183" s="253"/>
      <c r="I183" s="253"/>
      <c r="J183" s="254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34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V2:W2"/>
    <mergeCell ref="A3:B3"/>
    <mergeCell ref="C3:I3"/>
    <mergeCell ref="V3:W3"/>
    <mergeCell ref="A4:B4"/>
    <mergeCell ref="C4:I4"/>
    <mergeCell ref="V4:W4"/>
    <mergeCell ref="A5:B5"/>
    <mergeCell ref="C5:I5"/>
    <mergeCell ref="B6:D6"/>
    <mergeCell ref="E6:E7"/>
    <mergeCell ref="F6:F7"/>
    <mergeCell ref="G6:G7"/>
    <mergeCell ref="H6:H7"/>
    <mergeCell ref="T6:T7"/>
    <mergeCell ref="U6:U7"/>
    <mergeCell ref="V6:V7"/>
    <mergeCell ref="W6:W7"/>
    <mergeCell ref="AA6:AD6"/>
    <mergeCell ref="AA7:AC7"/>
    <mergeCell ref="AA8:AC8"/>
    <mergeCell ref="AA9:AC9"/>
    <mergeCell ref="I6:I7"/>
    <mergeCell ref="J6:J7"/>
    <mergeCell ref="K6:K7"/>
    <mergeCell ref="L6:P6"/>
    <mergeCell ref="Q6:Q7"/>
    <mergeCell ref="R6:R7"/>
    <mergeCell ref="S6:S7"/>
  </mergeCells>
  <dataValidations>
    <dataValidation type="list" allowBlank="1" sqref="W8:W157">
      <formula1>"YES,NO"</formula1>
    </dataValidation>
    <dataValidation type="list" allowBlank="1" showErrorMessage="1" sqref="E158:E183">
      <formula1>'Data Dont Use'!$A$8:$A$9</formula1>
    </dataValidation>
    <dataValidation type="list" allowBlank="1" showErrorMessage="1" sqref="G158:G183">
      <formula1>'Data Dont Use'!$A$4:$A$5</formula1>
    </dataValidation>
  </dataValidations>
  <printOptions/>
  <pageMargins bottom="0.75" footer="0.0" header="0.0" left="0.25" right="0.25" top="0.75"/>
  <pageSetup paperSize="14" scale="6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20.25"/>
    <col customWidth="1" min="3" max="3" width="21.88"/>
    <col customWidth="1" min="4" max="4" width="17.63"/>
    <col customWidth="1" min="5" max="5" width="15.75"/>
    <col customWidth="1" min="6" max="6" width="8.63"/>
    <col customWidth="1" min="7" max="7" width="12.38"/>
    <col customWidth="1" min="8" max="8" width="17.13"/>
    <col customWidth="1" min="9" max="9" width="17.88"/>
    <col customWidth="1" min="10" max="10" width="11.25"/>
    <col customWidth="1" min="11" max="11" width="10.63"/>
    <col customWidth="1" min="12" max="12" width="13.38"/>
    <col customWidth="1" min="13" max="13" width="13.25"/>
    <col customWidth="1" min="14" max="19" width="8.63"/>
    <col customWidth="1" min="20" max="20" width="18.63"/>
    <col customWidth="1" min="21" max="21" width="10.75"/>
    <col customWidth="1" min="22" max="22" width="16.8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255" t="s">
        <v>2331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255" t="s">
        <v>2332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256" t="s">
        <v>630</v>
      </c>
      <c r="B4" s="5"/>
      <c r="C4" s="255" t="s">
        <v>2333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2334</v>
      </c>
      <c r="C7" s="37" t="s">
        <v>2335</v>
      </c>
      <c r="D7" s="37" t="s">
        <v>2336</v>
      </c>
      <c r="E7" s="133" t="s">
        <v>338</v>
      </c>
      <c r="F7" s="134">
        <v>46.0</v>
      </c>
      <c r="G7" s="134" t="s">
        <v>476</v>
      </c>
      <c r="H7" s="134" t="s">
        <v>2337</v>
      </c>
      <c r="I7" s="134" t="s">
        <v>2338</v>
      </c>
      <c r="J7" s="54">
        <v>21.0</v>
      </c>
      <c r="K7" s="55">
        <v>18.0</v>
      </c>
      <c r="L7" s="55">
        <v>1.0</v>
      </c>
      <c r="M7" s="55">
        <v>0.0</v>
      </c>
      <c r="N7" s="43">
        <f t="shared" ref="N7:N24" si="1">SUM(L7,M7)</f>
        <v>1</v>
      </c>
      <c r="O7" s="55">
        <v>11.0</v>
      </c>
      <c r="P7" s="55">
        <v>2.0</v>
      </c>
      <c r="Q7" s="43">
        <f t="shared" ref="Q7:Q24" si="2">SUM(N7,O7,P7)</f>
        <v>14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2339</v>
      </c>
      <c r="C8" s="37" t="s">
        <v>2340</v>
      </c>
      <c r="D8" s="37" t="s">
        <v>2341</v>
      </c>
      <c r="E8" s="133" t="s">
        <v>338</v>
      </c>
      <c r="F8" s="134">
        <v>43.0</v>
      </c>
      <c r="G8" s="134" t="s">
        <v>476</v>
      </c>
      <c r="H8" s="134" t="s">
        <v>508</v>
      </c>
      <c r="I8" s="134" t="s">
        <v>2342</v>
      </c>
      <c r="J8" s="54">
        <v>26.0</v>
      </c>
      <c r="K8" s="55">
        <v>22.0</v>
      </c>
      <c r="L8" s="55">
        <v>0.0</v>
      </c>
      <c r="M8" s="55">
        <v>0.0</v>
      </c>
      <c r="N8" s="43">
        <f t="shared" si="1"/>
        <v>0</v>
      </c>
      <c r="O8" s="55">
        <v>6.0</v>
      </c>
      <c r="P8" s="55">
        <v>2.0</v>
      </c>
      <c r="Q8" s="43">
        <f t="shared" si="2"/>
        <v>8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151" t="s">
        <v>2343</v>
      </c>
      <c r="C9" s="37" t="s">
        <v>2344</v>
      </c>
      <c r="D9" s="37" t="s">
        <v>795</v>
      </c>
      <c r="E9" s="133" t="s">
        <v>338</v>
      </c>
      <c r="F9" s="134">
        <v>37.0</v>
      </c>
      <c r="G9" s="134" t="s">
        <v>476</v>
      </c>
      <c r="H9" s="134" t="s">
        <v>646</v>
      </c>
      <c r="I9" s="134" t="s">
        <v>2345</v>
      </c>
      <c r="J9" s="54">
        <v>31.0</v>
      </c>
      <c r="K9" s="55">
        <v>30.0</v>
      </c>
      <c r="L9" s="55">
        <v>1.0</v>
      </c>
      <c r="M9" s="55">
        <v>0.0</v>
      </c>
      <c r="N9" s="43">
        <f t="shared" si="1"/>
        <v>1</v>
      </c>
      <c r="O9" s="55">
        <v>1.0</v>
      </c>
      <c r="P9" s="55">
        <v>0.0</v>
      </c>
      <c r="Q9" s="43">
        <f t="shared" si="2"/>
        <v>2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151" t="s">
        <v>2346</v>
      </c>
      <c r="C10" s="37" t="s">
        <v>2304</v>
      </c>
      <c r="D10" s="37" t="s">
        <v>2347</v>
      </c>
      <c r="E10" s="133" t="s">
        <v>338</v>
      </c>
      <c r="F10" s="134">
        <v>44.0</v>
      </c>
      <c r="G10" s="134" t="s">
        <v>339</v>
      </c>
      <c r="H10" s="134" t="s">
        <v>349</v>
      </c>
      <c r="I10" s="134">
        <v>9.063638891E9</v>
      </c>
      <c r="J10" s="54">
        <v>31.0</v>
      </c>
      <c r="K10" s="55">
        <v>30.0</v>
      </c>
      <c r="L10" s="55">
        <v>0.0</v>
      </c>
      <c r="M10" s="55">
        <v>1.0</v>
      </c>
      <c r="N10" s="43">
        <f t="shared" si="1"/>
        <v>1</v>
      </c>
      <c r="O10" s="55">
        <v>1.0</v>
      </c>
      <c r="P10" s="55">
        <v>0.0</v>
      </c>
      <c r="Q10" s="43">
        <f t="shared" si="2"/>
        <v>2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151" t="s">
        <v>2348</v>
      </c>
      <c r="C11" s="37" t="s">
        <v>756</v>
      </c>
      <c r="D11" s="37" t="s">
        <v>2349</v>
      </c>
      <c r="E11" s="133" t="s">
        <v>338</v>
      </c>
      <c r="F11" s="134">
        <v>42.0</v>
      </c>
      <c r="G11" s="134" t="s">
        <v>476</v>
      </c>
      <c r="H11" s="134" t="s">
        <v>435</v>
      </c>
      <c r="I11" s="134">
        <v>9.777402426E9</v>
      </c>
      <c r="J11" s="54">
        <v>32.0</v>
      </c>
      <c r="K11" s="55">
        <v>25.0</v>
      </c>
      <c r="L11" s="55">
        <v>0.0</v>
      </c>
      <c r="M11" s="55">
        <v>0.0</v>
      </c>
      <c r="N11" s="43">
        <f t="shared" si="1"/>
        <v>0</v>
      </c>
      <c r="O11" s="55">
        <v>0.0</v>
      </c>
      <c r="P11" s="55">
        <v>6.0</v>
      </c>
      <c r="Q11" s="43">
        <f t="shared" si="2"/>
        <v>6</v>
      </c>
      <c r="R11" s="43"/>
      <c r="S11" s="55" t="s">
        <v>277</v>
      </c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154" t="s">
        <v>2350</v>
      </c>
      <c r="C12" s="37" t="s">
        <v>2351</v>
      </c>
      <c r="D12" s="37" t="s">
        <v>2352</v>
      </c>
      <c r="E12" s="133" t="s">
        <v>338</v>
      </c>
      <c r="F12" s="134">
        <v>30.0</v>
      </c>
      <c r="G12" s="134" t="s">
        <v>584</v>
      </c>
      <c r="H12" s="205" t="s">
        <v>2353</v>
      </c>
      <c r="I12" s="134">
        <v>9.776736998E9</v>
      </c>
      <c r="J12" s="54">
        <v>30.0</v>
      </c>
      <c r="K12" s="55">
        <v>26.0</v>
      </c>
      <c r="L12" s="55">
        <v>0.0</v>
      </c>
      <c r="M12" s="55">
        <v>0.0</v>
      </c>
      <c r="N12" s="43">
        <f t="shared" si="1"/>
        <v>0</v>
      </c>
      <c r="O12" s="55">
        <v>2.0</v>
      </c>
      <c r="P12" s="55">
        <v>4.0</v>
      </c>
      <c r="Q12" s="43">
        <f t="shared" si="2"/>
        <v>6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38</v>
      </c>
    </row>
    <row r="13" ht="13.5" customHeight="1">
      <c r="A13" s="28">
        <v>7.0</v>
      </c>
      <c r="B13" s="155" t="s">
        <v>2354</v>
      </c>
      <c r="C13" s="37" t="s">
        <v>2355</v>
      </c>
      <c r="D13" s="37" t="s">
        <v>2356</v>
      </c>
      <c r="E13" s="133" t="s">
        <v>338</v>
      </c>
      <c r="F13" s="134">
        <v>29.0</v>
      </c>
      <c r="G13" s="134" t="s">
        <v>476</v>
      </c>
      <c r="H13" s="134" t="s">
        <v>435</v>
      </c>
      <c r="I13" s="134">
        <v>9.66164863E9</v>
      </c>
      <c r="J13" s="54">
        <v>28.0</v>
      </c>
      <c r="K13" s="55">
        <v>26.0</v>
      </c>
      <c r="L13" s="55">
        <v>0.0</v>
      </c>
      <c r="M13" s="55">
        <v>0.0</v>
      </c>
      <c r="N13" s="43">
        <f t="shared" si="1"/>
        <v>0</v>
      </c>
      <c r="O13" s="55">
        <v>4.0</v>
      </c>
      <c r="P13" s="55">
        <v>2.0</v>
      </c>
      <c r="Q13" s="43">
        <f t="shared" si="2"/>
        <v>6</v>
      </c>
      <c r="R13" s="43"/>
      <c r="S13" s="55" t="s">
        <v>277</v>
      </c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151" t="s">
        <v>2357</v>
      </c>
      <c r="C14" s="37" t="s">
        <v>2358</v>
      </c>
      <c r="D14" s="37" t="s">
        <v>2359</v>
      </c>
      <c r="E14" s="133" t="s">
        <v>338</v>
      </c>
      <c r="F14" s="134">
        <v>58.0</v>
      </c>
      <c r="G14" s="134" t="s">
        <v>476</v>
      </c>
      <c r="H14" s="134" t="s">
        <v>646</v>
      </c>
      <c r="I14" s="134">
        <v>9.179406925E9</v>
      </c>
      <c r="J14" s="54">
        <v>8.0</v>
      </c>
      <c r="K14" s="55">
        <v>7.0</v>
      </c>
      <c r="L14" s="55">
        <v>0.0</v>
      </c>
      <c r="M14" s="55">
        <v>0.0</v>
      </c>
      <c r="N14" s="43">
        <f t="shared" si="1"/>
        <v>0</v>
      </c>
      <c r="O14" s="55">
        <v>24.0</v>
      </c>
      <c r="P14" s="55">
        <v>1.0</v>
      </c>
      <c r="Q14" s="43">
        <f t="shared" si="2"/>
        <v>25</v>
      </c>
      <c r="R14" s="43"/>
      <c r="S14" s="55" t="s">
        <v>1942</v>
      </c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151" t="s">
        <v>2360</v>
      </c>
      <c r="C15" s="37" t="s">
        <v>2361</v>
      </c>
      <c r="D15" s="37" t="s">
        <v>2362</v>
      </c>
      <c r="E15" s="133" t="s">
        <v>338</v>
      </c>
      <c r="F15" s="134">
        <v>40.0</v>
      </c>
      <c r="G15" s="134" t="s">
        <v>339</v>
      </c>
      <c r="H15" s="134" t="s">
        <v>368</v>
      </c>
      <c r="I15" s="134">
        <v>9.057124667E9</v>
      </c>
      <c r="J15" s="54">
        <v>28.0</v>
      </c>
      <c r="K15" s="55">
        <v>9.0</v>
      </c>
      <c r="L15" s="55">
        <v>0.0</v>
      </c>
      <c r="M15" s="55">
        <v>0.0</v>
      </c>
      <c r="N15" s="43">
        <f t="shared" si="1"/>
        <v>0</v>
      </c>
      <c r="O15" s="55">
        <v>4.0</v>
      </c>
      <c r="P15" s="55">
        <v>18.0</v>
      </c>
      <c r="Q15" s="43">
        <f t="shared" si="2"/>
        <v>22</v>
      </c>
      <c r="R15" s="43"/>
      <c r="S15" s="55" t="s">
        <v>101</v>
      </c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151" t="s">
        <v>131</v>
      </c>
      <c r="C16" s="37" t="s">
        <v>2363</v>
      </c>
      <c r="D16" s="37" t="s">
        <v>1729</v>
      </c>
      <c r="E16" s="133" t="s">
        <v>338</v>
      </c>
      <c r="F16" s="134">
        <v>52.0</v>
      </c>
      <c r="G16" s="134" t="s">
        <v>339</v>
      </c>
      <c r="H16" s="134" t="s">
        <v>368</v>
      </c>
      <c r="I16" s="134">
        <v>9.958697107E9</v>
      </c>
      <c r="J16" s="54">
        <v>25.0</v>
      </c>
      <c r="K16" s="55">
        <v>20.0</v>
      </c>
      <c r="L16" s="55">
        <v>0.0</v>
      </c>
      <c r="M16" s="55">
        <v>1.0</v>
      </c>
      <c r="N16" s="43">
        <f t="shared" si="1"/>
        <v>1</v>
      </c>
      <c r="O16" s="55">
        <v>7.0</v>
      </c>
      <c r="P16" s="55">
        <v>4.0</v>
      </c>
      <c r="Q16" s="43">
        <f t="shared" si="2"/>
        <v>12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1</v>
      </c>
      <c r="AC16" s="34"/>
      <c r="AD16" s="34"/>
    </row>
    <row r="17" ht="13.5" customHeight="1">
      <c r="A17" s="28">
        <v>11.0</v>
      </c>
      <c r="B17" s="151" t="s">
        <v>2364</v>
      </c>
      <c r="C17" s="37" t="s">
        <v>430</v>
      </c>
      <c r="D17" s="37" t="s">
        <v>2365</v>
      </c>
      <c r="E17" s="133" t="s">
        <v>338</v>
      </c>
      <c r="F17" s="134">
        <v>50.0</v>
      </c>
      <c r="G17" s="134" t="s">
        <v>339</v>
      </c>
      <c r="H17" s="134" t="s">
        <v>340</v>
      </c>
      <c r="I17" s="134">
        <v>9.684992946E9</v>
      </c>
      <c r="J17" s="54">
        <v>29.0</v>
      </c>
      <c r="K17" s="55">
        <v>23.0</v>
      </c>
      <c r="L17" s="55">
        <v>4.0</v>
      </c>
      <c r="M17" s="55">
        <v>2.0</v>
      </c>
      <c r="N17" s="43">
        <f t="shared" si="1"/>
        <v>6</v>
      </c>
      <c r="O17" s="55">
        <v>3.0</v>
      </c>
      <c r="P17" s="55">
        <v>0.0</v>
      </c>
      <c r="Q17" s="43">
        <f t="shared" si="2"/>
        <v>9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156" t="s">
        <v>2366</v>
      </c>
      <c r="C18" s="37" t="s">
        <v>2367</v>
      </c>
      <c r="D18" s="37" t="s">
        <v>463</v>
      </c>
      <c r="E18" s="133" t="s">
        <v>338</v>
      </c>
      <c r="F18" s="134">
        <v>45.0</v>
      </c>
      <c r="G18" s="208" t="s">
        <v>385</v>
      </c>
      <c r="H18" s="134" t="s">
        <v>2368</v>
      </c>
      <c r="I18" s="134">
        <v>9.162941291E9</v>
      </c>
      <c r="J18" s="42"/>
      <c r="K18" s="43"/>
      <c r="L18" s="43"/>
      <c r="M18" s="43"/>
      <c r="N18" s="43">
        <f t="shared" si="1"/>
        <v>0</v>
      </c>
      <c r="O18" s="43"/>
      <c r="P18" s="43"/>
      <c r="Q18" s="43">
        <f t="shared" si="2"/>
        <v>0</v>
      </c>
      <c r="R18" s="43"/>
      <c r="S18" s="43"/>
      <c r="T18" s="43"/>
      <c r="U18" s="43"/>
      <c r="V18" s="43"/>
      <c r="W18" s="44"/>
      <c r="Z18" s="34"/>
      <c r="AA18" s="61" t="s">
        <v>88</v>
      </c>
      <c r="AB18" s="66">
        <f>COUNTIF(S7:S157, "RPDU")</f>
        <v>4</v>
      </c>
      <c r="AC18" s="34"/>
      <c r="AD18" s="34"/>
    </row>
    <row r="19" ht="13.5" customHeight="1">
      <c r="A19" s="28">
        <v>13.0</v>
      </c>
      <c r="B19" s="229" t="s">
        <v>2369</v>
      </c>
      <c r="C19" s="257" t="s">
        <v>2370</v>
      </c>
      <c r="D19" s="257" t="s">
        <v>1872</v>
      </c>
      <c r="E19" s="133" t="s">
        <v>338</v>
      </c>
      <c r="F19" s="208">
        <v>39.0</v>
      </c>
      <c r="G19" s="208" t="s">
        <v>339</v>
      </c>
      <c r="H19" s="208" t="s">
        <v>340</v>
      </c>
      <c r="I19" s="208">
        <v>9.176976877E9</v>
      </c>
      <c r="J19" s="54">
        <v>30.0</v>
      </c>
      <c r="K19" s="55">
        <v>28.0</v>
      </c>
      <c r="L19" s="55">
        <v>0.0</v>
      </c>
      <c r="M19" s="55">
        <v>0.0</v>
      </c>
      <c r="N19" s="43">
        <f t="shared" si="1"/>
        <v>0</v>
      </c>
      <c r="O19" s="55">
        <v>2.0</v>
      </c>
      <c r="P19" s="55">
        <v>2.0</v>
      </c>
      <c r="Q19" s="43">
        <f t="shared" si="2"/>
        <v>4</v>
      </c>
      <c r="R19" s="43"/>
      <c r="S19" s="43"/>
      <c r="T19" s="43" t="s">
        <v>116</v>
      </c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155" t="s">
        <v>2371</v>
      </c>
      <c r="C20" s="37" t="s">
        <v>2372</v>
      </c>
      <c r="D20" s="37" t="s">
        <v>2373</v>
      </c>
      <c r="E20" s="133" t="s">
        <v>338</v>
      </c>
      <c r="F20" s="134">
        <v>36.0</v>
      </c>
      <c r="G20" s="134" t="s">
        <v>339</v>
      </c>
      <c r="H20" s="134" t="s">
        <v>340</v>
      </c>
      <c r="I20" s="134">
        <v>9.319322763E9</v>
      </c>
      <c r="J20" s="54">
        <v>31.0</v>
      </c>
      <c r="K20" s="55">
        <v>29.0</v>
      </c>
      <c r="L20" s="55">
        <v>0.0</v>
      </c>
      <c r="M20" s="55">
        <v>0.0</v>
      </c>
      <c r="N20" s="43">
        <f t="shared" si="1"/>
        <v>0</v>
      </c>
      <c r="O20" s="55">
        <v>1.0</v>
      </c>
      <c r="P20" s="55">
        <v>2.0</v>
      </c>
      <c r="Q20" s="43">
        <f t="shared" si="2"/>
        <v>3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3</v>
      </c>
      <c r="AC20" s="34"/>
      <c r="AD20" s="34"/>
    </row>
    <row r="21" ht="13.5" customHeight="1">
      <c r="A21" s="28">
        <v>15.0</v>
      </c>
      <c r="B21" s="151" t="s">
        <v>2374</v>
      </c>
      <c r="C21" s="37" t="s">
        <v>1395</v>
      </c>
      <c r="D21" s="37" t="s">
        <v>2375</v>
      </c>
      <c r="E21" s="133" t="s">
        <v>338</v>
      </c>
      <c r="F21" s="134">
        <v>41.0</v>
      </c>
      <c r="G21" s="134" t="s">
        <v>339</v>
      </c>
      <c r="H21" s="134" t="s">
        <v>833</v>
      </c>
      <c r="I21" s="134" t="s">
        <v>2376</v>
      </c>
      <c r="J21" s="54">
        <v>30.0</v>
      </c>
      <c r="K21" s="55">
        <v>23.0</v>
      </c>
      <c r="L21" s="55">
        <v>0.0</v>
      </c>
      <c r="M21" s="55">
        <v>0.0</v>
      </c>
      <c r="N21" s="43">
        <f t="shared" si="1"/>
        <v>0</v>
      </c>
      <c r="O21" s="55">
        <v>2.0</v>
      </c>
      <c r="P21" s="55">
        <v>7.0</v>
      </c>
      <c r="Q21" s="43">
        <f t="shared" si="2"/>
        <v>9</v>
      </c>
      <c r="R21" s="43"/>
      <c r="S21" s="43"/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1</v>
      </c>
      <c r="AC21" s="34"/>
      <c r="AD21" s="34"/>
    </row>
    <row r="22" ht="13.5" customHeight="1">
      <c r="A22" s="28">
        <v>16.0</v>
      </c>
      <c r="B22" s="151" t="s">
        <v>2377</v>
      </c>
      <c r="C22" s="37" t="s">
        <v>2378</v>
      </c>
      <c r="D22" s="37" t="s">
        <v>2379</v>
      </c>
      <c r="E22" s="133" t="s">
        <v>338</v>
      </c>
      <c r="F22" s="134">
        <v>44.0</v>
      </c>
      <c r="G22" s="134" t="s">
        <v>385</v>
      </c>
      <c r="H22" s="134" t="s">
        <v>839</v>
      </c>
      <c r="I22" s="134">
        <v>9.154839776E9</v>
      </c>
      <c r="J22" s="54">
        <v>30.0</v>
      </c>
      <c r="K22" s="55">
        <v>30.0</v>
      </c>
      <c r="L22" s="55">
        <v>0.0</v>
      </c>
      <c r="M22" s="55">
        <v>0.0</v>
      </c>
      <c r="N22" s="43">
        <f t="shared" si="1"/>
        <v>0</v>
      </c>
      <c r="O22" s="55">
        <v>2.0</v>
      </c>
      <c r="P22" s="55">
        <v>0.0</v>
      </c>
      <c r="Q22" s="43">
        <f t="shared" si="2"/>
        <v>2</v>
      </c>
      <c r="R22" s="43"/>
      <c r="S22" s="55" t="s">
        <v>277</v>
      </c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151" t="s">
        <v>488</v>
      </c>
      <c r="C23" s="37" t="s">
        <v>2380</v>
      </c>
      <c r="D23" s="37" t="s">
        <v>2381</v>
      </c>
      <c r="E23" s="133" t="s">
        <v>338</v>
      </c>
      <c r="F23" s="134">
        <v>49.0</v>
      </c>
      <c r="G23" s="134" t="s">
        <v>339</v>
      </c>
      <c r="H23" s="134" t="s">
        <v>833</v>
      </c>
      <c r="I23" s="134">
        <v>9.434284349E9</v>
      </c>
      <c r="J23" s="54">
        <v>27.0</v>
      </c>
      <c r="K23" s="55">
        <v>22.0</v>
      </c>
      <c r="L23" s="55">
        <v>0.0</v>
      </c>
      <c r="M23" s="55">
        <v>2.0</v>
      </c>
      <c r="N23" s="43">
        <f t="shared" si="1"/>
        <v>2</v>
      </c>
      <c r="O23" s="55">
        <v>5.0</v>
      </c>
      <c r="P23" s="55">
        <v>3.0</v>
      </c>
      <c r="Q23" s="43">
        <f t="shared" si="2"/>
        <v>10</v>
      </c>
      <c r="R23" s="43"/>
      <c r="S23" s="43"/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5</v>
      </c>
      <c r="AC23" s="34"/>
      <c r="AD23" s="34"/>
    </row>
    <row r="24" ht="13.5" customHeight="1">
      <c r="A24" s="28">
        <v>18.0</v>
      </c>
      <c r="B24" s="151" t="s">
        <v>2382</v>
      </c>
      <c r="C24" s="37" t="s">
        <v>2383</v>
      </c>
      <c r="D24" s="37" t="s">
        <v>2384</v>
      </c>
      <c r="E24" s="133" t="s">
        <v>338</v>
      </c>
      <c r="F24" s="134">
        <v>29.0</v>
      </c>
      <c r="G24" s="134" t="s">
        <v>339</v>
      </c>
      <c r="H24" s="134" t="s">
        <v>340</v>
      </c>
      <c r="I24" s="134">
        <v>9.493616168E9</v>
      </c>
      <c r="J24" s="54">
        <v>29.0</v>
      </c>
      <c r="K24" s="55">
        <v>25.0</v>
      </c>
      <c r="L24" s="55">
        <v>0.0</v>
      </c>
      <c r="M24" s="55">
        <v>1.0</v>
      </c>
      <c r="N24" s="43">
        <f t="shared" si="1"/>
        <v>1</v>
      </c>
      <c r="O24" s="55">
        <v>3.0</v>
      </c>
      <c r="P24" s="55">
        <v>3.0</v>
      </c>
      <c r="Q24" s="43">
        <f t="shared" si="2"/>
        <v>7</v>
      </c>
      <c r="R24" s="43"/>
      <c r="S24" s="43"/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151" t="s">
        <v>2385</v>
      </c>
      <c r="C25" s="37" t="s">
        <v>1786</v>
      </c>
      <c r="D25" s="37" t="s">
        <v>2386</v>
      </c>
      <c r="E25" s="133" t="s">
        <v>338</v>
      </c>
      <c r="F25" s="134">
        <v>30.0</v>
      </c>
      <c r="G25" s="134" t="s">
        <v>339</v>
      </c>
      <c r="H25" s="134" t="s">
        <v>340</v>
      </c>
      <c r="I25" s="134">
        <v>9.393049718E9</v>
      </c>
      <c r="J25" s="258">
        <v>31.0</v>
      </c>
      <c r="K25" s="95">
        <v>29.0</v>
      </c>
      <c r="L25" s="95">
        <v>0.0</v>
      </c>
      <c r="M25" s="95">
        <v>0.0</v>
      </c>
      <c r="N25" s="95">
        <f>SUM(L25:M25)</f>
        <v>0</v>
      </c>
      <c r="O25" s="95">
        <v>1.0</v>
      </c>
      <c r="P25" s="95">
        <v>2.0</v>
      </c>
      <c r="Q25" s="95">
        <f>SUM(N25:P25)</f>
        <v>3</v>
      </c>
      <c r="R25" s="72"/>
      <c r="S25" s="72"/>
      <c r="T25" s="72"/>
      <c r="U25" s="72"/>
      <c r="V25" s="72"/>
      <c r="W25" s="98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151" t="s">
        <v>2387</v>
      </c>
      <c r="C26" s="37" t="s">
        <v>2388</v>
      </c>
      <c r="D26" s="37" t="s">
        <v>2389</v>
      </c>
      <c r="E26" s="133" t="s">
        <v>338</v>
      </c>
      <c r="F26" s="134">
        <v>42.0</v>
      </c>
      <c r="G26" s="134" t="s">
        <v>339</v>
      </c>
      <c r="H26" s="134" t="s">
        <v>340</v>
      </c>
      <c r="I26" s="134">
        <v>9.167303854E9</v>
      </c>
      <c r="J26" s="54">
        <v>30.0</v>
      </c>
      <c r="K26" s="55">
        <v>25.0</v>
      </c>
      <c r="L26" s="55">
        <v>0.0</v>
      </c>
      <c r="M26" s="55">
        <v>3.0</v>
      </c>
      <c r="N26" s="43">
        <f t="shared" ref="N26:N64" si="3">SUM(L26,M26)</f>
        <v>3</v>
      </c>
      <c r="O26" s="55">
        <v>2.0</v>
      </c>
      <c r="P26" s="55">
        <v>2.0</v>
      </c>
      <c r="Q26" s="43">
        <f t="shared" ref="Q26:Q65" si="4">SUM(N26,O26,P26)</f>
        <v>7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156" t="s">
        <v>2390</v>
      </c>
      <c r="C27" s="37" t="s">
        <v>2391</v>
      </c>
      <c r="D27" s="37" t="s">
        <v>2392</v>
      </c>
      <c r="E27" s="133" t="s">
        <v>338</v>
      </c>
      <c r="F27" s="134">
        <v>37.0</v>
      </c>
      <c r="G27" s="134" t="s">
        <v>339</v>
      </c>
      <c r="H27" s="134" t="s">
        <v>833</v>
      </c>
      <c r="I27" s="134">
        <v>9.954570647E9</v>
      </c>
      <c r="J27" s="54">
        <v>30.0</v>
      </c>
      <c r="K27" s="55">
        <v>26.0</v>
      </c>
      <c r="L27" s="55">
        <v>0.0</v>
      </c>
      <c r="M27" s="55">
        <v>0.0</v>
      </c>
      <c r="N27" s="43">
        <f t="shared" si="3"/>
        <v>0</v>
      </c>
      <c r="O27" s="55">
        <v>2.0</v>
      </c>
      <c r="P27" s="55">
        <v>7.0</v>
      </c>
      <c r="Q27" s="43">
        <f t="shared" si="4"/>
        <v>9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155" t="s">
        <v>1255</v>
      </c>
      <c r="C28" s="37" t="s">
        <v>2393</v>
      </c>
      <c r="D28" s="37" t="s">
        <v>2394</v>
      </c>
      <c r="E28" s="133" t="s">
        <v>338</v>
      </c>
      <c r="F28" s="134">
        <v>27.0</v>
      </c>
      <c r="G28" s="134" t="s">
        <v>339</v>
      </c>
      <c r="H28" s="134" t="s">
        <v>340</v>
      </c>
      <c r="I28" s="134">
        <v>9.481461059E9</v>
      </c>
      <c r="J28" s="42"/>
      <c r="K28" s="43"/>
      <c r="L28" s="43"/>
      <c r="M28" s="43"/>
      <c r="N28" s="43">
        <f t="shared" si="3"/>
        <v>0</v>
      </c>
      <c r="O28" s="43"/>
      <c r="P28" s="43"/>
      <c r="Q28" s="43">
        <f t="shared" si="4"/>
        <v>0</v>
      </c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151" t="s">
        <v>2395</v>
      </c>
      <c r="C29" s="37" t="s">
        <v>2396</v>
      </c>
      <c r="D29" s="37" t="s">
        <v>932</v>
      </c>
      <c r="E29" s="133" t="s">
        <v>338</v>
      </c>
      <c r="F29" s="134">
        <v>30.0</v>
      </c>
      <c r="G29" s="134" t="s">
        <v>339</v>
      </c>
      <c r="H29" s="134" t="s">
        <v>833</v>
      </c>
      <c r="I29" s="134">
        <v>9.365569614E9</v>
      </c>
      <c r="J29" s="54">
        <v>26.0</v>
      </c>
      <c r="K29" s="55">
        <v>22.0</v>
      </c>
      <c r="L29" s="55">
        <v>0.0</v>
      </c>
      <c r="M29" s="55">
        <v>2.0</v>
      </c>
      <c r="N29" s="43">
        <f t="shared" si="3"/>
        <v>2</v>
      </c>
      <c r="O29" s="55">
        <v>6.0</v>
      </c>
      <c r="P29" s="55">
        <v>3.0</v>
      </c>
      <c r="Q29" s="43">
        <f t="shared" si="4"/>
        <v>11</v>
      </c>
      <c r="R29" s="43"/>
      <c r="S29" s="55" t="s">
        <v>277</v>
      </c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151" t="s">
        <v>2397</v>
      </c>
      <c r="C30" s="37" t="s">
        <v>1421</v>
      </c>
      <c r="D30" s="37" t="s">
        <v>2398</v>
      </c>
      <c r="E30" s="133" t="s">
        <v>338</v>
      </c>
      <c r="F30" s="134">
        <v>63.0</v>
      </c>
      <c r="G30" s="134" t="s">
        <v>339</v>
      </c>
      <c r="H30" s="134" t="s">
        <v>340</v>
      </c>
      <c r="I30" s="134">
        <v>9.123487309E9</v>
      </c>
      <c r="J30" s="54">
        <v>13.0</v>
      </c>
      <c r="K30" s="55">
        <v>12.0</v>
      </c>
      <c r="L30" s="55">
        <v>0.0</v>
      </c>
      <c r="M30" s="55">
        <v>1.0</v>
      </c>
      <c r="N30" s="43">
        <f t="shared" si="3"/>
        <v>1</v>
      </c>
      <c r="O30" s="55">
        <v>19.0</v>
      </c>
      <c r="P30" s="55">
        <v>0.0</v>
      </c>
      <c r="Q30" s="43">
        <f t="shared" si="4"/>
        <v>20</v>
      </c>
      <c r="R30" s="43"/>
      <c r="S30" s="55" t="s">
        <v>88</v>
      </c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151" t="s">
        <v>2399</v>
      </c>
      <c r="C31" s="37" t="s">
        <v>2400</v>
      </c>
      <c r="D31" s="37" t="s">
        <v>2401</v>
      </c>
      <c r="E31" s="133" t="s">
        <v>338</v>
      </c>
      <c r="F31" s="134">
        <v>27.0</v>
      </c>
      <c r="G31" s="134" t="s">
        <v>339</v>
      </c>
      <c r="H31" s="134" t="s">
        <v>340</v>
      </c>
      <c r="I31" s="134">
        <v>9.638778764E9</v>
      </c>
      <c r="J31" s="54">
        <v>31.0</v>
      </c>
      <c r="K31" s="55">
        <v>25.0</v>
      </c>
      <c r="L31" s="55">
        <v>0.0</v>
      </c>
      <c r="M31" s="55">
        <v>1.0</v>
      </c>
      <c r="N31" s="43">
        <f t="shared" si="3"/>
        <v>1</v>
      </c>
      <c r="O31" s="55">
        <v>1.0</v>
      </c>
      <c r="P31" s="55">
        <v>5.0</v>
      </c>
      <c r="Q31" s="43">
        <f t="shared" si="4"/>
        <v>7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151" t="s">
        <v>2402</v>
      </c>
      <c r="C32" s="37" t="s">
        <v>2403</v>
      </c>
      <c r="D32" s="37" t="s">
        <v>2404</v>
      </c>
      <c r="E32" s="133" t="s">
        <v>338</v>
      </c>
      <c r="F32" s="134">
        <v>41.0</v>
      </c>
      <c r="G32" s="134" t="s">
        <v>339</v>
      </c>
      <c r="H32" s="134" t="s">
        <v>340</v>
      </c>
      <c r="I32" s="134">
        <v>9.295285604E9</v>
      </c>
      <c r="J32" s="42"/>
      <c r="K32" s="43"/>
      <c r="L32" s="43"/>
      <c r="M32" s="43"/>
      <c r="N32" s="43">
        <f t="shared" si="3"/>
        <v>0</v>
      </c>
      <c r="O32" s="43"/>
      <c r="P32" s="43"/>
      <c r="Q32" s="43">
        <f t="shared" si="4"/>
        <v>0</v>
      </c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151" t="s">
        <v>2405</v>
      </c>
      <c r="C33" s="37" t="s">
        <v>2406</v>
      </c>
      <c r="D33" s="37" t="s">
        <v>2407</v>
      </c>
      <c r="E33" s="133" t="s">
        <v>338</v>
      </c>
      <c r="F33" s="134">
        <v>28.0</v>
      </c>
      <c r="G33" s="134" t="s">
        <v>339</v>
      </c>
      <c r="H33" s="134" t="s">
        <v>340</v>
      </c>
      <c r="I33" s="134">
        <v>9.107738272E9</v>
      </c>
      <c r="J33" s="54">
        <v>31.0</v>
      </c>
      <c r="K33" s="55">
        <v>28.0</v>
      </c>
      <c r="L33" s="55">
        <v>0.0</v>
      </c>
      <c r="M33" s="55">
        <v>0.0</v>
      </c>
      <c r="N33" s="43">
        <f t="shared" si="3"/>
        <v>0</v>
      </c>
      <c r="O33" s="55">
        <v>1.0</v>
      </c>
      <c r="P33" s="55">
        <v>3.0</v>
      </c>
      <c r="Q33" s="43">
        <f t="shared" si="4"/>
        <v>4</v>
      </c>
      <c r="R33" s="43"/>
      <c r="S33" s="55" t="s">
        <v>277</v>
      </c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156" t="s">
        <v>2321</v>
      </c>
      <c r="C34" s="37" t="s">
        <v>2403</v>
      </c>
      <c r="D34" s="37" t="s">
        <v>2408</v>
      </c>
      <c r="E34" s="133" t="s">
        <v>338</v>
      </c>
      <c r="F34" s="134">
        <v>47.0</v>
      </c>
      <c r="G34" s="134" t="s">
        <v>339</v>
      </c>
      <c r="H34" s="134" t="s">
        <v>833</v>
      </c>
      <c r="I34" s="134">
        <v>9.667957843E9</v>
      </c>
      <c r="J34" s="54">
        <v>21.0</v>
      </c>
      <c r="K34" s="55">
        <v>17.0</v>
      </c>
      <c r="L34" s="55">
        <v>0.0</v>
      </c>
      <c r="M34" s="55">
        <v>3.0</v>
      </c>
      <c r="N34" s="43">
        <f t="shared" si="3"/>
        <v>3</v>
      </c>
      <c r="O34" s="55">
        <v>11.0</v>
      </c>
      <c r="P34" s="55">
        <v>0.0</v>
      </c>
      <c r="Q34" s="43">
        <f t="shared" si="4"/>
        <v>14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160" t="s">
        <v>2409</v>
      </c>
      <c r="C35" s="37" t="s">
        <v>2410</v>
      </c>
      <c r="D35" s="37" t="s">
        <v>367</v>
      </c>
      <c r="E35" s="133" t="s">
        <v>338</v>
      </c>
      <c r="F35" s="134">
        <v>36.0</v>
      </c>
      <c r="G35" s="134" t="s">
        <v>339</v>
      </c>
      <c r="H35" s="134" t="s">
        <v>340</v>
      </c>
      <c r="I35" s="134">
        <v>9.227780141E9</v>
      </c>
      <c r="J35" s="161">
        <v>30.0</v>
      </c>
      <c r="K35" s="55">
        <v>27.0</v>
      </c>
      <c r="L35" s="55">
        <v>0.0</v>
      </c>
      <c r="M35" s="55">
        <v>3.0</v>
      </c>
      <c r="N35" s="43">
        <f t="shared" si="3"/>
        <v>3</v>
      </c>
      <c r="O35" s="55">
        <v>2.0</v>
      </c>
      <c r="P35" s="55">
        <v>0.0</v>
      </c>
      <c r="Q35" s="43">
        <f t="shared" si="4"/>
        <v>5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151" t="s">
        <v>202</v>
      </c>
      <c r="C36" s="37" t="s">
        <v>2411</v>
      </c>
      <c r="D36" s="37" t="s">
        <v>2412</v>
      </c>
      <c r="E36" s="133" t="s">
        <v>338</v>
      </c>
      <c r="F36" s="134">
        <v>53.0</v>
      </c>
      <c r="G36" s="134" t="s">
        <v>385</v>
      </c>
      <c r="H36" s="134" t="s">
        <v>340</v>
      </c>
      <c r="I36" s="134">
        <v>9.558346037E9</v>
      </c>
      <c r="J36" s="87">
        <v>24.0</v>
      </c>
      <c r="K36" s="55">
        <v>16.0</v>
      </c>
      <c r="L36" s="55">
        <v>1.0</v>
      </c>
      <c r="M36" s="55">
        <v>1.0</v>
      </c>
      <c r="N36" s="43">
        <f t="shared" si="3"/>
        <v>2</v>
      </c>
      <c r="O36" s="55">
        <v>8.0</v>
      </c>
      <c r="P36" s="55">
        <v>5.0</v>
      </c>
      <c r="Q36" s="43">
        <f t="shared" si="4"/>
        <v>15</v>
      </c>
      <c r="R36" s="43"/>
      <c r="S36" s="55" t="s">
        <v>237</v>
      </c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151" t="s">
        <v>1188</v>
      </c>
      <c r="C37" s="37" t="s">
        <v>1133</v>
      </c>
      <c r="D37" s="37" t="s">
        <v>128</v>
      </c>
      <c r="E37" s="133" t="s">
        <v>338</v>
      </c>
      <c r="F37" s="134">
        <v>39.0</v>
      </c>
      <c r="G37" s="134" t="s">
        <v>339</v>
      </c>
      <c r="H37" s="134" t="s">
        <v>368</v>
      </c>
      <c r="I37" s="134">
        <v>9.055292389E9</v>
      </c>
      <c r="J37" s="87">
        <v>23.0</v>
      </c>
      <c r="K37" s="55">
        <v>15.0</v>
      </c>
      <c r="L37" s="55">
        <v>0.0</v>
      </c>
      <c r="M37" s="55">
        <v>0.0</v>
      </c>
      <c r="N37" s="43">
        <f t="shared" si="3"/>
        <v>0</v>
      </c>
      <c r="O37" s="55">
        <v>9.0</v>
      </c>
      <c r="P37" s="55">
        <v>8.0</v>
      </c>
      <c r="Q37" s="43">
        <f t="shared" si="4"/>
        <v>17</v>
      </c>
      <c r="R37" s="43"/>
      <c r="S37" s="55" t="s">
        <v>88</v>
      </c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151" t="s">
        <v>2413</v>
      </c>
      <c r="C38" s="37" t="s">
        <v>2414</v>
      </c>
      <c r="D38" s="37" t="s">
        <v>2415</v>
      </c>
      <c r="E38" s="133" t="s">
        <v>338</v>
      </c>
      <c r="F38" s="134">
        <v>60.0</v>
      </c>
      <c r="G38" s="134" t="s">
        <v>339</v>
      </c>
      <c r="H38" s="134" t="s">
        <v>340</v>
      </c>
      <c r="I38" s="134">
        <v>9.185278706E9</v>
      </c>
      <c r="J38" s="87">
        <v>13.0</v>
      </c>
      <c r="K38" s="55">
        <v>13.0</v>
      </c>
      <c r="L38" s="55">
        <v>0.0</v>
      </c>
      <c r="M38" s="55">
        <v>0.0</v>
      </c>
      <c r="N38" s="43">
        <f t="shared" si="3"/>
        <v>0</v>
      </c>
      <c r="O38" s="55">
        <v>19.0</v>
      </c>
      <c r="P38" s="55">
        <v>0.0</v>
      </c>
      <c r="Q38" s="43">
        <f t="shared" si="4"/>
        <v>19</v>
      </c>
      <c r="R38" s="43"/>
      <c r="S38" s="55" t="s">
        <v>79</v>
      </c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151" t="s">
        <v>2416</v>
      </c>
      <c r="C39" s="37" t="s">
        <v>2417</v>
      </c>
      <c r="D39" s="37" t="s">
        <v>2418</v>
      </c>
      <c r="E39" s="133" t="s">
        <v>338</v>
      </c>
      <c r="F39" s="134">
        <v>44.0</v>
      </c>
      <c r="G39" s="134" t="s">
        <v>339</v>
      </c>
      <c r="H39" s="134" t="s">
        <v>340</v>
      </c>
      <c r="I39" s="134">
        <v>9.08383064E9</v>
      </c>
      <c r="J39" s="87">
        <v>25.0</v>
      </c>
      <c r="K39" s="55">
        <v>18.0</v>
      </c>
      <c r="L39" s="55">
        <v>0.0</v>
      </c>
      <c r="M39" s="55">
        <v>1.0</v>
      </c>
      <c r="N39" s="43">
        <f t="shared" si="3"/>
        <v>1</v>
      </c>
      <c r="O39" s="55">
        <v>7.0</v>
      </c>
      <c r="P39" s="55">
        <v>1.0</v>
      </c>
      <c r="Q39" s="43">
        <f t="shared" si="4"/>
        <v>9</v>
      </c>
      <c r="R39" s="43"/>
      <c r="S39" s="43"/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151" t="s">
        <v>2419</v>
      </c>
      <c r="C40" s="37" t="s">
        <v>2420</v>
      </c>
      <c r="D40" s="37" t="s">
        <v>2421</v>
      </c>
      <c r="E40" s="133" t="s">
        <v>338</v>
      </c>
      <c r="F40" s="134">
        <v>35.0</v>
      </c>
      <c r="G40" s="134" t="s">
        <v>339</v>
      </c>
      <c r="H40" s="134" t="s">
        <v>340</v>
      </c>
      <c r="I40" s="134">
        <v>9.763477133E9</v>
      </c>
      <c r="J40" s="83"/>
      <c r="K40" s="43"/>
      <c r="L40" s="43"/>
      <c r="M40" s="43"/>
      <c r="N40" s="43">
        <f t="shared" si="3"/>
        <v>0</v>
      </c>
      <c r="O40" s="43"/>
      <c r="P40" s="43"/>
      <c r="Q40" s="43">
        <f t="shared" si="4"/>
        <v>0</v>
      </c>
      <c r="R40" s="43"/>
      <c r="S40" s="43"/>
      <c r="T40" s="43"/>
      <c r="U40" s="43"/>
      <c r="V40" s="43"/>
      <c r="W40" s="44"/>
      <c r="Z40" s="61"/>
      <c r="AA40" s="61"/>
      <c r="AB40" s="66"/>
      <c r="AC40" s="34"/>
      <c r="AD40" s="34"/>
    </row>
    <row r="41" ht="13.5" customHeight="1">
      <c r="A41" s="28">
        <v>35.0</v>
      </c>
      <c r="B41" s="156" t="s">
        <v>2422</v>
      </c>
      <c r="C41" s="37" t="s">
        <v>2423</v>
      </c>
      <c r="D41" s="37" t="s">
        <v>2424</v>
      </c>
      <c r="E41" s="133" t="s">
        <v>338</v>
      </c>
      <c r="F41" s="134">
        <v>42.0</v>
      </c>
      <c r="G41" s="134" t="s">
        <v>339</v>
      </c>
      <c r="H41" s="134" t="s">
        <v>368</v>
      </c>
      <c r="I41" s="134">
        <v>9.458467948E9</v>
      </c>
      <c r="J41" s="87">
        <v>25.0</v>
      </c>
      <c r="K41" s="55">
        <v>22.0</v>
      </c>
      <c r="L41" s="55">
        <v>0.0</v>
      </c>
      <c r="M41" s="55">
        <v>2.0</v>
      </c>
      <c r="N41" s="43">
        <f t="shared" si="3"/>
        <v>2</v>
      </c>
      <c r="O41" s="55">
        <v>7.0</v>
      </c>
      <c r="P41" s="55">
        <v>1.0</v>
      </c>
      <c r="Q41" s="43">
        <f t="shared" si="4"/>
        <v>10</v>
      </c>
      <c r="R41" s="43"/>
      <c r="S41" s="43"/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155" t="s">
        <v>2425</v>
      </c>
      <c r="C42" s="37" t="s">
        <v>2426</v>
      </c>
      <c r="D42" s="37" t="s">
        <v>983</v>
      </c>
      <c r="E42" s="133" t="s">
        <v>338</v>
      </c>
      <c r="F42" s="134">
        <v>49.0</v>
      </c>
      <c r="G42" s="134" t="s">
        <v>339</v>
      </c>
      <c r="H42" s="134" t="s">
        <v>340</v>
      </c>
      <c r="I42" s="134">
        <v>9.636447457E9</v>
      </c>
      <c r="J42" s="87">
        <v>25.0</v>
      </c>
      <c r="K42" s="55">
        <v>20.0</v>
      </c>
      <c r="L42" s="55">
        <v>0.0</v>
      </c>
      <c r="M42" s="55">
        <v>2.0</v>
      </c>
      <c r="N42" s="43">
        <f t="shared" si="3"/>
        <v>2</v>
      </c>
      <c r="O42" s="55">
        <v>7.0</v>
      </c>
      <c r="P42" s="259">
        <v>3.0</v>
      </c>
      <c r="Q42" s="43">
        <f t="shared" si="4"/>
        <v>12</v>
      </c>
      <c r="R42" s="43"/>
      <c r="S42" s="55" t="s">
        <v>88</v>
      </c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151" t="s">
        <v>2427</v>
      </c>
      <c r="C43" s="37" t="s">
        <v>2428</v>
      </c>
      <c r="D43" s="37" t="s">
        <v>1337</v>
      </c>
      <c r="E43" s="133" t="s">
        <v>338</v>
      </c>
      <c r="F43" s="134">
        <v>36.0</v>
      </c>
      <c r="G43" s="134" t="s">
        <v>339</v>
      </c>
      <c r="H43" s="134" t="s">
        <v>340</v>
      </c>
      <c r="I43" s="134">
        <v>9.178713418E9</v>
      </c>
      <c r="J43" s="83"/>
      <c r="K43" s="43"/>
      <c r="L43" s="43"/>
      <c r="M43" s="43"/>
      <c r="N43" s="43">
        <f t="shared" si="3"/>
        <v>0</v>
      </c>
      <c r="O43" s="43"/>
      <c r="P43" s="43"/>
      <c r="Q43" s="43">
        <f t="shared" si="4"/>
        <v>0</v>
      </c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51" t="s">
        <v>2429</v>
      </c>
      <c r="C44" s="37" t="s">
        <v>993</v>
      </c>
      <c r="D44" s="37" t="s">
        <v>2430</v>
      </c>
      <c r="E44" s="133" t="s">
        <v>338</v>
      </c>
      <c r="F44" s="134">
        <v>26.0</v>
      </c>
      <c r="G44" s="134" t="s">
        <v>339</v>
      </c>
      <c r="H44" s="134" t="s">
        <v>340</v>
      </c>
      <c r="I44" s="134">
        <v>9.127751263E9</v>
      </c>
      <c r="J44" s="83"/>
      <c r="K44" s="43"/>
      <c r="L44" s="43"/>
      <c r="M44" s="43"/>
      <c r="N44" s="43">
        <f t="shared" si="3"/>
        <v>0</v>
      </c>
      <c r="O44" s="43"/>
      <c r="P44" s="43"/>
      <c r="Q44" s="43">
        <f t="shared" si="4"/>
        <v>0</v>
      </c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51" t="s">
        <v>2431</v>
      </c>
      <c r="C45" s="37" t="s">
        <v>1293</v>
      </c>
      <c r="D45" s="37" t="s">
        <v>2432</v>
      </c>
      <c r="E45" s="133" t="s">
        <v>338</v>
      </c>
      <c r="F45" s="134">
        <v>43.0</v>
      </c>
      <c r="G45" s="134" t="s">
        <v>339</v>
      </c>
      <c r="H45" s="134" t="s">
        <v>340</v>
      </c>
      <c r="I45" s="134">
        <v>9.464693287E9</v>
      </c>
      <c r="J45" s="87">
        <v>25.0</v>
      </c>
      <c r="K45" s="55">
        <v>21.0</v>
      </c>
      <c r="L45" s="55">
        <v>0.0</v>
      </c>
      <c r="M45" s="55">
        <v>0.0</v>
      </c>
      <c r="N45" s="43">
        <f t="shared" si="3"/>
        <v>0</v>
      </c>
      <c r="O45" s="55">
        <v>7.0</v>
      </c>
      <c r="P45" s="55">
        <v>4.0</v>
      </c>
      <c r="Q45" s="43">
        <f t="shared" si="4"/>
        <v>11</v>
      </c>
      <c r="R45" s="43"/>
      <c r="S45" s="43"/>
      <c r="T45" s="43"/>
      <c r="U45" s="43"/>
      <c r="V45" s="43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151" t="s">
        <v>2433</v>
      </c>
      <c r="C46" s="37" t="s">
        <v>2434</v>
      </c>
      <c r="D46" s="37" t="s">
        <v>2435</v>
      </c>
      <c r="E46" s="133" t="s">
        <v>338</v>
      </c>
      <c r="F46" s="134">
        <v>35.0</v>
      </c>
      <c r="G46" s="134" t="s">
        <v>339</v>
      </c>
      <c r="H46" s="134" t="s">
        <v>340</v>
      </c>
      <c r="I46" s="134">
        <v>9.300274889E9</v>
      </c>
      <c r="J46" s="83"/>
      <c r="K46" s="43"/>
      <c r="L46" s="43"/>
      <c r="M46" s="43"/>
      <c r="N46" s="43">
        <f t="shared" si="3"/>
        <v>0</v>
      </c>
      <c r="O46" s="43"/>
      <c r="P46" s="43"/>
      <c r="Q46" s="43">
        <f t="shared" si="4"/>
        <v>0</v>
      </c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51" t="s">
        <v>2436</v>
      </c>
      <c r="C47" s="37" t="s">
        <v>1193</v>
      </c>
      <c r="D47" s="37" t="s">
        <v>2437</v>
      </c>
      <c r="E47" s="133" t="s">
        <v>338</v>
      </c>
      <c r="F47" s="134">
        <v>35.0</v>
      </c>
      <c r="G47" s="134" t="s">
        <v>339</v>
      </c>
      <c r="H47" s="134" t="s">
        <v>340</v>
      </c>
      <c r="I47" s="134">
        <v>9.365709787E9</v>
      </c>
      <c r="J47" s="87">
        <v>28.0</v>
      </c>
      <c r="K47" s="55">
        <v>22.0</v>
      </c>
      <c r="L47" s="55">
        <v>2.0</v>
      </c>
      <c r="M47" s="55">
        <v>1.0</v>
      </c>
      <c r="N47" s="43">
        <f t="shared" si="3"/>
        <v>3</v>
      </c>
      <c r="O47" s="55">
        <v>4.0</v>
      </c>
      <c r="P47" s="55">
        <v>3.0</v>
      </c>
      <c r="Q47" s="43">
        <f t="shared" si="4"/>
        <v>10</v>
      </c>
      <c r="R47" s="43"/>
      <c r="S47" s="43"/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156" t="s">
        <v>165</v>
      </c>
      <c r="C48" s="37" t="s">
        <v>2438</v>
      </c>
      <c r="D48" s="37" t="s">
        <v>2439</v>
      </c>
      <c r="E48" s="133" t="s">
        <v>338</v>
      </c>
      <c r="F48" s="134">
        <v>39.0</v>
      </c>
      <c r="G48" s="134" t="s">
        <v>339</v>
      </c>
      <c r="H48" s="134" t="s">
        <v>839</v>
      </c>
      <c r="I48" s="134">
        <v>9.683462334E9</v>
      </c>
      <c r="J48" s="87">
        <v>29.0</v>
      </c>
      <c r="K48" s="55">
        <v>22.0</v>
      </c>
      <c r="L48" s="55">
        <v>1.0</v>
      </c>
      <c r="M48" s="55">
        <v>0.0</v>
      </c>
      <c r="N48" s="43">
        <f t="shared" si="3"/>
        <v>1</v>
      </c>
      <c r="O48" s="55">
        <v>3.0</v>
      </c>
      <c r="P48" s="55">
        <v>6.0</v>
      </c>
      <c r="Q48" s="43">
        <f t="shared" si="4"/>
        <v>10</v>
      </c>
      <c r="R48" s="43"/>
      <c r="S48" s="43"/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160" t="s">
        <v>2440</v>
      </c>
      <c r="C49" s="37" t="s">
        <v>1425</v>
      </c>
      <c r="D49" s="37" t="s">
        <v>1272</v>
      </c>
      <c r="E49" s="133" t="s">
        <v>338</v>
      </c>
      <c r="F49" s="142"/>
      <c r="G49" s="134" t="s">
        <v>339</v>
      </c>
      <c r="H49" s="134" t="s">
        <v>340</v>
      </c>
      <c r="I49" s="142"/>
      <c r="J49" s="83"/>
      <c r="K49" s="43"/>
      <c r="L49" s="43"/>
      <c r="M49" s="43"/>
      <c r="N49" s="43">
        <f t="shared" si="3"/>
        <v>0</v>
      </c>
      <c r="O49" s="43"/>
      <c r="P49" s="43"/>
      <c r="Q49" s="43">
        <f t="shared" si="4"/>
        <v>0</v>
      </c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51" t="s">
        <v>2441</v>
      </c>
      <c r="C50" s="37" t="s">
        <v>2442</v>
      </c>
      <c r="D50" s="37" t="s">
        <v>2443</v>
      </c>
      <c r="E50" s="133" t="s">
        <v>338</v>
      </c>
      <c r="F50" s="134">
        <v>44.0</v>
      </c>
      <c r="G50" s="134" t="s">
        <v>339</v>
      </c>
      <c r="H50" s="134" t="s">
        <v>340</v>
      </c>
      <c r="I50" s="142"/>
      <c r="J50" s="87">
        <v>27.0</v>
      </c>
      <c r="K50" s="55">
        <v>23.0</v>
      </c>
      <c r="L50" s="55">
        <v>0.0</v>
      </c>
      <c r="M50" s="55">
        <v>0.0</v>
      </c>
      <c r="N50" s="43">
        <f t="shared" si="3"/>
        <v>0</v>
      </c>
      <c r="O50" s="55">
        <v>5.0</v>
      </c>
      <c r="P50" s="55">
        <v>4.0</v>
      </c>
      <c r="Q50" s="43">
        <f t="shared" si="4"/>
        <v>9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7" t="s">
        <v>2444</v>
      </c>
      <c r="C51" s="37" t="s">
        <v>2168</v>
      </c>
      <c r="D51" s="37" t="s">
        <v>2445</v>
      </c>
      <c r="E51" s="133" t="s">
        <v>338</v>
      </c>
      <c r="F51" s="134">
        <v>45.0</v>
      </c>
      <c r="G51" s="134" t="s">
        <v>339</v>
      </c>
      <c r="H51" s="134" t="s">
        <v>349</v>
      </c>
      <c r="I51" s="163" t="s">
        <v>2446</v>
      </c>
      <c r="J51" s="87">
        <v>24.0</v>
      </c>
      <c r="K51" s="55">
        <v>19.0</v>
      </c>
      <c r="L51" s="55">
        <v>0.0</v>
      </c>
      <c r="M51" s="55">
        <v>1.0</v>
      </c>
      <c r="N51" s="43">
        <f t="shared" si="3"/>
        <v>1</v>
      </c>
      <c r="O51" s="55">
        <v>8.0</v>
      </c>
      <c r="P51" s="55">
        <v>2.0</v>
      </c>
      <c r="Q51" s="43">
        <f t="shared" si="4"/>
        <v>11</v>
      </c>
      <c r="R51" s="43"/>
      <c r="S51" s="55" t="s">
        <v>88</v>
      </c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37" t="s">
        <v>2447</v>
      </c>
      <c r="C52" s="37" t="s">
        <v>2448</v>
      </c>
      <c r="D52" s="37" t="s">
        <v>2449</v>
      </c>
      <c r="E52" s="133" t="s">
        <v>338</v>
      </c>
      <c r="F52" s="134">
        <v>38.0</v>
      </c>
      <c r="G52" s="134" t="s">
        <v>339</v>
      </c>
      <c r="H52" s="134" t="s">
        <v>349</v>
      </c>
      <c r="I52" s="134">
        <v>9.560285474E9</v>
      </c>
      <c r="J52" s="83"/>
      <c r="K52" s="43"/>
      <c r="L52" s="43"/>
      <c r="M52" s="43"/>
      <c r="N52" s="43">
        <f t="shared" si="3"/>
        <v>0</v>
      </c>
      <c r="O52" s="43"/>
      <c r="P52" s="43"/>
      <c r="Q52" s="43">
        <f t="shared" si="4"/>
        <v>0</v>
      </c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37" t="s">
        <v>2450</v>
      </c>
      <c r="C53" s="37" t="s">
        <v>2451</v>
      </c>
      <c r="D53" s="37" t="s">
        <v>2452</v>
      </c>
      <c r="E53" s="133" t="s">
        <v>338</v>
      </c>
      <c r="F53" s="134">
        <v>43.0</v>
      </c>
      <c r="G53" s="134" t="s">
        <v>339</v>
      </c>
      <c r="H53" s="134" t="s">
        <v>349</v>
      </c>
      <c r="I53" s="134">
        <v>9.672464869E9</v>
      </c>
      <c r="J53" s="87">
        <v>26.0</v>
      </c>
      <c r="K53" s="55">
        <v>26.0</v>
      </c>
      <c r="L53" s="55">
        <v>0.0</v>
      </c>
      <c r="M53" s="55">
        <v>0.0</v>
      </c>
      <c r="N53" s="43">
        <f t="shared" si="3"/>
        <v>0</v>
      </c>
      <c r="O53" s="55">
        <v>6.0</v>
      </c>
      <c r="P53" s="55">
        <v>0.0</v>
      </c>
      <c r="Q53" s="43">
        <f t="shared" si="4"/>
        <v>6</v>
      </c>
      <c r="R53" s="43"/>
      <c r="S53" s="43"/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37" t="s">
        <v>2453</v>
      </c>
      <c r="C54" s="37" t="s">
        <v>2454</v>
      </c>
      <c r="D54" s="37" t="s">
        <v>1069</v>
      </c>
      <c r="E54" s="133" t="s">
        <v>338</v>
      </c>
      <c r="F54" s="134">
        <v>43.0</v>
      </c>
      <c r="G54" s="134" t="s">
        <v>339</v>
      </c>
      <c r="H54" s="134" t="s">
        <v>340</v>
      </c>
      <c r="I54" s="134">
        <v>9.12612052E9</v>
      </c>
      <c r="J54" s="87">
        <v>24.0</v>
      </c>
      <c r="K54" s="55">
        <v>19.0</v>
      </c>
      <c r="L54" s="55">
        <v>0.0</v>
      </c>
      <c r="M54" s="55">
        <v>3.0</v>
      </c>
      <c r="N54" s="43">
        <f t="shared" si="3"/>
        <v>3</v>
      </c>
      <c r="O54" s="55">
        <v>8.0</v>
      </c>
      <c r="P54" s="55">
        <v>2.0</v>
      </c>
      <c r="Q54" s="43">
        <f t="shared" si="4"/>
        <v>13</v>
      </c>
      <c r="R54" s="43"/>
      <c r="S54" s="55" t="s">
        <v>237</v>
      </c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156" t="s">
        <v>1952</v>
      </c>
      <c r="C55" s="37" t="s">
        <v>1589</v>
      </c>
      <c r="D55" s="37" t="s">
        <v>1283</v>
      </c>
      <c r="E55" s="133" t="s">
        <v>338</v>
      </c>
      <c r="F55" s="134">
        <v>45.0</v>
      </c>
      <c r="G55" s="134" t="s">
        <v>339</v>
      </c>
      <c r="H55" s="134" t="s">
        <v>340</v>
      </c>
      <c r="I55" s="134">
        <v>9.68499294E9</v>
      </c>
      <c r="J55" s="87">
        <v>26.0</v>
      </c>
      <c r="K55" s="55">
        <v>20.0</v>
      </c>
      <c r="L55" s="55">
        <v>0.0</v>
      </c>
      <c r="M55" s="55">
        <v>0.0</v>
      </c>
      <c r="N55" s="43">
        <f t="shared" si="3"/>
        <v>0</v>
      </c>
      <c r="O55" s="55">
        <v>6.0</v>
      </c>
      <c r="P55" s="55">
        <v>6.0</v>
      </c>
      <c r="Q55" s="43">
        <f t="shared" si="4"/>
        <v>12</v>
      </c>
      <c r="R55" s="43"/>
      <c r="S55" s="55" t="s">
        <v>101</v>
      </c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37" t="s">
        <v>2455</v>
      </c>
      <c r="C56" s="37" t="s">
        <v>2456</v>
      </c>
      <c r="D56" s="37" t="s">
        <v>165</v>
      </c>
      <c r="E56" s="133" t="s">
        <v>338</v>
      </c>
      <c r="F56" s="134">
        <v>41.0</v>
      </c>
      <c r="G56" s="134" t="s">
        <v>339</v>
      </c>
      <c r="H56" s="134" t="s">
        <v>340</v>
      </c>
      <c r="I56" s="134">
        <v>9.290207988E9</v>
      </c>
      <c r="J56" s="87">
        <v>13.0</v>
      </c>
      <c r="K56" s="55">
        <v>12.0</v>
      </c>
      <c r="L56" s="55">
        <v>0.0</v>
      </c>
      <c r="M56" s="55">
        <v>1.0</v>
      </c>
      <c r="N56" s="43">
        <f t="shared" si="3"/>
        <v>1</v>
      </c>
      <c r="O56" s="55">
        <v>19.0</v>
      </c>
      <c r="P56" s="55">
        <v>0.0</v>
      </c>
      <c r="Q56" s="43">
        <f t="shared" si="4"/>
        <v>20</v>
      </c>
      <c r="R56" s="43"/>
      <c r="S56" s="55" t="s">
        <v>237</v>
      </c>
      <c r="T56" s="43"/>
      <c r="U56" s="43"/>
      <c r="V56" s="43"/>
      <c r="W56" s="56" t="s">
        <v>46</v>
      </c>
      <c r="Z56" s="61"/>
      <c r="AA56" s="61"/>
      <c r="AB56" s="66"/>
      <c r="AC56" s="34"/>
      <c r="AD56" s="34"/>
    </row>
    <row r="57" ht="13.5" customHeight="1">
      <c r="A57" s="28">
        <v>51.0</v>
      </c>
      <c r="B57" s="37" t="s">
        <v>2457</v>
      </c>
      <c r="C57" s="37" t="s">
        <v>2458</v>
      </c>
      <c r="D57" s="37" t="s">
        <v>2459</v>
      </c>
      <c r="E57" s="133" t="s">
        <v>338</v>
      </c>
      <c r="F57" s="134">
        <v>43.0</v>
      </c>
      <c r="G57" s="134" t="s">
        <v>339</v>
      </c>
      <c r="H57" s="134" t="s">
        <v>340</v>
      </c>
      <c r="I57" s="134">
        <v>9.260890683E9</v>
      </c>
      <c r="J57" s="87">
        <v>27.0</v>
      </c>
      <c r="K57" s="55">
        <v>27.0</v>
      </c>
      <c r="L57" s="55">
        <v>0.0</v>
      </c>
      <c r="M57" s="55">
        <v>0.0</v>
      </c>
      <c r="N57" s="43">
        <f t="shared" si="3"/>
        <v>0</v>
      </c>
      <c r="O57" s="55">
        <v>5.0</v>
      </c>
      <c r="P57" s="55">
        <v>0.0</v>
      </c>
      <c r="Q57" s="43">
        <f t="shared" si="4"/>
        <v>5</v>
      </c>
      <c r="R57" s="43"/>
      <c r="S57" s="43"/>
      <c r="T57" s="43"/>
      <c r="U57" s="43"/>
      <c r="V57" s="43"/>
      <c r="W57" s="56" t="s">
        <v>46</v>
      </c>
      <c r="Z57" s="61"/>
      <c r="AA57" s="61"/>
      <c r="AB57" s="66"/>
      <c r="AC57" s="34"/>
      <c r="AD57" s="34"/>
    </row>
    <row r="58" ht="13.5" customHeight="1">
      <c r="A58" s="28">
        <v>52.0</v>
      </c>
      <c r="B58" s="37" t="s">
        <v>2457</v>
      </c>
      <c r="C58" s="37" t="s">
        <v>2460</v>
      </c>
      <c r="D58" s="37" t="s">
        <v>2461</v>
      </c>
      <c r="E58" s="133" t="s">
        <v>338</v>
      </c>
      <c r="F58" s="134">
        <v>42.0</v>
      </c>
      <c r="G58" s="134" t="s">
        <v>339</v>
      </c>
      <c r="H58" s="134" t="s">
        <v>340</v>
      </c>
      <c r="I58" s="134">
        <v>9.395064957E9</v>
      </c>
      <c r="J58" s="87">
        <v>18.0</v>
      </c>
      <c r="K58" s="55">
        <v>11.0</v>
      </c>
      <c r="L58" s="55">
        <v>1.0</v>
      </c>
      <c r="M58" s="55">
        <v>4.0</v>
      </c>
      <c r="N58" s="43">
        <f t="shared" si="3"/>
        <v>5</v>
      </c>
      <c r="O58" s="55">
        <v>14.0</v>
      </c>
      <c r="P58" s="55">
        <v>2.0</v>
      </c>
      <c r="Q58" s="43">
        <f t="shared" si="4"/>
        <v>21</v>
      </c>
      <c r="R58" s="43"/>
      <c r="S58" s="43"/>
      <c r="T58" s="43"/>
      <c r="U58" s="55" t="s">
        <v>88</v>
      </c>
      <c r="V58" s="43"/>
      <c r="W58" s="56" t="s">
        <v>46</v>
      </c>
      <c r="Z58" s="61"/>
      <c r="AA58" s="61"/>
      <c r="AB58" s="66"/>
      <c r="AC58" s="34"/>
      <c r="AD58" s="34"/>
    </row>
    <row r="59" ht="13.5" customHeight="1">
      <c r="A59" s="28">
        <v>53.0</v>
      </c>
      <c r="B59" s="37" t="s">
        <v>2462</v>
      </c>
      <c r="C59" s="37" t="s">
        <v>2463</v>
      </c>
      <c r="D59" s="37" t="s">
        <v>2464</v>
      </c>
      <c r="E59" s="133" t="s">
        <v>338</v>
      </c>
      <c r="F59" s="134">
        <v>28.0</v>
      </c>
      <c r="G59" s="134" t="s">
        <v>339</v>
      </c>
      <c r="H59" s="134" t="s">
        <v>349</v>
      </c>
      <c r="I59" s="134">
        <v>9.813334856E9</v>
      </c>
      <c r="J59" s="87">
        <v>32.0</v>
      </c>
      <c r="K59" s="55">
        <v>32.0</v>
      </c>
      <c r="L59" s="55">
        <v>0.0</v>
      </c>
      <c r="M59" s="55">
        <v>0.0</v>
      </c>
      <c r="N59" s="43">
        <f t="shared" si="3"/>
        <v>0</v>
      </c>
      <c r="O59" s="55">
        <v>0.0</v>
      </c>
      <c r="P59" s="55">
        <v>0.0</v>
      </c>
      <c r="Q59" s="43">
        <f t="shared" si="4"/>
        <v>0</v>
      </c>
      <c r="R59" s="43"/>
      <c r="S59" s="43"/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37" t="s">
        <v>2465</v>
      </c>
      <c r="C60" s="37" t="s">
        <v>2466</v>
      </c>
      <c r="D60" s="37" t="s">
        <v>2467</v>
      </c>
      <c r="E60" s="133" t="s">
        <v>338</v>
      </c>
      <c r="F60" s="134">
        <v>26.0</v>
      </c>
      <c r="G60" s="134" t="s">
        <v>339</v>
      </c>
      <c r="H60" s="134" t="s">
        <v>349</v>
      </c>
      <c r="I60" s="134">
        <v>9.164367837E9</v>
      </c>
      <c r="J60" s="87">
        <v>29.0</v>
      </c>
      <c r="K60" s="55">
        <v>29.0</v>
      </c>
      <c r="L60" s="55">
        <v>0.0</v>
      </c>
      <c r="M60" s="55">
        <v>0.0</v>
      </c>
      <c r="N60" s="43">
        <f t="shared" si="3"/>
        <v>0</v>
      </c>
      <c r="O60" s="55">
        <v>3.0</v>
      </c>
      <c r="P60" s="55">
        <v>0.0</v>
      </c>
      <c r="Q60" s="43">
        <f t="shared" si="4"/>
        <v>3</v>
      </c>
      <c r="R60" s="43"/>
      <c r="S60" s="43"/>
      <c r="T60" s="43"/>
      <c r="U60" s="43"/>
      <c r="V60" s="43"/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37" t="s">
        <v>2468</v>
      </c>
      <c r="C61" s="37" t="s">
        <v>1731</v>
      </c>
      <c r="D61" s="37" t="s">
        <v>2469</v>
      </c>
      <c r="E61" s="133" t="s">
        <v>338</v>
      </c>
      <c r="F61" s="134">
        <v>31.0</v>
      </c>
      <c r="G61" s="134" t="s">
        <v>339</v>
      </c>
      <c r="H61" s="134" t="s">
        <v>349</v>
      </c>
      <c r="I61" s="134">
        <v>9.605314031E9</v>
      </c>
      <c r="J61" s="87">
        <v>30.0</v>
      </c>
      <c r="K61" s="55">
        <v>20.0</v>
      </c>
      <c r="L61" s="55">
        <v>0.0</v>
      </c>
      <c r="M61" s="55">
        <v>7.0</v>
      </c>
      <c r="N61" s="43">
        <f t="shared" si="3"/>
        <v>7</v>
      </c>
      <c r="O61" s="55">
        <v>2.0</v>
      </c>
      <c r="P61" s="55">
        <v>3.0</v>
      </c>
      <c r="Q61" s="43">
        <f t="shared" si="4"/>
        <v>12</v>
      </c>
      <c r="R61" s="43"/>
      <c r="S61" s="43"/>
      <c r="T61" s="43"/>
      <c r="U61" s="55" t="s">
        <v>101</v>
      </c>
      <c r="V61" s="55" t="s">
        <v>2470</v>
      </c>
      <c r="W61" s="56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37" t="s">
        <v>2471</v>
      </c>
      <c r="C62" s="37" t="s">
        <v>2472</v>
      </c>
      <c r="D62" s="37" t="s">
        <v>2473</v>
      </c>
      <c r="E62" s="133" t="s">
        <v>338</v>
      </c>
      <c r="F62" s="134">
        <v>32.0</v>
      </c>
      <c r="G62" s="134" t="s">
        <v>339</v>
      </c>
      <c r="H62" s="134" t="s">
        <v>349</v>
      </c>
      <c r="I62" s="134">
        <v>9.658910868E9</v>
      </c>
      <c r="J62" s="83"/>
      <c r="K62" s="43"/>
      <c r="L62" s="43"/>
      <c r="M62" s="43"/>
      <c r="N62" s="43">
        <f t="shared" si="3"/>
        <v>0</v>
      </c>
      <c r="O62" s="43"/>
      <c r="P62" s="43"/>
      <c r="Q62" s="43">
        <f t="shared" si="4"/>
        <v>0</v>
      </c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44" t="s">
        <v>2474</v>
      </c>
      <c r="C63" s="144" t="s">
        <v>2475</v>
      </c>
      <c r="D63" s="144" t="s">
        <v>2476</v>
      </c>
      <c r="E63" s="103" t="s">
        <v>2330</v>
      </c>
      <c r="F63" s="103">
        <v>29.0</v>
      </c>
      <c r="G63" s="103" t="s">
        <v>339</v>
      </c>
      <c r="H63" s="103" t="s">
        <v>349</v>
      </c>
      <c r="I63" s="82"/>
      <c r="J63" s="87">
        <v>29.0</v>
      </c>
      <c r="K63" s="55">
        <v>22.0</v>
      </c>
      <c r="L63" s="55">
        <v>2.0</v>
      </c>
      <c r="M63" s="55">
        <v>4.0</v>
      </c>
      <c r="N63" s="43">
        <f t="shared" si="3"/>
        <v>6</v>
      </c>
      <c r="O63" s="55">
        <v>3.0</v>
      </c>
      <c r="P63" s="55">
        <v>0.0</v>
      </c>
      <c r="Q63" s="43">
        <f t="shared" si="4"/>
        <v>9</v>
      </c>
      <c r="R63" s="43"/>
      <c r="S63" s="43"/>
      <c r="T63" s="43"/>
      <c r="U63" s="43"/>
      <c r="V63" s="43"/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144" t="s">
        <v>2477</v>
      </c>
      <c r="C64" s="144" t="s">
        <v>2478</v>
      </c>
      <c r="D64" s="144" t="s">
        <v>1563</v>
      </c>
      <c r="E64" s="103" t="s">
        <v>2330</v>
      </c>
      <c r="F64" s="103">
        <v>30.0</v>
      </c>
      <c r="G64" s="103" t="s">
        <v>339</v>
      </c>
      <c r="H64" s="103" t="s">
        <v>2479</v>
      </c>
      <c r="I64" s="82"/>
      <c r="J64" s="87">
        <v>32.0</v>
      </c>
      <c r="K64" s="55">
        <v>32.0</v>
      </c>
      <c r="L64" s="55">
        <v>0.0</v>
      </c>
      <c r="M64" s="55">
        <v>0.0</v>
      </c>
      <c r="N64" s="43">
        <f t="shared" si="3"/>
        <v>0</v>
      </c>
      <c r="O64" s="55">
        <v>0.0</v>
      </c>
      <c r="P64" s="55">
        <v>0.0</v>
      </c>
      <c r="Q64" s="43">
        <f t="shared" si="4"/>
        <v>0</v>
      </c>
      <c r="R64" s="43"/>
      <c r="S64" s="43"/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>
        <f t="shared" si="4"/>
        <v>0</v>
      </c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5">SUM(J7:J156)</f>
        <v>1263</v>
      </c>
      <c r="K157" s="123">
        <f t="shared" si="5"/>
        <v>1065</v>
      </c>
      <c r="L157" s="123">
        <f t="shared" si="5"/>
        <v>13</v>
      </c>
      <c r="M157" s="123">
        <f t="shared" si="5"/>
        <v>47</v>
      </c>
      <c r="N157" s="123">
        <f t="shared" si="5"/>
        <v>60</v>
      </c>
      <c r="O157" s="123">
        <f t="shared" si="5"/>
        <v>273</v>
      </c>
      <c r="P157" s="123">
        <f t="shared" si="5"/>
        <v>128</v>
      </c>
      <c r="Q157" s="123">
        <f t="shared" si="5"/>
        <v>461</v>
      </c>
      <c r="R157" s="124"/>
      <c r="S157" s="124"/>
      <c r="T157" s="125"/>
      <c r="U157" s="145" t="s">
        <v>330</v>
      </c>
      <c r="V157" s="5"/>
      <c r="W157" s="126">
        <f>COUNTIF(W7:W53,"yes")</f>
        <v>38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6.0" topLeftCell="J7" activePane="bottomRight" state="frozen"/>
      <selection activeCell="J1" sqref="J1" pane="topRight"/>
      <selection activeCell="A7" sqref="A7" pane="bottomLeft"/>
      <selection activeCell="J7" sqref="J7" pane="bottomRight"/>
    </sheetView>
  </sheetViews>
  <sheetFormatPr customHeight="1" defaultColWidth="12.63" defaultRowHeight="15.0"/>
  <cols>
    <col customWidth="1" min="1" max="1" width="8.63"/>
    <col customWidth="1" min="2" max="2" width="17.63"/>
    <col customWidth="1" min="3" max="3" width="16.38"/>
    <col customWidth="1" min="4" max="4" width="19.13"/>
    <col customWidth="1" min="5" max="5" width="17.5"/>
    <col customWidth="1" min="6" max="6" width="8.63"/>
    <col customWidth="1" min="7" max="7" width="14.5"/>
    <col customWidth="1" min="8" max="8" width="21.5"/>
    <col customWidth="1" min="9" max="9" width="0.38"/>
    <col customWidth="1" min="10" max="10" width="11.13"/>
    <col customWidth="1" min="11" max="11" width="10.88"/>
    <col customWidth="1" min="12" max="12" width="11.13"/>
    <col customWidth="1" min="13" max="13" width="11.75"/>
    <col customWidth="1" min="14" max="14" width="9.25"/>
    <col customWidth="1" min="15" max="18" width="8.63"/>
    <col customWidth="1" min="19" max="19" width="9.75"/>
    <col customWidth="1" min="20" max="20" width="14.38"/>
    <col customWidth="1" min="21" max="21" width="10.5"/>
    <col customWidth="1" min="22" max="22" width="16.63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32" t="s">
        <v>116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60"/>
      <c r="W1" s="5"/>
    </row>
    <row r="2" ht="16.5" customHeight="1">
      <c r="A2" s="6" t="s">
        <v>1</v>
      </c>
      <c r="B2" s="5"/>
      <c r="C2" s="7" t="s">
        <v>2480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261"/>
      <c r="W2" s="5"/>
    </row>
    <row r="3" ht="33.0" customHeight="1">
      <c r="A3" s="6" t="s">
        <v>3</v>
      </c>
      <c r="B3" s="5"/>
      <c r="C3" s="7" t="s">
        <v>2481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261"/>
      <c r="W3" s="5"/>
    </row>
    <row r="4" ht="17.25" customHeight="1">
      <c r="A4" s="12" t="s">
        <v>5</v>
      </c>
      <c r="B4" s="5"/>
      <c r="C4" s="7">
        <v>5439524.0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262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2482</v>
      </c>
      <c r="C7" s="37" t="s">
        <v>2483</v>
      </c>
      <c r="D7" s="37" t="s">
        <v>2484</v>
      </c>
      <c r="E7" s="133" t="s">
        <v>338</v>
      </c>
      <c r="F7" s="134">
        <v>49.0</v>
      </c>
      <c r="G7" s="134" t="s">
        <v>339</v>
      </c>
      <c r="H7" s="134" t="s">
        <v>340</v>
      </c>
      <c r="I7" s="134">
        <v>9.913375328E9</v>
      </c>
      <c r="J7" s="54">
        <v>10.0</v>
      </c>
      <c r="K7" s="55">
        <v>8.0</v>
      </c>
      <c r="L7" s="55">
        <v>0.0</v>
      </c>
      <c r="M7" s="55">
        <v>1.0</v>
      </c>
      <c r="N7" s="43">
        <f t="shared" ref="N7:N10" si="1">SUM(L7,M7)</f>
        <v>1</v>
      </c>
      <c r="O7" s="55">
        <v>22.0</v>
      </c>
      <c r="P7" s="55">
        <v>1.0</v>
      </c>
      <c r="Q7" s="43">
        <f t="shared" ref="Q7:Q44" si="2">SUM(N7,O7,P7)</f>
        <v>24</v>
      </c>
      <c r="R7" s="43"/>
      <c r="S7" s="55" t="s">
        <v>849</v>
      </c>
      <c r="T7" s="43"/>
      <c r="U7" s="43"/>
      <c r="V7" s="149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96</v>
      </c>
      <c r="C8" s="37" t="s">
        <v>2485</v>
      </c>
      <c r="D8" s="37" t="s">
        <v>2486</v>
      </c>
      <c r="E8" s="133" t="s">
        <v>338</v>
      </c>
      <c r="F8" s="134">
        <v>56.0</v>
      </c>
      <c r="G8" s="134" t="s">
        <v>339</v>
      </c>
      <c r="H8" s="134" t="s">
        <v>839</v>
      </c>
      <c r="I8" s="134">
        <v>9.296794225E9</v>
      </c>
      <c r="J8" s="54">
        <v>24.0</v>
      </c>
      <c r="K8" s="55">
        <v>20.0</v>
      </c>
      <c r="L8" s="55">
        <v>0.0</v>
      </c>
      <c r="M8" s="55">
        <v>0.0</v>
      </c>
      <c r="N8" s="43">
        <f t="shared" si="1"/>
        <v>0</v>
      </c>
      <c r="O8" s="55">
        <v>4.0</v>
      </c>
      <c r="P8" s="55">
        <v>4.0</v>
      </c>
      <c r="Q8" s="43">
        <f t="shared" si="2"/>
        <v>8</v>
      </c>
      <c r="R8" s="43"/>
      <c r="S8" s="43"/>
      <c r="T8" s="43"/>
      <c r="U8" s="43"/>
      <c r="V8" s="26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" t="s">
        <v>2487</v>
      </c>
      <c r="C9" s="37" t="s">
        <v>2488</v>
      </c>
      <c r="D9" s="37" t="s">
        <v>463</v>
      </c>
      <c r="E9" s="133" t="s">
        <v>338</v>
      </c>
      <c r="F9" s="134">
        <v>48.0</v>
      </c>
      <c r="G9" s="134" t="s">
        <v>339</v>
      </c>
      <c r="H9" s="134" t="s">
        <v>824</v>
      </c>
      <c r="I9" s="134">
        <v>9.451681142E9</v>
      </c>
      <c r="J9" s="54">
        <v>4.0</v>
      </c>
      <c r="K9" s="55">
        <v>4.0</v>
      </c>
      <c r="L9" s="55">
        <v>0.0</v>
      </c>
      <c r="M9" s="55">
        <v>0.0</v>
      </c>
      <c r="N9" s="43">
        <f t="shared" si="1"/>
        <v>0</v>
      </c>
      <c r="O9" s="55">
        <v>28.0</v>
      </c>
      <c r="P9" s="55">
        <v>0.0</v>
      </c>
      <c r="Q9" s="43">
        <f t="shared" si="2"/>
        <v>28</v>
      </c>
      <c r="R9" s="43"/>
      <c r="S9" s="55" t="s">
        <v>849</v>
      </c>
      <c r="T9" s="43"/>
      <c r="U9" s="43"/>
      <c r="V9" s="26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" t="s">
        <v>2487</v>
      </c>
      <c r="C10" s="37" t="s">
        <v>2489</v>
      </c>
      <c r="D10" s="37" t="s">
        <v>219</v>
      </c>
      <c r="E10" s="133" t="s">
        <v>338</v>
      </c>
      <c r="F10" s="134">
        <v>51.0</v>
      </c>
      <c r="G10" s="134" t="s">
        <v>339</v>
      </c>
      <c r="H10" s="134" t="s">
        <v>1308</v>
      </c>
      <c r="I10" s="134">
        <v>9.399393784E9</v>
      </c>
      <c r="J10" s="54">
        <v>29.0</v>
      </c>
      <c r="K10" s="55">
        <v>18.0</v>
      </c>
      <c r="L10" s="55">
        <v>0.0</v>
      </c>
      <c r="M10" s="55">
        <v>0.0</v>
      </c>
      <c r="N10" s="43">
        <f t="shared" si="1"/>
        <v>0</v>
      </c>
      <c r="O10" s="55">
        <v>3.0</v>
      </c>
      <c r="P10" s="55">
        <v>11.0</v>
      </c>
      <c r="Q10" s="43">
        <f t="shared" si="2"/>
        <v>14</v>
      </c>
      <c r="R10" s="43"/>
      <c r="S10" s="43"/>
      <c r="T10" s="43"/>
      <c r="U10" s="43"/>
      <c r="V10" s="149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" t="s">
        <v>1732</v>
      </c>
      <c r="C11" s="37" t="s">
        <v>2490</v>
      </c>
      <c r="D11" s="37" t="s">
        <v>2491</v>
      </c>
      <c r="E11" s="133" t="s">
        <v>338</v>
      </c>
      <c r="F11" s="134">
        <v>62.0</v>
      </c>
      <c r="G11" s="134" t="s">
        <v>339</v>
      </c>
      <c r="H11" s="134" t="s">
        <v>833</v>
      </c>
      <c r="I11" s="134">
        <v>9.194460416E9</v>
      </c>
      <c r="J11" s="42"/>
      <c r="K11" s="43"/>
      <c r="L11" s="43"/>
      <c r="M11" s="43"/>
      <c r="N11" s="43">
        <v>0.0</v>
      </c>
      <c r="O11" s="43"/>
      <c r="P11" s="43"/>
      <c r="Q11" s="43">
        <f t="shared" si="2"/>
        <v>0</v>
      </c>
      <c r="R11" s="43"/>
      <c r="S11" s="43"/>
      <c r="T11" s="43"/>
      <c r="U11" s="43"/>
      <c r="V11" s="263"/>
      <c r="W11" s="44"/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" t="s">
        <v>148</v>
      </c>
      <c r="C12" s="37" t="s">
        <v>2428</v>
      </c>
      <c r="D12" s="37" t="s">
        <v>2492</v>
      </c>
      <c r="E12" s="133" t="s">
        <v>338</v>
      </c>
      <c r="F12" s="134">
        <v>41.0</v>
      </c>
      <c r="G12" s="134" t="s">
        <v>339</v>
      </c>
      <c r="H12" s="134" t="s">
        <v>340</v>
      </c>
      <c r="I12" s="134">
        <v>9.430675656E9</v>
      </c>
      <c r="J12" s="54">
        <v>19.0</v>
      </c>
      <c r="K12" s="55">
        <v>10.0</v>
      </c>
      <c r="L12" s="55">
        <v>5.0</v>
      </c>
      <c r="M12" s="55">
        <v>4.0</v>
      </c>
      <c r="N12" s="43">
        <f t="shared" ref="N12:N44" si="3">SUM(L12,M12)</f>
        <v>9</v>
      </c>
      <c r="O12" s="55">
        <v>13.0</v>
      </c>
      <c r="P12" s="55">
        <v>0.0</v>
      </c>
      <c r="Q12" s="43">
        <f t="shared" si="2"/>
        <v>22</v>
      </c>
      <c r="R12" s="43"/>
      <c r="S12" s="55" t="s">
        <v>190</v>
      </c>
      <c r="T12" s="43"/>
      <c r="U12" s="43"/>
      <c r="V12" s="149"/>
      <c r="W12" s="56" t="s">
        <v>46</v>
      </c>
      <c r="Z12" s="34"/>
      <c r="AA12" s="60" t="s">
        <v>62</v>
      </c>
      <c r="AB12" s="58"/>
      <c r="AC12" s="58"/>
      <c r="AD12" s="46">
        <f>W157</f>
        <v>36</v>
      </c>
    </row>
    <row r="13" ht="13.5" customHeight="1">
      <c r="A13" s="28">
        <v>7.0</v>
      </c>
      <c r="B13" s="37" t="s">
        <v>2493</v>
      </c>
      <c r="C13" s="37" t="s">
        <v>2494</v>
      </c>
      <c r="D13" s="37" t="s">
        <v>2495</v>
      </c>
      <c r="E13" s="133" t="s">
        <v>338</v>
      </c>
      <c r="F13" s="134">
        <v>53.0</v>
      </c>
      <c r="G13" s="134" t="s">
        <v>385</v>
      </c>
      <c r="H13" s="134" t="s">
        <v>2496</v>
      </c>
      <c r="I13" s="134">
        <v>9.958976646E9</v>
      </c>
      <c r="J13" s="54">
        <v>18.0</v>
      </c>
      <c r="K13" s="55">
        <v>14.0</v>
      </c>
      <c r="L13" s="55">
        <v>0.0</v>
      </c>
      <c r="M13" s="55">
        <v>4.0</v>
      </c>
      <c r="N13" s="43">
        <f t="shared" si="3"/>
        <v>4</v>
      </c>
      <c r="O13" s="55">
        <v>4.0</v>
      </c>
      <c r="P13" s="55">
        <v>0.0</v>
      </c>
      <c r="Q13" s="43">
        <f t="shared" si="2"/>
        <v>8</v>
      </c>
      <c r="R13" s="43"/>
      <c r="S13" s="43"/>
      <c r="T13" s="43"/>
      <c r="U13" s="43"/>
      <c r="V13" s="26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37" t="s">
        <v>2497</v>
      </c>
      <c r="C14" s="37" t="s">
        <v>2498</v>
      </c>
      <c r="D14" s="37" t="s">
        <v>2499</v>
      </c>
      <c r="E14" s="133" t="s">
        <v>338</v>
      </c>
      <c r="F14" s="134">
        <v>43.0</v>
      </c>
      <c r="G14" s="134" t="s">
        <v>339</v>
      </c>
      <c r="H14" s="134" t="s">
        <v>839</v>
      </c>
      <c r="I14" s="134">
        <v>9.064998912E9</v>
      </c>
      <c r="J14" s="54">
        <v>21.0</v>
      </c>
      <c r="K14" s="55">
        <v>14.0</v>
      </c>
      <c r="L14" s="55">
        <v>0.0</v>
      </c>
      <c r="M14" s="55">
        <v>1.0</v>
      </c>
      <c r="N14" s="43">
        <f t="shared" si="3"/>
        <v>1</v>
      </c>
      <c r="O14" s="55">
        <v>11.0</v>
      </c>
      <c r="P14" s="55">
        <v>6.0</v>
      </c>
      <c r="Q14" s="43">
        <f t="shared" si="2"/>
        <v>18</v>
      </c>
      <c r="R14" s="43"/>
      <c r="S14" s="55" t="s">
        <v>190</v>
      </c>
      <c r="T14" s="43"/>
      <c r="U14" s="43"/>
      <c r="V14" s="149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" t="s">
        <v>2500</v>
      </c>
      <c r="C15" s="37" t="s">
        <v>2501</v>
      </c>
      <c r="D15" s="37" t="s">
        <v>2502</v>
      </c>
      <c r="E15" s="133" t="s">
        <v>338</v>
      </c>
      <c r="F15" s="134">
        <v>33.0</v>
      </c>
      <c r="G15" s="134" t="s">
        <v>339</v>
      </c>
      <c r="H15" s="134" t="s">
        <v>349</v>
      </c>
      <c r="I15" s="134">
        <v>9.165643662E9</v>
      </c>
      <c r="J15" s="54">
        <v>14.0</v>
      </c>
      <c r="K15" s="55">
        <v>10.0</v>
      </c>
      <c r="L15" s="55">
        <v>1.0</v>
      </c>
      <c r="M15" s="55">
        <v>3.0</v>
      </c>
      <c r="N15" s="43">
        <f t="shared" si="3"/>
        <v>4</v>
      </c>
      <c r="O15" s="55">
        <v>17.0</v>
      </c>
      <c r="P15" s="55">
        <v>0.0</v>
      </c>
      <c r="Q15" s="43">
        <f t="shared" si="2"/>
        <v>21</v>
      </c>
      <c r="R15" s="43"/>
      <c r="S15" s="55" t="s">
        <v>190</v>
      </c>
      <c r="T15" s="43"/>
      <c r="U15" s="43"/>
      <c r="V15" s="149"/>
      <c r="W15" s="56" t="s">
        <v>46</v>
      </c>
      <c r="Z15" s="62"/>
      <c r="AA15" s="63" t="s">
        <v>74</v>
      </c>
      <c r="AB15" s="64">
        <f>COUNTIF(S7:S157, "CD")</f>
        <v>6</v>
      </c>
      <c r="AC15" s="62"/>
      <c r="AD15" s="62"/>
    </row>
    <row r="16" ht="13.5" customHeight="1">
      <c r="A16" s="28">
        <v>10.0</v>
      </c>
      <c r="B16" s="37" t="s">
        <v>2503</v>
      </c>
      <c r="C16" s="37" t="s">
        <v>427</v>
      </c>
      <c r="D16" s="37" t="s">
        <v>488</v>
      </c>
      <c r="E16" s="133" t="s">
        <v>338</v>
      </c>
      <c r="F16" s="134">
        <v>55.0</v>
      </c>
      <c r="G16" s="134" t="s">
        <v>339</v>
      </c>
      <c r="H16" s="134" t="s">
        <v>349</v>
      </c>
      <c r="I16" s="134">
        <v>9.208304123E9</v>
      </c>
      <c r="J16" s="54">
        <v>0.0</v>
      </c>
      <c r="K16" s="55">
        <v>0.0</v>
      </c>
      <c r="L16" s="55">
        <v>0.0</v>
      </c>
      <c r="M16" s="55">
        <v>0.0</v>
      </c>
      <c r="N16" s="43">
        <f t="shared" si="3"/>
        <v>0</v>
      </c>
      <c r="O16" s="55">
        <v>32.0</v>
      </c>
      <c r="P16" s="55">
        <v>0.0</v>
      </c>
      <c r="Q16" s="43">
        <f t="shared" si="2"/>
        <v>32</v>
      </c>
      <c r="R16" s="43"/>
      <c r="S16" s="55" t="s">
        <v>2504</v>
      </c>
      <c r="T16" s="43"/>
      <c r="U16" s="43"/>
      <c r="V16" s="26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37" t="s">
        <v>2505</v>
      </c>
      <c r="C17" s="37" t="s">
        <v>1650</v>
      </c>
      <c r="D17" s="37" t="s">
        <v>2506</v>
      </c>
      <c r="E17" s="133" t="s">
        <v>338</v>
      </c>
      <c r="F17" s="134">
        <v>55.0</v>
      </c>
      <c r="G17" s="134" t="s">
        <v>339</v>
      </c>
      <c r="H17" s="134" t="s">
        <v>839</v>
      </c>
      <c r="I17" s="134">
        <v>9.477245612E9</v>
      </c>
      <c r="J17" s="54">
        <v>0.0</v>
      </c>
      <c r="K17" s="55">
        <v>0.0</v>
      </c>
      <c r="L17" s="55">
        <v>0.0</v>
      </c>
      <c r="M17" s="55">
        <v>0.0</v>
      </c>
      <c r="N17" s="43">
        <f t="shared" si="3"/>
        <v>0</v>
      </c>
      <c r="O17" s="55">
        <v>32.0</v>
      </c>
      <c r="P17" s="55">
        <v>0.0</v>
      </c>
      <c r="Q17" s="43">
        <f t="shared" si="2"/>
        <v>32</v>
      </c>
      <c r="R17" s="43"/>
      <c r="S17" s="55" t="s">
        <v>2504</v>
      </c>
      <c r="T17" s="43"/>
      <c r="U17" s="43"/>
      <c r="V17" s="149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" t="s">
        <v>2507</v>
      </c>
      <c r="C18" s="37" t="s">
        <v>2508</v>
      </c>
      <c r="D18" s="37" t="s">
        <v>2509</v>
      </c>
      <c r="E18" s="133" t="s">
        <v>338</v>
      </c>
      <c r="F18" s="134">
        <v>32.0</v>
      </c>
      <c r="G18" s="134" t="s">
        <v>339</v>
      </c>
      <c r="H18" s="134" t="s">
        <v>839</v>
      </c>
      <c r="I18" s="134">
        <v>9.307207888E9</v>
      </c>
      <c r="J18" s="54">
        <v>29.0</v>
      </c>
      <c r="K18" s="55">
        <v>24.0</v>
      </c>
      <c r="L18" s="55">
        <v>0.0</v>
      </c>
      <c r="M18" s="55">
        <v>3.0</v>
      </c>
      <c r="N18" s="43">
        <f t="shared" si="3"/>
        <v>3</v>
      </c>
      <c r="O18" s="55">
        <v>2.0</v>
      </c>
      <c r="P18" s="55">
        <v>2.0</v>
      </c>
      <c r="Q18" s="43">
        <f t="shared" si="2"/>
        <v>7</v>
      </c>
      <c r="R18" s="43"/>
      <c r="S18" s="43"/>
      <c r="T18" s="43"/>
      <c r="U18" s="43"/>
      <c r="V18" s="263"/>
      <c r="W18" s="56" t="s">
        <v>46</v>
      </c>
      <c r="Z18" s="34"/>
      <c r="AA18" s="61" t="s">
        <v>88</v>
      </c>
      <c r="AB18" s="66">
        <f>COUNTIF(S7:S157, "RPDU")</f>
        <v>6</v>
      </c>
      <c r="AC18" s="34"/>
      <c r="AD18" s="34"/>
    </row>
    <row r="19" ht="13.5" customHeight="1">
      <c r="A19" s="28">
        <v>13.0</v>
      </c>
      <c r="B19" s="37" t="s">
        <v>219</v>
      </c>
      <c r="C19" s="37" t="s">
        <v>2510</v>
      </c>
      <c r="D19" s="37" t="s">
        <v>2511</v>
      </c>
      <c r="E19" s="133" t="s">
        <v>338</v>
      </c>
      <c r="F19" s="134">
        <v>55.0</v>
      </c>
      <c r="G19" s="134" t="s">
        <v>339</v>
      </c>
      <c r="H19" s="134" t="s">
        <v>340</v>
      </c>
      <c r="I19" s="134">
        <v>9.298515566E9</v>
      </c>
      <c r="J19" s="54">
        <v>17.0</v>
      </c>
      <c r="K19" s="55">
        <v>15.0</v>
      </c>
      <c r="L19" s="55">
        <v>0.0</v>
      </c>
      <c r="M19" s="55">
        <v>2.0</v>
      </c>
      <c r="N19" s="43">
        <f t="shared" si="3"/>
        <v>2</v>
      </c>
      <c r="O19" s="55">
        <v>15.0</v>
      </c>
      <c r="P19" s="55">
        <v>0.0</v>
      </c>
      <c r="Q19" s="43">
        <f t="shared" si="2"/>
        <v>17</v>
      </c>
      <c r="R19" s="43"/>
      <c r="S19" s="43"/>
      <c r="T19" s="43"/>
      <c r="U19" s="43"/>
      <c r="V19" s="26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" t="s">
        <v>2447</v>
      </c>
      <c r="C20" s="37" t="s">
        <v>2512</v>
      </c>
      <c r="D20" s="37" t="s">
        <v>1076</v>
      </c>
      <c r="E20" s="133" t="s">
        <v>338</v>
      </c>
      <c r="F20" s="134">
        <v>40.0</v>
      </c>
      <c r="G20" s="134" t="s">
        <v>339</v>
      </c>
      <c r="H20" s="134" t="s">
        <v>340</v>
      </c>
      <c r="I20" s="134">
        <v>9.462984304E9</v>
      </c>
      <c r="J20" s="54">
        <v>30.0</v>
      </c>
      <c r="K20" s="55">
        <v>20.0</v>
      </c>
      <c r="L20" s="55">
        <v>0.0</v>
      </c>
      <c r="M20" s="55">
        <v>3.0</v>
      </c>
      <c r="N20" s="43">
        <f t="shared" si="3"/>
        <v>3</v>
      </c>
      <c r="O20" s="55">
        <v>2.0</v>
      </c>
      <c r="P20" s="55">
        <v>7.0</v>
      </c>
      <c r="Q20" s="43">
        <f t="shared" si="2"/>
        <v>12</v>
      </c>
      <c r="R20" s="43"/>
      <c r="S20" s="55" t="s">
        <v>190</v>
      </c>
      <c r="T20" s="43"/>
      <c r="U20" s="43"/>
      <c r="V20" s="263"/>
      <c r="W20" s="56" t="s">
        <v>46</v>
      </c>
      <c r="Z20" s="34"/>
      <c r="AA20" s="61" t="s">
        <v>97</v>
      </c>
      <c r="AB20" s="66">
        <f>COUNTIF(S7:S157, "RPDUL")</f>
        <v>2</v>
      </c>
      <c r="AC20" s="34"/>
      <c r="AD20" s="34"/>
    </row>
    <row r="21" ht="13.5" customHeight="1">
      <c r="A21" s="28">
        <v>15.0</v>
      </c>
      <c r="B21" s="37" t="s">
        <v>2513</v>
      </c>
      <c r="C21" s="37" t="s">
        <v>2514</v>
      </c>
      <c r="D21" s="37" t="s">
        <v>2515</v>
      </c>
      <c r="E21" s="133" t="s">
        <v>338</v>
      </c>
      <c r="F21" s="134">
        <v>45.0</v>
      </c>
      <c r="G21" s="134" t="s">
        <v>339</v>
      </c>
      <c r="H21" s="134" t="s">
        <v>349</v>
      </c>
      <c r="I21" s="134">
        <v>9.500166264E9</v>
      </c>
      <c r="J21" s="54">
        <v>26.0</v>
      </c>
      <c r="K21" s="55">
        <v>22.0</v>
      </c>
      <c r="L21" s="55">
        <v>0.0</v>
      </c>
      <c r="M21" s="55">
        <v>4.0</v>
      </c>
      <c r="N21" s="43">
        <f t="shared" si="3"/>
        <v>4</v>
      </c>
      <c r="O21" s="55">
        <v>6.0</v>
      </c>
      <c r="P21" s="55">
        <v>0.0</v>
      </c>
      <c r="Q21" s="43">
        <f t="shared" si="2"/>
        <v>10</v>
      </c>
      <c r="R21" s="43"/>
      <c r="S21" s="43"/>
      <c r="T21" s="43"/>
      <c r="U21" s="43"/>
      <c r="V21" s="149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37" t="s">
        <v>1247</v>
      </c>
      <c r="C22" s="37" t="s">
        <v>2516</v>
      </c>
      <c r="D22" s="37" t="s">
        <v>2517</v>
      </c>
      <c r="E22" s="133" t="s">
        <v>338</v>
      </c>
      <c r="F22" s="134">
        <v>43.0</v>
      </c>
      <c r="G22" s="134" t="s">
        <v>385</v>
      </c>
      <c r="H22" s="134" t="s">
        <v>349</v>
      </c>
      <c r="I22" s="134">
        <v>9.451668524E9</v>
      </c>
      <c r="J22" s="54">
        <v>24.0</v>
      </c>
      <c r="K22" s="55">
        <v>18.0</v>
      </c>
      <c r="L22" s="55">
        <v>2.0</v>
      </c>
      <c r="M22" s="55">
        <v>2.0</v>
      </c>
      <c r="N22" s="43">
        <f t="shared" si="3"/>
        <v>4</v>
      </c>
      <c r="O22" s="55">
        <v>8.0</v>
      </c>
      <c r="P22" s="55">
        <v>2.0</v>
      </c>
      <c r="Q22" s="43">
        <f t="shared" si="2"/>
        <v>14</v>
      </c>
      <c r="R22" s="43"/>
      <c r="S22" s="43"/>
      <c r="T22" s="43"/>
      <c r="U22" s="43"/>
      <c r="V22" s="26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37" t="s">
        <v>2518</v>
      </c>
      <c r="C23" s="37" t="s">
        <v>2519</v>
      </c>
      <c r="D23" s="37" t="s">
        <v>1255</v>
      </c>
      <c r="E23" s="133" t="s">
        <v>338</v>
      </c>
      <c r="F23" s="134">
        <v>31.0</v>
      </c>
      <c r="G23" s="134" t="s">
        <v>385</v>
      </c>
      <c r="H23" s="134" t="s">
        <v>87</v>
      </c>
      <c r="I23" s="134">
        <v>9.684993213E9</v>
      </c>
      <c r="J23" s="54">
        <v>30.0</v>
      </c>
      <c r="K23" s="55">
        <v>26.0</v>
      </c>
      <c r="L23" s="55">
        <v>0.0</v>
      </c>
      <c r="M23" s="55">
        <v>3.0</v>
      </c>
      <c r="N23" s="43">
        <f t="shared" si="3"/>
        <v>3</v>
      </c>
      <c r="O23" s="55">
        <v>2.0</v>
      </c>
      <c r="P23" s="55">
        <v>1.0</v>
      </c>
      <c r="Q23" s="43">
        <f t="shared" si="2"/>
        <v>6</v>
      </c>
      <c r="R23" s="43"/>
      <c r="S23" s="55" t="s">
        <v>2520</v>
      </c>
      <c r="T23" s="43"/>
      <c r="U23" s="43"/>
      <c r="V23" s="264" t="s">
        <v>2521</v>
      </c>
      <c r="W23" s="56" t="s">
        <v>46</v>
      </c>
      <c r="Z23" s="34"/>
      <c r="AA23" s="61" t="s">
        <v>109</v>
      </c>
      <c r="AB23" s="66">
        <f>COUNTIF(S7:S157, "Ortho")</f>
        <v>0</v>
      </c>
      <c r="AC23" s="34"/>
      <c r="AD23" s="34"/>
    </row>
    <row r="24" ht="13.5" customHeight="1">
      <c r="A24" s="28">
        <v>18.0</v>
      </c>
      <c r="B24" s="37" t="s">
        <v>2522</v>
      </c>
      <c r="C24" s="37" t="s">
        <v>2523</v>
      </c>
      <c r="D24" s="37" t="s">
        <v>2524</v>
      </c>
      <c r="E24" s="133" t="s">
        <v>338</v>
      </c>
      <c r="F24" s="134">
        <v>59.0</v>
      </c>
      <c r="G24" s="134" t="s">
        <v>385</v>
      </c>
      <c r="H24" s="134" t="s">
        <v>368</v>
      </c>
      <c r="I24" s="134">
        <v>9.367867615E9</v>
      </c>
      <c r="J24" s="54">
        <v>9.0</v>
      </c>
      <c r="K24" s="55">
        <v>2.0</v>
      </c>
      <c r="L24" s="55">
        <v>2.0</v>
      </c>
      <c r="M24" s="55">
        <v>4.0</v>
      </c>
      <c r="N24" s="43">
        <f t="shared" si="3"/>
        <v>6</v>
      </c>
      <c r="O24" s="55">
        <v>23.0</v>
      </c>
      <c r="P24" s="55">
        <v>1.0</v>
      </c>
      <c r="Q24" s="43">
        <f t="shared" si="2"/>
        <v>30</v>
      </c>
      <c r="R24" s="43"/>
      <c r="S24" s="43"/>
      <c r="T24" s="43"/>
      <c r="U24" s="43"/>
      <c r="V24" s="149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37" t="s">
        <v>2525</v>
      </c>
      <c r="C25" s="37" t="s">
        <v>377</v>
      </c>
      <c r="D25" s="37" t="s">
        <v>2526</v>
      </c>
      <c r="E25" s="133" t="s">
        <v>338</v>
      </c>
      <c r="F25" s="134">
        <v>48.0</v>
      </c>
      <c r="G25" s="134" t="s">
        <v>339</v>
      </c>
      <c r="H25" s="134" t="s">
        <v>839</v>
      </c>
      <c r="I25" s="134">
        <v>9.212142488E9</v>
      </c>
      <c r="J25" s="54">
        <v>0.0</v>
      </c>
      <c r="K25" s="55">
        <v>0.0</v>
      </c>
      <c r="L25" s="55">
        <v>0.0</v>
      </c>
      <c r="M25" s="55">
        <v>0.0</v>
      </c>
      <c r="N25" s="43">
        <f t="shared" si="3"/>
        <v>0</v>
      </c>
      <c r="O25" s="55">
        <v>32.0</v>
      </c>
      <c r="P25" s="55">
        <v>0.0</v>
      </c>
      <c r="Q25" s="43">
        <f t="shared" si="2"/>
        <v>32</v>
      </c>
      <c r="R25" s="43"/>
      <c r="S25" s="55" t="s">
        <v>2504</v>
      </c>
      <c r="T25" s="43"/>
      <c r="U25" s="43"/>
      <c r="V25" s="26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37" t="s">
        <v>1043</v>
      </c>
      <c r="C26" s="37" t="s">
        <v>2527</v>
      </c>
      <c r="D26" s="37" t="s">
        <v>232</v>
      </c>
      <c r="E26" s="133" t="s">
        <v>338</v>
      </c>
      <c r="F26" s="134">
        <v>53.0</v>
      </c>
      <c r="G26" s="134" t="s">
        <v>339</v>
      </c>
      <c r="H26" s="134" t="s">
        <v>833</v>
      </c>
      <c r="I26" s="134">
        <v>9.390507761E9</v>
      </c>
      <c r="J26" s="54">
        <v>0.0</v>
      </c>
      <c r="K26" s="55">
        <v>0.0</v>
      </c>
      <c r="L26" s="55">
        <v>0.0</v>
      </c>
      <c r="M26" s="55">
        <v>0.0</v>
      </c>
      <c r="N26" s="43">
        <f t="shared" si="3"/>
        <v>0</v>
      </c>
      <c r="O26" s="55">
        <v>32.0</v>
      </c>
      <c r="P26" s="55">
        <v>0.0</v>
      </c>
      <c r="Q26" s="43">
        <f t="shared" si="2"/>
        <v>32</v>
      </c>
      <c r="R26" s="43"/>
      <c r="S26" s="55" t="s">
        <v>2504</v>
      </c>
      <c r="T26" s="43"/>
      <c r="U26" s="43"/>
      <c r="V26" s="149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37" t="s">
        <v>2528</v>
      </c>
      <c r="C27" s="37" t="s">
        <v>2529</v>
      </c>
      <c r="D27" s="37" t="s">
        <v>2530</v>
      </c>
      <c r="E27" s="133" t="s">
        <v>338</v>
      </c>
      <c r="F27" s="134">
        <v>54.0</v>
      </c>
      <c r="G27" s="134" t="s">
        <v>339</v>
      </c>
      <c r="H27" s="134" t="s">
        <v>349</v>
      </c>
      <c r="I27" s="134">
        <v>9.318823291E9</v>
      </c>
      <c r="J27" s="54">
        <v>14.0</v>
      </c>
      <c r="K27" s="55">
        <v>9.0</v>
      </c>
      <c r="L27" s="55">
        <v>1.0</v>
      </c>
      <c r="M27" s="55">
        <v>4.0</v>
      </c>
      <c r="N27" s="43">
        <f t="shared" si="3"/>
        <v>5</v>
      </c>
      <c r="O27" s="55">
        <v>18.0</v>
      </c>
      <c r="P27" s="55">
        <v>0.0</v>
      </c>
      <c r="Q27" s="43">
        <f t="shared" si="2"/>
        <v>23</v>
      </c>
      <c r="R27" s="43"/>
      <c r="S27" s="43"/>
      <c r="T27" s="43"/>
      <c r="U27" s="43"/>
      <c r="V27" s="26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37" t="s">
        <v>2531</v>
      </c>
      <c r="C28" s="37" t="s">
        <v>2532</v>
      </c>
      <c r="D28" s="37" t="s">
        <v>1020</v>
      </c>
      <c r="E28" s="133" t="s">
        <v>338</v>
      </c>
      <c r="F28" s="134">
        <v>56.0</v>
      </c>
      <c r="G28" s="134" t="s">
        <v>339</v>
      </c>
      <c r="H28" s="134" t="s">
        <v>1308</v>
      </c>
      <c r="I28" s="134">
        <v>9.605314012E9</v>
      </c>
      <c r="J28" s="54">
        <v>0.0</v>
      </c>
      <c r="K28" s="55">
        <v>0.0</v>
      </c>
      <c r="L28" s="55">
        <v>0.0</v>
      </c>
      <c r="M28" s="55">
        <v>0.0</v>
      </c>
      <c r="N28" s="43">
        <f t="shared" si="3"/>
        <v>0</v>
      </c>
      <c r="O28" s="55">
        <v>32.0</v>
      </c>
      <c r="P28" s="55">
        <v>0.0</v>
      </c>
      <c r="Q28" s="43">
        <f t="shared" si="2"/>
        <v>32</v>
      </c>
      <c r="R28" s="43"/>
      <c r="S28" s="55" t="s">
        <v>2504</v>
      </c>
      <c r="T28" s="43"/>
      <c r="U28" s="43"/>
      <c r="V28" s="149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37" t="s">
        <v>2533</v>
      </c>
      <c r="C29" s="37" t="s">
        <v>2534</v>
      </c>
      <c r="D29" s="37" t="s">
        <v>2535</v>
      </c>
      <c r="E29" s="133" t="s">
        <v>338</v>
      </c>
      <c r="F29" s="134">
        <v>48.0</v>
      </c>
      <c r="G29" s="134" t="s">
        <v>339</v>
      </c>
      <c r="H29" s="134" t="s">
        <v>833</v>
      </c>
      <c r="I29" s="134">
        <v>9.186163859E9</v>
      </c>
      <c r="J29" s="54">
        <v>25.0</v>
      </c>
      <c r="K29" s="55">
        <v>20.0</v>
      </c>
      <c r="L29" s="55">
        <v>0.0</v>
      </c>
      <c r="M29" s="55">
        <v>0.0</v>
      </c>
      <c r="N29" s="43">
        <f t="shared" si="3"/>
        <v>0</v>
      </c>
      <c r="O29" s="55">
        <v>7.0</v>
      </c>
      <c r="P29" s="55">
        <v>5.0</v>
      </c>
      <c r="Q29" s="43">
        <f t="shared" si="2"/>
        <v>12</v>
      </c>
      <c r="R29" s="43"/>
      <c r="S29" s="43"/>
      <c r="T29" s="43"/>
      <c r="U29" s="43"/>
      <c r="V29" s="149"/>
      <c r="W29" s="56" t="s">
        <v>46</v>
      </c>
      <c r="Z29" s="34"/>
      <c r="AA29" s="34"/>
      <c r="AB29" s="34"/>
      <c r="AC29" s="34"/>
      <c r="AD29" s="34"/>
    </row>
    <row r="30" ht="14.25" customHeight="1">
      <c r="A30" s="28">
        <v>24.0</v>
      </c>
      <c r="B30" s="37" t="s">
        <v>2536</v>
      </c>
      <c r="C30" s="37" t="s">
        <v>2537</v>
      </c>
      <c r="D30" s="37" t="s">
        <v>2538</v>
      </c>
      <c r="E30" s="133" t="s">
        <v>338</v>
      </c>
      <c r="F30" s="134">
        <v>40.0</v>
      </c>
      <c r="G30" s="134" t="s">
        <v>339</v>
      </c>
      <c r="H30" s="134" t="s">
        <v>833</v>
      </c>
      <c r="I30" s="134">
        <v>9.39191546E9</v>
      </c>
      <c r="J30" s="54">
        <v>30.0</v>
      </c>
      <c r="K30" s="55">
        <v>24.0</v>
      </c>
      <c r="L30" s="55">
        <v>0.0</v>
      </c>
      <c r="M30" s="55">
        <v>3.0</v>
      </c>
      <c r="N30" s="43">
        <f t="shared" si="3"/>
        <v>3</v>
      </c>
      <c r="O30" s="55">
        <v>2.0</v>
      </c>
      <c r="P30" s="55">
        <v>3.0</v>
      </c>
      <c r="Q30" s="43">
        <f t="shared" si="2"/>
        <v>8</v>
      </c>
      <c r="R30" s="43"/>
      <c r="S30" s="43"/>
      <c r="T30" s="43"/>
      <c r="U30" s="43"/>
      <c r="V30" s="26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37" t="s">
        <v>2149</v>
      </c>
      <c r="C31" s="37" t="s">
        <v>2539</v>
      </c>
      <c r="D31" s="37" t="s">
        <v>2540</v>
      </c>
      <c r="E31" s="133" t="s">
        <v>338</v>
      </c>
      <c r="F31" s="134">
        <v>29.0</v>
      </c>
      <c r="G31" s="134" t="s">
        <v>339</v>
      </c>
      <c r="H31" s="134" t="s">
        <v>349</v>
      </c>
      <c r="I31" s="134">
        <v>9.155878785E9</v>
      </c>
      <c r="J31" s="54">
        <v>27.0</v>
      </c>
      <c r="K31" s="55">
        <v>20.0</v>
      </c>
      <c r="L31" s="55">
        <v>0.0</v>
      </c>
      <c r="M31" s="55">
        <v>6.0</v>
      </c>
      <c r="N31" s="43">
        <f t="shared" si="3"/>
        <v>6</v>
      </c>
      <c r="O31" s="55">
        <v>5.0</v>
      </c>
      <c r="P31" s="55">
        <v>1.0</v>
      </c>
      <c r="Q31" s="43">
        <f t="shared" si="2"/>
        <v>12</v>
      </c>
      <c r="R31" s="43"/>
      <c r="S31" s="43"/>
      <c r="T31" s="43"/>
      <c r="U31" s="43"/>
      <c r="V31" s="149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37" t="s">
        <v>2541</v>
      </c>
      <c r="C32" s="37" t="s">
        <v>2542</v>
      </c>
      <c r="D32" s="37" t="s">
        <v>477</v>
      </c>
      <c r="E32" s="133" t="s">
        <v>338</v>
      </c>
      <c r="F32" s="134">
        <v>35.0</v>
      </c>
      <c r="G32" s="134" t="s">
        <v>339</v>
      </c>
      <c r="H32" s="134" t="s">
        <v>839</v>
      </c>
      <c r="I32" s="134">
        <v>9.287217084E9</v>
      </c>
      <c r="J32" s="54">
        <v>22.0</v>
      </c>
      <c r="K32" s="55">
        <v>15.0</v>
      </c>
      <c r="L32" s="55">
        <v>2.0</v>
      </c>
      <c r="M32" s="55">
        <v>1.0</v>
      </c>
      <c r="N32" s="43">
        <f t="shared" si="3"/>
        <v>3</v>
      </c>
      <c r="O32" s="55">
        <v>10.0</v>
      </c>
      <c r="P32" s="55">
        <v>4.0</v>
      </c>
      <c r="Q32" s="43">
        <f t="shared" si="2"/>
        <v>17</v>
      </c>
      <c r="R32" s="43"/>
      <c r="S32" s="43"/>
      <c r="T32" s="43"/>
      <c r="U32" s="43"/>
      <c r="V32" s="263"/>
      <c r="W32" s="56" t="s">
        <v>46</v>
      </c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37" t="s">
        <v>2543</v>
      </c>
      <c r="C33" s="37" t="s">
        <v>2544</v>
      </c>
      <c r="D33" s="37" t="s">
        <v>2545</v>
      </c>
      <c r="E33" s="133" t="s">
        <v>338</v>
      </c>
      <c r="F33" s="134">
        <v>44.0</v>
      </c>
      <c r="G33" s="134" t="s">
        <v>339</v>
      </c>
      <c r="H33" s="134" t="s">
        <v>340</v>
      </c>
      <c r="I33" s="134">
        <v>9.662255385E9</v>
      </c>
      <c r="J33" s="54">
        <v>32.0</v>
      </c>
      <c r="K33" s="55">
        <v>27.0</v>
      </c>
      <c r="L33" s="55">
        <v>0.0</v>
      </c>
      <c r="M33" s="55">
        <v>5.0</v>
      </c>
      <c r="N33" s="43">
        <f t="shared" si="3"/>
        <v>5</v>
      </c>
      <c r="O33" s="55">
        <v>0.0</v>
      </c>
      <c r="P33" s="55">
        <v>0.0</v>
      </c>
      <c r="Q33" s="43">
        <f t="shared" si="2"/>
        <v>5</v>
      </c>
      <c r="R33" s="43"/>
      <c r="S33" s="43"/>
      <c r="T33" s="43"/>
      <c r="U33" s="43"/>
      <c r="V33" s="26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37" t="s">
        <v>2546</v>
      </c>
      <c r="C34" s="37" t="s">
        <v>2547</v>
      </c>
      <c r="D34" s="37" t="s">
        <v>1732</v>
      </c>
      <c r="E34" s="133" t="s">
        <v>338</v>
      </c>
      <c r="F34" s="134">
        <v>42.0</v>
      </c>
      <c r="G34" s="134" t="s">
        <v>339</v>
      </c>
      <c r="H34" s="134" t="s">
        <v>340</v>
      </c>
      <c r="I34" s="134">
        <v>9.777873182E9</v>
      </c>
      <c r="J34" s="54">
        <v>24.0</v>
      </c>
      <c r="K34" s="55">
        <v>21.0</v>
      </c>
      <c r="L34" s="55">
        <v>0.0</v>
      </c>
      <c r="M34" s="55">
        <v>3.0</v>
      </c>
      <c r="N34" s="43">
        <f t="shared" si="3"/>
        <v>3</v>
      </c>
      <c r="O34" s="55">
        <v>7.0</v>
      </c>
      <c r="P34" s="55">
        <v>0.0</v>
      </c>
      <c r="Q34" s="43">
        <f t="shared" si="2"/>
        <v>10</v>
      </c>
      <c r="R34" s="43"/>
      <c r="S34" s="43"/>
      <c r="T34" s="43"/>
      <c r="U34" s="43"/>
      <c r="V34" s="26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37" t="s">
        <v>2548</v>
      </c>
      <c r="C35" s="37" t="s">
        <v>2549</v>
      </c>
      <c r="D35" s="37" t="s">
        <v>2550</v>
      </c>
      <c r="E35" s="133" t="s">
        <v>338</v>
      </c>
      <c r="F35" s="134">
        <v>46.0</v>
      </c>
      <c r="G35" s="134" t="s">
        <v>339</v>
      </c>
      <c r="H35" s="134" t="s">
        <v>340</v>
      </c>
      <c r="I35" s="134">
        <v>9.472668336E9</v>
      </c>
      <c r="J35" s="161">
        <v>27.0</v>
      </c>
      <c r="K35" s="55">
        <v>22.0</v>
      </c>
      <c r="L35" s="55">
        <v>0.0</v>
      </c>
      <c r="M35" s="55">
        <v>0.0</v>
      </c>
      <c r="N35" s="43">
        <f t="shared" si="3"/>
        <v>0</v>
      </c>
      <c r="O35" s="55">
        <v>3.0</v>
      </c>
      <c r="P35" s="55">
        <v>5.0</v>
      </c>
      <c r="Q35" s="43">
        <f t="shared" si="2"/>
        <v>8</v>
      </c>
      <c r="R35" s="43"/>
      <c r="S35" s="55" t="s">
        <v>190</v>
      </c>
      <c r="T35" s="43"/>
      <c r="U35" s="43"/>
      <c r="V35" s="26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37" t="s">
        <v>2551</v>
      </c>
      <c r="C36" s="37" t="s">
        <v>246</v>
      </c>
      <c r="D36" s="37" t="s">
        <v>2552</v>
      </c>
      <c r="E36" s="133" t="s">
        <v>338</v>
      </c>
      <c r="F36" s="134">
        <v>51.0</v>
      </c>
      <c r="G36" s="134" t="s">
        <v>362</v>
      </c>
      <c r="H36" s="134" t="s">
        <v>833</v>
      </c>
      <c r="I36" s="134">
        <v>9.684992783E9</v>
      </c>
      <c r="J36" s="87">
        <v>31.0</v>
      </c>
      <c r="K36" s="55">
        <v>26.0</v>
      </c>
      <c r="L36" s="55">
        <v>1.0</v>
      </c>
      <c r="M36" s="55">
        <v>4.0</v>
      </c>
      <c r="N36" s="43">
        <f t="shared" si="3"/>
        <v>5</v>
      </c>
      <c r="O36" s="55">
        <v>1.0</v>
      </c>
      <c r="P36" s="55">
        <v>0.0</v>
      </c>
      <c r="Q36" s="43">
        <f t="shared" si="2"/>
        <v>6</v>
      </c>
      <c r="R36" s="43"/>
      <c r="S36" s="43"/>
      <c r="T36" s="43"/>
      <c r="U36" s="43"/>
      <c r="V36" s="149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37" t="s">
        <v>1424</v>
      </c>
      <c r="C37" s="37" t="s">
        <v>1395</v>
      </c>
      <c r="D37" s="37" t="s">
        <v>2553</v>
      </c>
      <c r="E37" s="133" t="s">
        <v>338</v>
      </c>
      <c r="F37" s="134">
        <v>51.0</v>
      </c>
      <c r="G37" s="134" t="s">
        <v>339</v>
      </c>
      <c r="H37" s="134" t="s">
        <v>349</v>
      </c>
      <c r="I37" s="134">
        <v>9.755552181E9</v>
      </c>
      <c r="J37" s="87">
        <v>13.0</v>
      </c>
      <c r="K37" s="55">
        <v>7.0</v>
      </c>
      <c r="L37" s="55">
        <v>3.0</v>
      </c>
      <c r="M37" s="55">
        <v>3.0</v>
      </c>
      <c r="N37" s="43">
        <f t="shared" si="3"/>
        <v>6</v>
      </c>
      <c r="O37" s="55">
        <v>19.0</v>
      </c>
      <c r="P37" s="55">
        <v>0.0</v>
      </c>
      <c r="Q37" s="43">
        <f t="shared" si="2"/>
        <v>25</v>
      </c>
      <c r="R37" s="43"/>
      <c r="S37" s="55" t="s">
        <v>190</v>
      </c>
      <c r="T37" s="43"/>
      <c r="U37" s="43" t="s">
        <v>116</v>
      </c>
      <c r="V37" s="149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158" t="s">
        <v>2474</v>
      </c>
      <c r="C38" s="37"/>
      <c r="D38" s="37"/>
      <c r="E38" s="133"/>
      <c r="F38" s="134"/>
      <c r="G38" s="134"/>
      <c r="H38" s="134"/>
      <c r="I38" s="134"/>
      <c r="J38" s="83"/>
      <c r="K38" s="43"/>
      <c r="L38" s="43"/>
      <c r="M38" s="43"/>
      <c r="N38" s="43">
        <f t="shared" si="3"/>
        <v>0</v>
      </c>
      <c r="O38" s="43"/>
      <c r="P38" s="43"/>
      <c r="Q38" s="43">
        <f t="shared" si="2"/>
        <v>0</v>
      </c>
      <c r="R38" s="43"/>
      <c r="S38" s="43"/>
      <c r="T38" s="43"/>
      <c r="U38" s="43"/>
      <c r="V38" s="149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37" t="s">
        <v>1452</v>
      </c>
      <c r="C39" s="37" t="s">
        <v>2554</v>
      </c>
      <c r="D39" s="37" t="s">
        <v>2555</v>
      </c>
      <c r="E39" s="133" t="s">
        <v>338</v>
      </c>
      <c r="F39" s="134">
        <v>37.0</v>
      </c>
      <c r="G39" s="134" t="s">
        <v>362</v>
      </c>
      <c r="H39" s="134" t="s">
        <v>2556</v>
      </c>
      <c r="I39" s="134">
        <v>9.930144586E9</v>
      </c>
      <c r="J39" s="87">
        <v>28.0</v>
      </c>
      <c r="K39" s="55">
        <v>23.0</v>
      </c>
      <c r="L39" s="55">
        <v>0.0</v>
      </c>
      <c r="M39" s="55">
        <v>5.0</v>
      </c>
      <c r="N39" s="43">
        <f t="shared" si="3"/>
        <v>5</v>
      </c>
      <c r="O39" s="55">
        <v>0.0</v>
      </c>
      <c r="P39" s="55">
        <v>0.0</v>
      </c>
      <c r="Q39" s="43">
        <f t="shared" si="2"/>
        <v>5</v>
      </c>
      <c r="R39" s="43"/>
      <c r="S39" s="43"/>
      <c r="T39" s="43"/>
      <c r="U39" s="43"/>
      <c r="V39" s="149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37" t="s">
        <v>1430</v>
      </c>
      <c r="C40" s="37" t="s">
        <v>2557</v>
      </c>
      <c r="D40" s="37" t="s">
        <v>1846</v>
      </c>
      <c r="E40" s="133" t="s">
        <v>338</v>
      </c>
      <c r="F40" s="134">
        <v>32.0</v>
      </c>
      <c r="G40" s="134" t="s">
        <v>385</v>
      </c>
      <c r="H40" s="134" t="s">
        <v>839</v>
      </c>
      <c r="I40" s="134">
        <v>9.306772153E9</v>
      </c>
      <c r="J40" s="87">
        <v>30.0</v>
      </c>
      <c r="K40" s="55">
        <v>29.0</v>
      </c>
      <c r="L40" s="55">
        <v>0.0</v>
      </c>
      <c r="M40" s="55">
        <v>1.0</v>
      </c>
      <c r="N40" s="43">
        <f t="shared" si="3"/>
        <v>1</v>
      </c>
      <c r="O40" s="55">
        <v>2.0</v>
      </c>
      <c r="P40" s="55">
        <v>0.0</v>
      </c>
      <c r="Q40" s="43">
        <f t="shared" si="2"/>
        <v>3</v>
      </c>
      <c r="R40" s="43"/>
      <c r="S40" s="43"/>
      <c r="T40" s="43"/>
      <c r="U40" s="43"/>
      <c r="V40" s="149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37" t="s">
        <v>2558</v>
      </c>
      <c r="C41" s="37" t="s">
        <v>1280</v>
      </c>
      <c r="D41" s="37" t="s">
        <v>1326</v>
      </c>
      <c r="E41" s="133" t="s">
        <v>338</v>
      </c>
      <c r="F41" s="134">
        <v>36.0</v>
      </c>
      <c r="G41" s="134" t="s">
        <v>339</v>
      </c>
      <c r="H41" s="134" t="s">
        <v>833</v>
      </c>
      <c r="I41" s="134">
        <v>9.926285199E9</v>
      </c>
      <c r="J41" s="87">
        <v>24.0</v>
      </c>
      <c r="K41" s="55">
        <v>19.0</v>
      </c>
      <c r="L41" s="55">
        <v>0.0</v>
      </c>
      <c r="M41" s="55">
        <v>3.0</v>
      </c>
      <c r="N41" s="43">
        <f t="shared" si="3"/>
        <v>3</v>
      </c>
      <c r="O41" s="55">
        <v>4.0</v>
      </c>
      <c r="P41" s="55">
        <v>2.0</v>
      </c>
      <c r="Q41" s="43">
        <f t="shared" si="2"/>
        <v>9</v>
      </c>
      <c r="R41" s="43"/>
      <c r="S41" s="55" t="s">
        <v>870</v>
      </c>
      <c r="T41" s="55" t="s">
        <v>2559</v>
      </c>
      <c r="U41" s="43"/>
      <c r="V41" s="26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37" t="s">
        <v>2560</v>
      </c>
      <c r="C42" s="37" t="s">
        <v>2561</v>
      </c>
      <c r="D42" s="37" t="s">
        <v>932</v>
      </c>
      <c r="E42" s="133" t="s">
        <v>338</v>
      </c>
      <c r="F42" s="134">
        <v>62.0</v>
      </c>
      <c r="G42" s="134" t="s">
        <v>339</v>
      </c>
      <c r="H42" s="134" t="s">
        <v>839</v>
      </c>
      <c r="I42" s="134">
        <v>9.934994199E9</v>
      </c>
      <c r="J42" s="87">
        <v>0.0</v>
      </c>
      <c r="K42" s="55">
        <v>0.0</v>
      </c>
      <c r="L42" s="55">
        <v>0.0</v>
      </c>
      <c r="M42" s="55">
        <v>0.0</v>
      </c>
      <c r="N42" s="43">
        <f t="shared" si="3"/>
        <v>0</v>
      </c>
      <c r="O42" s="55">
        <v>32.0</v>
      </c>
      <c r="P42" s="55">
        <v>0.0</v>
      </c>
      <c r="Q42" s="43">
        <f t="shared" si="2"/>
        <v>32</v>
      </c>
      <c r="R42" s="43"/>
      <c r="S42" s="55" t="s">
        <v>2504</v>
      </c>
      <c r="T42" s="43"/>
      <c r="U42" s="43"/>
      <c r="V42" s="149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37" t="s">
        <v>297</v>
      </c>
      <c r="C43" s="37" t="s">
        <v>1786</v>
      </c>
      <c r="D43" s="37" t="s">
        <v>2562</v>
      </c>
      <c r="E43" s="133" t="s">
        <v>338</v>
      </c>
      <c r="F43" s="134">
        <v>29.0</v>
      </c>
      <c r="G43" s="134" t="s">
        <v>339</v>
      </c>
      <c r="H43" s="134" t="s">
        <v>2563</v>
      </c>
      <c r="I43" s="134">
        <v>9.106403285E9</v>
      </c>
      <c r="J43" s="87">
        <v>26.0</v>
      </c>
      <c r="K43" s="55">
        <v>18.0</v>
      </c>
      <c r="L43" s="55">
        <v>0.0</v>
      </c>
      <c r="M43" s="55">
        <v>0.0</v>
      </c>
      <c r="N43" s="43">
        <f t="shared" si="3"/>
        <v>0</v>
      </c>
      <c r="O43" s="55">
        <v>6.0</v>
      </c>
      <c r="P43" s="55">
        <v>0.0</v>
      </c>
      <c r="Q43" s="43">
        <f t="shared" si="2"/>
        <v>6</v>
      </c>
      <c r="R43" s="43"/>
      <c r="S43" s="55" t="s">
        <v>2520</v>
      </c>
      <c r="T43" s="55" t="s">
        <v>2564</v>
      </c>
      <c r="U43" s="43"/>
      <c r="V43" s="149"/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37" t="s">
        <v>2565</v>
      </c>
      <c r="C44" s="37" t="s">
        <v>409</v>
      </c>
      <c r="D44" s="37" t="s">
        <v>881</v>
      </c>
      <c r="E44" s="133" t="s">
        <v>338</v>
      </c>
      <c r="F44" s="134">
        <v>29.0</v>
      </c>
      <c r="G44" s="134" t="s">
        <v>339</v>
      </c>
      <c r="H44" s="134" t="s">
        <v>349</v>
      </c>
      <c r="I44" s="134">
        <v>9.651983799E9</v>
      </c>
      <c r="J44" s="87">
        <v>28.0</v>
      </c>
      <c r="K44" s="55">
        <v>19.0</v>
      </c>
      <c r="L44" s="55">
        <v>0.0</v>
      </c>
      <c r="M44" s="55">
        <v>2.0</v>
      </c>
      <c r="N44" s="43">
        <f t="shared" si="3"/>
        <v>2</v>
      </c>
      <c r="O44" s="55">
        <v>3.0</v>
      </c>
      <c r="P44" s="55">
        <v>7.0</v>
      </c>
      <c r="Q44" s="43">
        <f t="shared" si="2"/>
        <v>12</v>
      </c>
      <c r="R44" s="43"/>
      <c r="S44" s="55" t="s">
        <v>870</v>
      </c>
      <c r="T44" s="43"/>
      <c r="U44" s="43"/>
      <c r="V44" s="153" t="s">
        <v>2566</v>
      </c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149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149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149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149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149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149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149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149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149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149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149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149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149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149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149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149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149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149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149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149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149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149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149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149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149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149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149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149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149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149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149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149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149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149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149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149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149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149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149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149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149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149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149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149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149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149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149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149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149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149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149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149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149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149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149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149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149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149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149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149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149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149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149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149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149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149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149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149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149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149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149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149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149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149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149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149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149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149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149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149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149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149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149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149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149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149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149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149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149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149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149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149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149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149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149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149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149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149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149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149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149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149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149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149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149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149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149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149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149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149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149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149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4">SUM(J7:J156)</f>
        <v>685</v>
      </c>
      <c r="K157" s="123">
        <f t="shared" si="4"/>
        <v>524</v>
      </c>
      <c r="L157" s="123">
        <f t="shared" si="4"/>
        <v>17</v>
      </c>
      <c r="M157" s="123">
        <f t="shared" si="4"/>
        <v>74</v>
      </c>
      <c r="N157" s="123">
        <f t="shared" si="4"/>
        <v>91</v>
      </c>
      <c r="O157" s="123">
        <f t="shared" si="4"/>
        <v>439</v>
      </c>
      <c r="P157" s="123">
        <f t="shared" si="4"/>
        <v>62</v>
      </c>
      <c r="Q157" s="123">
        <f t="shared" si="4"/>
        <v>592</v>
      </c>
      <c r="R157" s="124"/>
      <c r="S157" s="124"/>
      <c r="T157" s="125"/>
      <c r="U157" s="145" t="s">
        <v>330</v>
      </c>
      <c r="V157" s="5"/>
      <c r="W157" s="126">
        <f>COUNTIF(W7:W44,"yes")</f>
        <v>36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V159" s="265"/>
      <c r="Z159" s="34"/>
      <c r="AA159" s="34"/>
      <c r="AB159" s="34"/>
      <c r="AC159" s="34"/>
      <c r="AD159" s="34"/>
    </row>
    <row r="160" ht="13.5" customHeight="1">
      <c r="V160" s="265"/>
      <c r="Z160" s="34"/>
      <c r="AA160" s="34"/>
      <c r="AB160" s="34"/>
      <c r="AC160" s="34"/>
      <c r="AD160" s="34"/>
    </row>
    <row r="161" ht="13.5" customHeight="1">
      <c r="V161" s="265"/>
      <c r="Z161" s="34"/>
      <c r="AA161" s="34"/>
      <c r="AB161" s="34"/>
      <c r="AC161" s="34"/>
      <c r="AD161" s="34"/>
    </row>
    <row r="162" ht="13.5" customHeight="1">
      <c r="V162" s="265"/>
      <c r="Z162" s="34"/>
      <c r="AA162" s="34"/>
      <c r="AB162" s="34"/>
      <c r="AC162" s="34"/>
      <c r="AD162" s="34"/>
    </row>
    <row r="163" ht="13.5" customHeight="1">
      <c r="V163" s="265"/>
      <c r="Z163" s="34"/>
      <c r="AA163" s="34"/>
      <c r="AB163" s="34"/>
      <c r="AC163" s="34"/>
      <c r="AD163" s="34"/>
    </row>
    <row r="164" ht="13.5" customHeight="1">
      <c r="V164" s="265"/>
      <c r="Z164" s="34"/>
      <c r="AA164" s="34"/>
      <c r="AB164" s="34"/>
      <c r="AC164" s="34"/>
      <c r="AD164" s="34"/>
    </row>
    <row r="165" ht="13.5" customHeight="1">
      <c r="V165" s="265"/>
      <c r="Z165" s="34"/>
      <c r="AA165" s="34"/>
      <c r="AB165" s="34"/>
      <c r="AC165" s="34"/>
      <c r="AD165" s="34"/>
    </row>
    <row r="166" ht="13.5" customHeight="1">
      <c r="V166" s="265"/>
      <c r="Z166" s="34"/>
      <c r="AA166" s="34"/>
      <c r="AB166" s="34"/>
      <c r="AC166" s="34"/>
      <c r="AD166" s="34"/>
    </row>
    <row r="167" ht="13.5" customHeight="1">
      <c r="V167" s="265"/>
      <c r="Z167" s="34"/>
      <c r="AA167" s="34"/>
      <c r="AB167" s="34"/>
      <c r="AC167" s="34"/>
      <c r="AD167" s="34"/>
    </row>
    <row r="168" ht="13.5" customHeight="1">
      <c r="V168" s="265"/>
      <c r="Z168" s="34"/>
      <c r="AA168" s="34"/>
      <c r="AB168" s="34"/>
      <c r="AC168" s="34"/>
      <c r="AD168" s="34"/>
    </row>
    <row r="169" ht="13.5" customHeight="1">
      <c r="V169" s="265"/>
      <c r="Z169" s="34"/>
      <c r="AA169" s="34"/>
      <c r="AB169" s="34"/>
      <c r="AC169" s="34"/>
      <c r="AD169" s="34"/>
    </row>
    <row r="170" ht="13.5" customHeight="1">
      <c r="V170" s="265"/>
      <c r="Z170" s="34"/>
      <c r="AA170" s="34"/>
      <c r="AB170" s="34"/>
      <c r="AC170" s="34"/>
      <c r="AD170" s="34"/>
    </row>
    <row r="171" ht="13.5" customHeight="1">
      <c r="V171" s="265"/>
      <c r="Z171" s="34"/>
      <c r="AA171" s="34"/>
      <c r="AB171" s="34"/>
      <c r="AC171" s="34"/>
      <c r="AD171" s="34"/>
    </row>
    <row r="172" ht="13.5" customHeight="1">
      <c r="V172" s="265"/>
      <c r="Z172" s="34"/>
      <c r="AA172" s="34"/>
      <c r="AB172" s="34"/>
      <c r="AC172" s="34"/>
      <c r="AD172" s="34"/>
    </row>
    <row r="173" ht="13.5" customHeight="1">
      <c r="V173" s="265"/>
      <c r="Z173" s="34"/>
      <c r="AA173" s="34"/>
      <c r="AB173" s="34"/>
      <c r="AC173" s="34"/>
      <c r="AD173" s="34"/>
    </row>
    <row r="174" ht="13.5" customHeight="1">
      <c r="V174" s="265"/>
      <c r="Z174" s="34"/>
      <c r="AA174" s="34"/>
      <c r="AB174" s="34"/>
      <c r="AC174" s="34"/>
      <c r="AD174" s="34"/>
    </row>
    <row r="175" ht="13.5" customHeight="1">
      <c r="V175" s="265"/>
      <c r="Z175" s="34"/>
      <c r="AA175" s="34"/>
      <c r="AB175" s="34"/>
      <c r="AC175" s="34"/>
      <c r="AD175" s="34"/>
    </row>
    <row r="176" ht="13.5" customHeight="1">
      <c r="V176" s="265"/>
      <c r="Z176" s="34"/>
      <c r="AA176" s="34"/>
      <c r="AB176" s="34"/>
      <c r="AC176" s="34"/>
      <c r="AD176" s="34"/>
    </row>
    <row r="177" ht="13.5" customHeight="1">
      <c r="V177" s="265"/>
      <c r="Z177" s="34"/>
      <c r="AA177" s="34"/>
      <c r="AB177" s="34"/>
      <c r="AC177" s="34"/>
      <c r="AD177" s="34"/>
    </row>
    <row r="178" ht="13.5" customHeight="1">
      <c r="V178" s="265"/>
    </row>
    <row r="179" ht="13.5" customHeight="1">
      <c r="V179" s="265"/>
    </row>
    <row r="180" ht="13.5" customHeight="1">
      <c r="V180" s="265"/>
    </row>
    <row r="181" ht="13.5" customHeight="1">
      <c r="V181" s="265"/>
    </row>
    <row r="182" ht="13.5" customHeight="1">
      <c r="V182" s="265"/>
    </row>
    <row r="183" ht="13.5" customHeight="1">
      <c r="V183" s="265"/>
    </row>
    <row r="184" ht="13.5" customHeight="1">
      <c r="V184" s="265"/>
    </row>
    <row r="185" ht="13.5" customHeight="1">
      <c r="V185" s="265"/>
    </row>
    <row r="186" ht="13.5" customHeight="1">
      <c r="V186" s="265"/>
    </row>
    <row r="187" ht="13.5" customHeight="1">
      <c r="V187" s="265"/>
    </row>
    <row r="188" ht="13.5" customHeight="1">
      <c r="V188" s="265"/>
    </row>
    <row r="189" ht="13.5" customHeight="1">
      <c r="V189" s="265"/>
    </row>
    <row r="190" ht="13.5" customHeight="1">
      <c r="V190" s="265"/>
    </row>
    <row r="191" ht="13.5" customHeight="1">
      <c r="V191" s="265"/>
    </row>
    <row r="192" ht="13.5" customHeight="1">
      <c r="V192" s="265"/>
    </row>
    <row r="193" ht="13.5" customHeight="1">
      <c r="V193" s="265"/>
    </row>
    <row r="194" ht="13.5" customHeight="1">
      <c r="V194" s="265"/>
    </row>
    <row r="195" ht="13.5" customHeight="1">
      <c r="V195" s="265"/>
    </row>
    <row r="196" ht="13.5" customHeight="1">
      <c r="V196" s="265"/>
    </row>
    <row r="197" ht="13.5" customHeight="1">
      <c r="V197" s="265"/>
    </row>
    <row r="198" ht="13.5" customHeight="1">
      <c r="V198" s="265"/>
    </row>
    <row r="199" ht="13.5" customHeight="1">
      <c r="V199" s="265"/>
    </row>
    <row r="200" ht="13.5" customHeight="1">
      <c r="V200" s="265"/>
    </row>
    <row r="201" ht="13.5" customHeight="1">
      <c r="V201" s="265"/>
    </row>
    <row r="202" ht="13.5" customHeight="1">
      <c r="V202" s="265"/>
    </row>
    <row r="203" ht="13.5" customHeight="1">
      <c r="V203" s="265"/>
    </row>
    <row r="204" ht="13.5" customHeight="1">
      <c r="V204" s="265"/>
    </row>
    <row r="205" ht="13.5" customHeight="1">
      <c r="V205" s="265"/>
    </row>
    <row r="206" ht="13.5" customHeight="1">
      <c r="V206" s="265"/>
    </row>
    <row r="207" ht="13.5" customHeight="1">
      <c r="V207" s="265"/>
    </row>
    <row r="208" ht="13.5" customHeight="1">
      <c r="V208" s="265"/>
    </row>
    <row r="209" ht="13.5" customHeight="1">
      <c r="V209" s="265"/>
    </row>
    <row r="210" ht="13.5" customHeight="1">
      <c r="V210" s="265"/>
    </row>
    <row r="211" ht="13.5" customHeight="1">
      <c r="V211" s="265"/>
    </row>
    <row r="212" ht="13.5" customHeight="1">
      <c r="V212" s="265"/>
    </row>
    <row r="213" ht="13.5" customHeight="1">
      <c r="V213" s="265"/>
    </row>
    <row r="214" ht="13.5" customHeight="1">
      <c r="V214" s="265"/>
    </row>
    <row r="215" ht="13.5" customHeight="1">
      <c r="V215" s="265"/>
    </row>
    <row r="216" ht="13.5" customHeight="1">
      <c r="V216" s="265"/>
    </row>
    <row r="217" ht="13.5" customHeight="1">
      <c r="V217" s="265"/>
    </row>
    <row r="218" ht="13.5" customHeight="1">
      <c r="V218" s="265"/>
    </row>
    <row r="219" ht="13.5" customHeight="1">
      <c r="V219" s="265"/>
    </row>
    <row r="220" ht="13.5" customHeight="1">
      <c r="V220" s="265"/>
    </row>
    <row r="221" ht="13.5" customHeight="1">
      <c r="V221" s="265"/>
    </row>
    <row r="222" ht="13.5" customHeight="1">
      <c r="V222" s="265"/>
    </row>
    <row r="223" ht="13.5" customHeight="1">
      <c r="V223" s="265"/>
    </row>
    <row r="224" ht="13.5" customHeight="1">
      <c r="V224" s="265"/>
    </row>
    <row r="225" ht="13.5" customHeight="1">
      <c r="V225" s="265"/>
    </row>
    <row r="226" ht="13.5" customHeight="1">
      <c r="V226" s="265"/>
    </row>
    <row r="227" ht="13.5" customHeight="1">
      <c r="V227" s="265"/>
    </row>
    <row r="228" ht="13.5" customHeight="1">
      <c r="V228" s="265"/>
    </row>
    <row r="229" ht="13.5" customHeight="1">
      <c r="V229" s="265"/>
    </row>
    <row r="230" ht="13.5" customHeight="1">
      <c r="V230" s="265"/>
    </row>
    <row r="231" ht="13.5" customHeight="1">
      <c r="V231" s="265"/>
    </row>
    <row r="232" ht="13.5" customHeight="1">
      <c r="V232" s="265"/>
    </row>
    <row r="233" ht="13.5" customHeight="1">
      <c r="V233" s="265"/>
    </row>
    <row r="234" ht="13.5" customHeight="1">
      <c r="V234" s="265"/>
    </row>
    <row r="235" ht="13.5" customHeight="1">
      <c r="V235" s="265"/>
    </row>
    <row r="236" ht="13.5" customHeight="1">
      <c r="V236" s="265"/>
    </row>
    <row r="237" ht="13.5" customHeight="1">
      <c r="V237" s="265"/>
    </row>
    <row r="238" ht="13.5" customHeight="1">
      <c r="V238" s="265"/>
    </row>
    <row r="239" ht="13.5" customHeight="1">
      <c r="V239" s="265"/>
    </row>
    <row r="240" ht="13.5" customHeight="1">
      <c r="V240" s="265"/>
    </row>
    <row r="241" ht="13.5" customHeight="1">
      <c r="V241" s="265"/>
    </row>
    <row r="242" ht="13.5" customHeight="1">
      <c r="V242" s="265"/>
    </row>
    <row r="243" ht="13.5" customHeight="1">
      <c r="V243" s="265"/>
    </row>
    <row r="244" ht="13.5" customHeight="1">
      <c r="V244" s="265"/>
    </row>
    <row r="245" ht="13.5" customHeight="1">
      <c r="V245" s="265"/>
    </row>
    <row r="246" ht="13.5" customHeight="1">
      <c r="V246" s="265"/>
    </row>
    <row r="247" ht="13.5" customHeight="1">
      <c r="V247" s="265"/>
    </row>
    <row r="248" ht="13.5" customHeight="1">
      <c r="V248" s="265"/>
    </row>
    <row r="249" ht="13.5" customHeight="1">
      <c r="V249" s="265"/>
    </row>
    <row r="250" ht="13.5" customHeight="1">
      <c r="V250" s="265"/>
    </row>
    <row r="251" ht="13.5" customHeight="1">
      <c r="V251" s="265"/>
    </row>
    <row r="252" ht="13.5" customHeight="1">
      <c r="V252" s="265"/>
    </row>
    <row r="253" ht="13.5" customHeight="1">
      <c r="V253" s="265"/>
    </row>
    <row r="254" ht="13.5" customHeight="1">
      <c r="V254" s="265"/>
    </row>
    <row r="255" ht="13.5" customHeight="1">
      <c r="V255" s="265"/>
    </row>
    <row r="256" ht="13.5" customHeight="1">
      <c r="V256" s="265"/>
    </row>
    <row r="257" ht="13.5" customHeight="1">
      <c r="V257" s="265"/>
    </row>
    <row r="258" ht="13.5" customHeight="1">
      <c r="V258" s="265"/>
    </row>
    <row r="259" ht="13.5" customHeight="1">
      <c r="V259" s="265"/>
    </row>
    <row r="260" ht="13.5" customHeight="1">
      <c r="V260" s="265"/>
    </row>
    <row r="261" ht="13.5" customHeight="1">
      <c r="V261" s="265"/>
    </row>
    <row r="262" ht="13.5" customHeight="1">
      <c r="V262" s="265"/>
    </row>
    <row r="263" ht="13.5" customHeight="1">
      <c r="V263" s="265"/>
    </row>
    <row r="264" ht="13.5" customHeight="1">
      <c r="V264" s="265"/>
    </row>
    <row r="265" ht="13.5" customHeight="1">
      <c r="V265" s="265"/>
    </row>
    <row r="266" ht="13.5" customHeight="1">
      <c r="V266" s="265"/>
    </row>
    <row r="267" ht="13.5" customHeight="1">
      <c r="V267" s="265"/>
    </row>
    <row r="268" ht="13.5" customHeight="1">
      <c r="V268" s="265"/>
    </row>
    <row r="269" ht="13.5" customHeight="1">
      <c r="V269" s="265"/>
    </row>
    <row r="270" ht="13.5" customHeight="1">
      <c r="V270" s="265"/>
    </row>
    <row r="271" ht="13.5" customHeight="1">
      <c r="V271" s="265"/>
    </row>
    <row r="272" ht="13.5" customHeight="1">
      <c r="V272" s="265"/>
    </row>
    <row r="273" ht="13.5" customHeight="1">
      <c r="V273" s="265"/>
    </row>
    <row r="274" ht="13.5" customHeight="1">
      <c r="V274" s="265"/>
    </row>
    <row r="275" ht="13.5" customHeight="1">
      <c r="V275" s="265"/>
    </row>
    <row r="276" ht="13.5" customHeight="1">
      <c r="V276" s="265"/>
    </row>
    <row r="277" ht="13.5" customHeight="1">
      <c r="V277" s="265"/>
    </row>
    <row r="278" ht="13.5" customHeight="1">
      <c r="V278" s="265"/>
    </row>
    <row r="279" ht="13.5" customHeight="1">
      <c r="V279" s="265"/>
    </row>
    <row r="280" ht="13.5" customHeight="1">
      <c r="V280" s="265"/>
    </row>
    <row r="281" ht="13.5" customHeight="1">
      <c r="V281" s="265"/>
    </row>
    <row r="282" ht="13.5" customHeight="1">
      <c r="V282" s="265"/>
    </row>
    <row r="283" ht="13.5" customHeight="1">
      <c r="V283" s="265"/>
    </row>
    <row r="284" ht="13.5" customHeight="1">
      <c r="V284" s="265"/>
    </row>
    <row r="285" ht="13.5" customHeight="1">
      <c r="V285" s="265"/>
    </row>
    <row r="286" ht="13.5" customHeight="1">
      <c r="V286" s="265"/>
    </row>
    <row r="287" ht="13.5" customHeight="1">
      <c r="V287" s="265"/>
    </row>
    <row r="288" ht="13.5" customHeight="1">
      <c r="V288" s="265"/>
    </row>
    <row r="289" ht="13.5" customHeight="1">
      <c r="V289" s="265"/>
    </row>
    <row r="290" ht="13.5" customHeight="1">
      <c r="V290" s="265"/>
    </row>
    <row r="291" ht="13.5" customHeight="1">
      <c r="V291" s="265"/>
    </row>
    <row r="292" ht="13.5" customHeight="1">
      <c r="V292" s="265"/>
    </row>
    <row r="293" ht="13.5" customHeight="1">
      <c r="V293" s="265"/>
    </row>
    <row r="294" ht="13.5" customHeight="1">
      <c r="V294" s="265"/>
    </row>
    <row r="295" ht="13.5" customHeight="1">
      <c r="V295" s="265"/>
    </row>
    <row r="296" ht="13.5" customHeight="1">
      <c r="V296" s="265"/>
    </row>
    <row r="297" ht="13.5" customHeight="1">
      <c r="V297" s="265"/>
    </row>
    <row r="298" ht="13.5" customHeight="1">
      <c r="V298" s="265"/>
    </row>
    <row r="299" ht="13.5" customHeight="1">
      <c r="V299" s="265"/>
    </row>
    <row r="300" ht="13.5" customHeight="1">
      <c r="V300" s="265"/>
    </row>
    <row r="301" ht="13.5" customHeight="1">
      <c r="V301" s="265"/>
    </row>
    <row r="302" ht="13.5" customHeight="1">
      <c r="V302" s="265"/>
    </row>
    <row r="303" ht="13.5" customHeight="1">
      <c r="V303" s="265"/>
    </row>
    <row r="304" ht="13.5" customHeight="1">
      <c r="V304" s="265"/>
    </row>
    <row r="305" ht="13.5" customHeight="1">
      <c r="V305" s="265"/>
    </row>
    <row r="306" ht="13.5" customHeight="1">
      <c r="V306" s="265"/>
    </row>
    <row r="307" ht="13.5" customHeight="1">
      <c r="V307" s="265"/>
    </row>
    <row r="308" ht="13.5" customHeight="1">
      <c r="V308" s="265"/>
    </row>
    <row r="309" ht="13.5" customHeight="1">
      <c r="V309" s="265"/>
    </row>
    <row r="310" ht="13.5" customHeight="1">
      <c r="V310" s="265"/>
    </row>
    <row r="311" ht="13.5" customHeight="1">
      <c r="V311" s="265"/>
    </row>
    <row r="312" ht="13.5" customHeight="1">
      <c r="V312" s="265"/>
    </row>
    <row r="313" ht="13.5" customHeight="1">
      <c r="V313" s="265"/>
    </row>
    <row r="314" ht="13.5" customHeight="1">
      <c r="V314" s="265"/>
    </row>
    <row r="315" ht="13.5" customHeight="1">
      <c r="V315" s="265"/>
    </row>
    <row r="316" ht="13.5" customHeight="1">
      <c r="V316" s="265"/>
    </row>
    <row r="317" ht="13.5" customHeight="1">
      <c r="V317" s="265"/>
    </row>
    <row r="318" ht="13.5" customHeight="1">
      <c r="V318" s="265"/>
    </row>
    <row r="319" ht="13.5" customHeight="1">
      <c r="V319" s="265"/>
    </row>
    <row r="320" ht="13.5" customHeight="1">
      <c r="V320" s="265"/>
    </row>
    <row r="321" ht="13.5" customHeight="1">
      <c r="V321" s="265"/>
    </row>
    <row r="322" ht="13.5" customHeight="1">
      <c r="V322" s="265"/>
    </row>
    <row r="323" ht="13.5" customHeight="1">
      <c r="V323" s="265"/>
    </row>
    <row r="324" ht="13.5" customHeight="1">
      <c r="V324" s="265"/>
    </row>
    <row r="325" ht="13.5" customHeight="1">
      <c r="V325" s="265"/>
    </row>
    <row r="326" ht="13.5" customHeight="1">
      <c r="V326" s="265"/>
    </row>
    <row r="327" ht="13.5" customHeight="1">
      <c r="V327" s="265"/>
    </row>
    <row r="328" ht="13.5" customHeight="1">
      <c r="V328" s="265"/>
    </row>
    <row r="329" ht="13.5" customHeight="1">
      <c r="V329" s="265"/>
    </row>
    <row r="330" ht="13.5" customHeight="1">
      <c r="V330" s="265"/>
    </row>
    <row r="331" ht="13.5" customHeight="1">
      <c r="V331" s="265"/>
    </row>
    <row r="332" ht="13.5" customHeight="1">
      <c r="V332" s="265"/>
    </row>
    <row r="333" ht="13.5" customHeight="1">
      <c r="V333" s="265"/>
    </row>
    <row r="334" ht="13.5" customHeight="1">
      <c r="V334" s="265"/>
    </row>
    <row r="335" ht="13.5" customHeight="1">
      <c r="V335" s="265"/>
    </row>
    <row r="336" ht="13.5" customHeight="1">
      <c r="V336" s="265"/>
    </row>
    <row r="337" ht="13.5" customHeight="1">
      <c r="V337" s="265"/>
    </row>
    <row r="338" ht="13.5" customHeight="1">
      <c r="V338" s="265"/>
    </row>
    <row r="339" ht="13.5" customHeight="1">
      <c r="V339" s="265"/>
    </row>
    <row r="340" ht="13.5" customHeight="1">
      <c r="V340" s="265"/>
    </row>
    <row r="341" ht="13.5" customHeight="1">
      <c r="V341" s="265"/>
    </row>
    <row r="342" ht="13.5" customHeight="1">
      <c r="V342" s="265"/>
    </row>
    <row r="343" ht="13.5" customHeight="1">
      <c r="V343" s="265"/>
    </row>
    <row r="344" ht="13.5" customHeight="1">
      <c r="V344" s="265"/>
    </row>
    <row r="345" ht="13.5" customHeight="1">
      <c r="V345" s="265"/>
    </row>
    <row r="346" ht="13.5" customHeight="1">
      <c r="V346" s="265"/>
    </row>
    <row r="347" ht="13.5" customHeight="1">
      <c r="V347" s="265"/>
    </row>
    <row r="348" ht="13.5" customHeight="1">
      <c r="V348" s="265"/>
    </row>
    <row r="349" ht="13.5" customHeight="1">
      <c r="V349" s="265"/>
    </row>
    <row r="350" ht="13.5" customHeight="1">
      <c r="V350" s="265"/>
    </row>
    <row r="351" ht="13.5" customHeight="1">
      <c r="V351" s="265"/>
    </row>
    <row r="352" ht="13.5" customHeight="1">
      <c r="V352" s="265"/>
    </row>
    <row r="353" ht="13.5" customHeight="1">
      <c r="V353" s="265"/>
    </row>
    <row r="354" ht="13.5" customHeight="1">
      <c r="V354" s="265"/>
    </row>
    <row r="355" ht="13.5" customHeight="1">
      <c r="V355" s="265"/>
    </row>
    <row r="356" ht="13.5" customHeight="1">
      <c r="V356" s="265"/>
    </row>
    <row r="357" ht="13.5" customHeight="1">
      <c r="V357" s="265"/>
    </row>
    <row r="358" ht="13.5" customHeight="1">
      <c r="V358" s="265"/>
    </row>
    <row r="359" ht="13.5" customHeight="1">
      <c r="V359" s="265"/>
    </row>
    <row r="360" ht="13.5" customHeight="1">
      <c r="V360" s="265"/>
    </row>
    <row r="361" ht="13.5" customHeight="1">
      <c r="V361" s="265"/>
    </row>
    <row r="362" ht="13.5" customHeight="1">
      <c r="V362" s="265"/>
    </row>
    <row r="363" ht="13.5" customHeight="1">
      <c r="V363" s="265"/>
    </row>
    <row r="364" ht="13.5" customHeight="1">
      <c r="V364" s="265"/>
    </row>
    <row r="365" ht="13.5" customHeight="1">
      <c r="V365" s="265"/>
    </row>
    <row r="366" ht="13.5" customHeight="1">
      <c r="V366" s="265"/>
    </row>
    <row r="367" ht="13.5" customHeight="1">
      <c r="V367" s="265"/>
    </row>
    <row r="368" ht="13.5" customHeight="1">
      <c r="V368" s="265"/>
    </row>
    <row r="369" ht="13.5" customHeight="1">
      <c r="V369" s="265"/>
    </row>
    <row r="370" ht="13.5" customHeight="1">
      <c r="V370" s="265"/>
    </row>
    <row r="371" ht="13.5" customHeight="1">
      <c r="V371" s="265"/>
    </row>
    <row r="372" ht="13.5" customHeight="1">
      <c r="V372" s="265"/>
    </row>
    <row r="373" ht="13.5" customHeight="1">
      <c r="V373" s="265"/>
    </row>
    <row r="374" ht="13.5" customHeight="1">
      <c r="V374" s="265"/>
    </row>
    <row r="375" ht="13.5" customHeight="1">
      <c r="V375" s="265"/>
    </row>
    <row r="376" ht="13.5" customHeight="1">
      <c r="V376" s="265"/>
    </row>
    <row r="377" ht="13.5" customHeight="1">
      <c r="V377" s="265"/>
    </row>
    <row r="378" ht="13.5" customHeight="1">
      <c r="V378" s="265"/>
    </row>
    <row r="379" ht="13.5" customHeight="1">
      <c r="V379" s="265"/>
    </row>
    <row r="380" ht="13.5" customHeight="1">
      <c r="V380" s="265"/>
    </row>
    <row r="381" ht="13.5" customHeight="1">
      <c r="V381" s="265"/>
    </row>
    <row r="382" ht="13.5" customHeight="1">
      <c r="V382" s="265"/>
    </row>
    <row r="383" ht="13.5" customHeight="1">
      <c r="V383" s="265"/>
    </row>
    <row r="384" ht="13.5" customHeight="1">
      <c r="V384" s="265"/>
    </row>
    <row r="385" ht="13.5" customHeight="1">
      <c r="V385" s="265"/>
    </row>
    <row r="386" ht="13.5" customHeight="1">
      <c r="V386" s="265"/>
    </row>
    <row r="387" ht="13.5" customHeight="1">
      <c r="V387" s="265"/>
    </row>
    <row r="388" ht="13.5" customHeight="1">
      <c r="V388" s="265"/>
    </row>
    <row r="389" ht="13.5" customHeight="1">
      <c r="V389" s="265"/>
    </row>
    <row r="390" ht="13.5" customHeight="1">
      <c r="V390" s="265"/>
    </row>
    <row r="391" ht="13.5" customHeight="1">
      <c r="V391" s="265"/>
    </row>
    <row r="392" ht="13.5" customHeight="1">
      <c r="V392" s="265"/>
    </row>
    <row r="393" ht="13.5" customHeight="1">
      <c r="V393" s="265"/>
    </row>
    <row r="394" ht="13.5" customHeight="1">
      <c r="V394" s="265"/>
    </row>
    <row r="395" ht="13.5" customHeight="1">
      <c r="V395" s="265"/>
    </row>
    <row r="396" ht="13.5" customHeight="1">
      <c r="V396" s="265"/>
    </row>
    <row r="397" ht="13.5" customHeight="1">
      <c r="V397" s="265"/>
    </row>
    <row r="398" ht="13.5" customHeight="1">
      <c r="V398" s="265"/>
    </row>
    <row r="399" ht="13.5" customHeight="1">
      <c r="V399" s="265"/>
    </row>
    <row r="400" ht="13.5" customHeight="1">
      <c r="V400" s="265"/>
    </row>
    <row r="401" ht="13.5" customHeight="1">
      <c r="V401" s="265"/>
    </row>
    <row r="402" ht="13.5" customHeight="1">
      <c r="V402" s="265"/>
    </row>
    <row r="403" ht="13.5" customHeight="1">
      <c r="V403" s="265"/>
    </row>
    <row r="404" ht="13.5" customHeight="1">
      <c r="V404" s="265"/>
    </row>
    <row r="405" ht="13.5" customHeight="1">
      <c r="V405" s="265"/>
    </row>
    <row r="406" ht="13.5" customHeight="1">
      <c r="V406" s="265"/>
    </row>
    <row r="407" ht="13.5" customHeight="1">
      <c r="V407" s="265"/>
    </row>
    <row r="408" ht="13.5" customHeight="1">
      <c r="V408" s="265"/>
    </row>
    <row r="409" ht="13.5" customHeight="1">
      <c r="V409" s="265"/>
    </row>
    <row r="410" ht="13.5" customHeight="1">
      <c r="V410" s="265"/>
    </row>
    <row r="411" ht="13.5" customHeight="1">
      <c r="V411" s="265"/>
    </row>
    <row r="412" ht="13.5" customHeight="1">
      <c r="V412" s="265"/>
    </row>
    <row r="413" ht="13.5" customHeight="1">
      <c r="V413" s="265"/>
    </row>
    <row r="414" ht="13.5" customHeight="1">
      <c r="V414" s="265"/>
    </row>
    <row r="415" ht="13.5" customHeight="1">
      <c r="V415" s="265"/>
    </row>
    <row r="416" ht="13.5" customHeight="1">
      <c r="V416" s="265"/>
    </row>
    <row r="417" ht="13.5" customHeight="1">
      <c r="V417" s="265"/>
    </row>
    <row r="418" ht="13.5" customHeight="1">
      <c r="V418" s="265"/>
    </row>
    <row r="419" ht="13.5" customHeight="1">
      <c r="V419" s="265"/>
    </row>
    <row r="420" ht="13.5" customHeight="1">
      <c r="V420" s="265"/>
    </row>
    <row r="421" ht="13.5" customHeight="1">
      <c r="V421" s="265"/>
    </row>
    <row r="422" ht="13.5" customHeight="1">
      <c r="V422" s="265"/>
    </row>
    <row r="423" ht="13.5" customHeight="1">
      <c r="V423" s="265"/>
    </row>
    <row r="424" ht="13.5" customHeight="1">
      <c r="V424" s="265"/>
    </row>
    <row r="425" ht="13.5" customHeight="1">
      <c r="V425" s="265"/>
    </row>
    <row r="426" ht="13.5" customHeight="1">
      <c r="V426" s="265"/>
    </row>
    <row r="427" ht="13.5" customHeight="1">
      <c r="V427" s="265"/>
    </row>
    <row r="428" ht="13.5" customHeight="1">
      <c r="V428" s="265"/>
    </row>
    <row r="429" ht="13.5" customHeight="1">
      <c r="V429" s="265"/>
    </row>
    <row r="430" ht="13.5" customHeight="1">
      <c r="V430" s="265"/>
    </row>
    <row r="431" ht="13.5" customHeight="1">
      <c r="V431" s="265"/>
    </row>
    <row r="432" ht="13.5" customHeight="1">
      <c r="V432" s="265"/>
    </row>
    <row r="433" ht="13.5" customHeight="1">
      <c r="V433" s="265"/>
    </row>
    <row r="434" ht="13.5" customHeight="1">
      <c r="V434" s="265"/>
    </row>
    <row r="435" ht="13.5" customHeight="1">
      <c r="V435" s="265"/>
    </row>
    <row r="436" ht="13.5" customHeight="1">
      <c r="V436" s="265"/>
    </row>
    <row r="437" ht="13.5" customHeight="1">
      <c r="V437" s="265"/>
    </row>
    <row r="438" ht="13.5" customHeight="1">
      <c r="V438" s="265"/>
    </row>
    <row r="439" ht="13.5" customHeight="1">
      <c r="V439" s="265"/>
    </row>
    <row r="440" ht="13.5" customHeight="1">
      <c r="V440" s="265"/>
    </row>
    <row r="441" ht="13.5" customHeight="1">
      <c r="V441" s="265"/>
    </row>
    <row r="442" ht="13.5" customHeight="1">
      <c r="V442" s="265"/>
    </row>
    <row r="443" ht="13.5" customHeight="1">
      <c r="V443" s="265"/>
    </row>
    <row r="444" ht="13.5" customHeight="1">
      <c r="V444" s="265"/>
    </row>
    <row r="445" ht="13.5" customHeight="1">
      <c r="V445" s="265"/>
    </row>
    <row r="446" ht="13.5" customHeight="1">
      <c r="V446" s="265"/>
    </row>
    <row r="447" ht="13.5" customHeight="1">
      <c r="V447" s="265"/>
    </row>
    <row r="448" ht="13.5" customHeight="1">
      <c r="V448" s="265"/>
    </row>
    <row r="449" ht="13.5" customHeight="1">
      <c r="V449" s="265"/>
    </row>
    <row r="450" ht="13.5" customHeight="1">
      <c r="V450" s="265"/>
    </row>
    <row r="451" ht="13.5" customHeight="1">
      <c r="V451" s="265"/>
    </row>
    <row r="452" ht="13.5" customHeight="1">
      <c r="V452" s="265"/>
    </row>
    <row r="453" ht="13.5" customHeight="1">
      <c r="V453" s="265"/>
    </row>
    <row r="454" ht="13.5" customHeight="1">
      <c r="V454" s="265"/>
    </row>
    <row r="455" ht="13.5" customHeight="1">
      <c r="V455" s="265"/>
    </row>
    <row r="456" ht="13.5" customHeight="1">
      <c r="V456" s="265"/>
    </row>
    <row r="457" ht="13.5" customHeight="1">
      <c r="V457" s="265"/>
    </row>
    <row r="458" ht="13.5" customHeight="1">
      <c r="V458" s="265"/>
    </row>
    <row r="459" ht="13.5" customHeight="1">
      <c r="V459" s="265"/>
    </row>
    <row r="460" ht="13.5" customHeight="1">
      <c r="V460" s="265"/>
    </row>
    <row r="461" ht="13.5" customHeight="1">
      <c r="V461" s="265"/>
    </row>
    <row r="462" ht="13.5" customHeight="1">
      <c r="V462" s="265"/>
    </row>
    <row r="463" ht="13.5" customHeight="1">
      <c r="V463" s="265"/>
    </row>
    <row r="464" ht="13.5" customHeight="1">
      <c r="V464" s="265"/>
    </row>
    <row r="465" ht="13.5" customHeight="1">
      <c r="V465" s="265"/>
    </row>
    <row r="466" ht="13.5" customHeight="1">
      <c r="V466" s="265"/>
    </row>
    <row r="467" ht="13.5" customHeight="1">
      <c r="V467" s="265"/>
    </row>
    <row r="468" ht="13.5" customHeight="1">
      <c r="V468" s="265"/>
    </row>
    <row r="469" ht="13.5" customHeight="1">
      <c r="V469" s="265"/>
    </row>
    <row r="470" ht="13.5" customHeight="1">
      <c r="V470" s="265"/>
    </row>
    <row r="471" ht="13.5" customHeight="1">
      <c r="V471" s="265"/>
    </row>
    <row r="472" ht="13.5" customHeight="1">
      <c r="V472" s="265"/>
    </row>
    <row r="473" ht="13.5" customHeight="1">
      <c r="V473" s="265"/>
    </row>
    <row r="474" ht="13.5" customHeight="1">
      <c r="V474" s="265"/>
    </row>
    <row r="475" ht="13.5" customHeight="1">
      <c r="V475" s="265"/>
    </row>
    <row r="476" ht="13.5" customHeight="1">
      <c r="V476" s="265"/>
    </row>
    <row r="477" ht="13.5" customHeight="1">
      <c r="V477" s="265"/>
    </row>
    <row r="478" ht="13.5" customHeight="1">
      <c r="V478" s="265"/>
    </row>
    <row r="479" ht="13.5" customHeight="1">
      <c r="V479" s="265"/>
    </row>
    <row r="480" ht="13.5" customHeight="1">
      <c r="V480" s="265"/>
    </row>
    <row r="481" ht="13.5" customHeight="1">
      <c r="V481" s="265"/>
    </row>
    <row r="482" ht="13.5" customHeight="1">
      <c r="V482" s="265"/>
    </row>
    <row r="483" ht="13.5" customHeight="1">
      <c r="V483" s="265"/>
    </row>
    <row r="484" ht="13.5" customHeight="1">
      <c r="V484" s="265"/>
    </row>
    <row r="485" ht="13.5" customHeight="1">
      <c r="V485" s="265"/>
    </row>
    <row r="486" ht="13.5" customHeight="1">
      <c r="V486" s="265"/>
    </row>
    <row r="487" ht="13.5" customHeight="1">
      <c r="V487" s="265"/>
    </row>
    <row r="488" ht="13.5" customHeight="1">
      <c r="V488" s="265"/>
    </row>
    <row r="489" ht="13.5" customHeight="1">
      <c r="V489" s="265"/>
    </row>
    <row r="490" ht="13.5" customHeight="1">
      <c r="V490" s="265"/>
    </row>
    <row r="491" ht="13.5" customHeight="1">
      <c r="V491" s="265"/>
    </row>
    <row r="492" ht="13.5" customHeight="1">
      <c r="V492" s="265"/>
    </row>
    <row r="493" ht="13.5" customHeight="1">
      <c r="V493" s="265"/>
    </row>
    <row r="494" ht="13.5" customHeight="1">
      <c r="V494" s="265"/>
    </row>
    <row r="495" ht="13.5" customHeight="1">
      <c r="V495" s="265"/>
    </row>
    <row r="496" ht="13.5" customHeight="1">
      <c r="V496" s="265"/>
    </row>
    <row r="497" ht="13.5" customHeight="1">
      <c r="V497" s="265"/>
    </row>
    <row r="498" ht="13.5" customHeight="1">
      <c r="V498" s="265"/>
    </row>
    <row r="499" ht="13.5" customHeight="1">
      <c r="V499" s="265"/>
    </row>
    <row r="500" ht="13.5" customHeight="1">
      <c r="V500" s="265"/>
    </row>
    <row r="501" ht="13.5" customHeight="1">
      <c r="V501" s="265"/>
    </row>
    <row r="502" ht="13.5" customHeight="1">
      <c r="V502" s="265"/>
    </row>
    <row r="503" ht="13.5" customHeight="1">
      <c r="V503" s="265"/>
    </row>
    <row r="504" ht="13.5" customHeight="1">
      <c r="V504" s="265"/>
    </row>
    <row r="505" ht="13.5" customHeight="1">
      <c r="V505" s="265"/>
    </row>
    <row r="506" ht="13.5" customHeight="1">
      <c r="V506" s="265"/>
    </row>
    <row r="507" ht="13.5" customHeight="1">
      <c r="V507" s="265"/>
    </row>
    <row r="508" ht="13.5" customHeight="1">
      <c r="V508" s="265"/>
    </row>
    <row r="509" ht="13.5" customHeight="1">
      <c r="V509" s="265"/>
    </row>
    <row r="510" ht="13.5" customHeight="1">
      <c r="V510" s="265"/>
    </row>
    <row r="511" ht="13.5" customHeight="1">
      <c r="V511" s="265"/>
    </row>
    <row r="512" ht="13.5" customHeight="1">
      <c r="V512" s="265"/>
    </row>
    <row r="513" ht="13.5" customHeight="1">
      <c r="V513" s="265"/>
    </row>
    <row r="514" ht="13.5" customHeight="1">
      <c r="V514" s="265"/>
    </row>
    <row r="515" ht="13.5" customHeight="1">
      <c r="V515" s="265"/>
    </row>
    <row r="516" ht="13.5" customHeight="1">
      <c r="V516" s="265"/>
    </row>
    <row r="517" ht="13.5" customHeight="1">
      <c r="V517" s="265"/>
    </row>
    <row r="518" ht="13.5" customHeight="1">
      <c r="V518" s="265"/>
    </row>
    <row r="519" ht="13.5" customHeight="1">
      <c r="V519" s="265"/>
    </row>
    <row r="520" ht="13.5" customHeight="1">
      <c r="V520" s="265"/>
    </row>
    <row r="521" ht="13.5" customHeight="1">
      <c r="V521" s="265"/>
    </row>
    <row r="522" ht="13.5" customHeight="1">
      <c r="V522" s="265"/>
    </row>
    <row r="523" ht="13.5" customHeight="1">
      <c r="V523" s="265"/>
    </row>
    <row r="524" ht="13.5" customHeight="1">
      <c r="V524" s="265"/>
    </row>
    <row r="525" ht="13.5" customHeight="1">
      <c r="V525" s="265"/>
    </row>
    <row r="526" ht="13.5" customHeight="1">
      <c r="V526" s="265"/>
    </row>
    <row r="527" ht="13.5" customHeight="1">
      <c r="V527" s="265"/>
    </row>
    <row r="528" ht="13.5" customHeight="1">
      <c r="V528" s="265"/>
    </row>
    <row r="529" ht="13.5" customHeight="1">
      <c r="V529" s="265"/>
    </row>
    <row r="530" ht="13.5" customHeight="1">
      <c r="V530" s="265"/>
    </row>
    <row r="531" ht="13.5" customHeight="1">
      <c r="V531" s="265"/>
    </row>
    <row r="532" ht="13.5" customHeight="1">
      <c r="V532" s="265"/>
    </row>
    <row r="533" ht="13.5" customHeight="1">
      <c r="V533" s="265"/>
    </row>
    <row r="534" ht="13.5" customHeight="1">
      <c r="V534" s="265"/>
    </row>
    <row r="535" ht="13.5" customHeight="1">
      <c r="V535" s="265"/>
    </row>
    <row r="536" ht="13.5" customHeight="1">
      <c r="V536" s="265"/>
    </row>
    <row r="537" ht="13.5" customHeight="1">
      <c r="V537" s="265"/>
    </row>
    <row r="538" ht="13.5" customHeight="1">
      <c r="V538" s="265"/>
    </row>
    <row r="539" ht="13.5" customHeight="1">
      <c r="V539" s="265"/>
    </row>
    <row r="540" ht="13.5" customHeight="1">
      <c r="V540" s="265"/>
    </row>
    <row r="541" ht="13.5" customHeight="1">
      <c r="V541" s="265"/>
    </row>
    <row r="542" ht="13.5" customHeight="1">
      <c r="V542" s="265"/>
    </row>
    <row r="543" ht="13.5" customHeight="1">
      <c r="V543" s="265"/>
    </row>
    <row r="544" ht="13.5" customHeight="1">
      <c r="V544" s="265"/>
    </row>
    <row r="545" ht="13.5" customHeight="1">
      <c r="V545" s="265"/>
    </row>
    <row r="546" ht="13.5" customHeight="1">
      <c r="V546" s="265"/>
    </row>
    <row r="547" ht="13.5" customHeight="1">
      <c r="V547" s="265"/>
    </row>
    <row r="548" ht="13.5" customHeight="1">
      <c r="V548" s="265"/>
    </row>
    <row r="549" ht="13.5" customHeight="1">
      <c r="V549" s="265"/>
    </row>
    <row r="550" ht="13.5" customHeight="1">
      <c r="V550" s="265"/>
    </row>
    <row r="551" ht="13.5" customHeight="1">
      <c r="V551" s="265"/>
    </row>
    <row r="552" ht="13.5" customHeight="1">
      <c r="V552" s="265"/>
    </row>
    <row r="553" ht="13.5" customHeight="1">
      <c r="V553" s="265"/>
    </row>
    <row r="554" ht="13.5" customHeight="1">
      <c r="V554" s="265"/>
    </row>
    <row r="555" ht="13.5" customHeight="1">
      <c r="V555" s="265"/>
    </row>
    <row r="556" ht="13.5" customHeight="1">
      <c r="V556" s="265"/>
    </row>
    <row r="557" ht="13.5" customHeight="1">
      <c r="V557" s="265"/>
    </row>
    <row r="558" ht="13.5" customHeight="1">
      <c r="V558" s="265"/>
    </row>
    <row r="559" ht="13.5" customHeight="1">
      <c r="V559" s="265"/>
    </row>
    <row r="560" ht="13.5" customHeight="1">
      <c r="V560" s="265"/>
    </row>
    <row r="561" ht="13.5" customHeight="1">
      <c r="V561" s="265"/>
    </row>
    <row r="562" ht="13.5" customHeight="1">
      <c r="V562" s="265"/>
    </row>
    <row r="563" ht="13.5" customHeight="1">
      <c r="V563" s="265"/>
    </row>
    <row r="564" ht="13.5" customHeight="1">
      <c r="V564" s="265"/>
    </row>
    <row r="565" ht="13.5" customHeight="1">
      <c r="V565" s="265"/>
    </row>
    <row r="566" ht="13.5" customHeight="1">
      <c r="V566" s="265"/>
    </row>
    <row r="567" ht="13.5" customHeight="1">
      <c r="V567" s="265"/>
    </row>
    <row r="568" ht="13.5" customHeight="1">
      <c r="V568" s="265"/>
    </row>
    <row r="569" ht="13.5" customHeight="1">
      <c r="V569" s="265"/>
    </row>
    <row r="570" ht="13.5" customHeight="1">
      <c r="V570" s="265"/>
    </row>
    <row r="571" ht="13.5" customHeight="1">
      <c r="V571" s="265"/>
    </row>
    <row r="572" ht="13.5" customHeight="1">
      <c r="V572" s="265"/>
    </row>
    <row r="573" ht="13.5" customHeight="1">
      <c r="V573" s="265"/>
    </row>
    <row r="574" ht="13.5" customHeight="1">
      <c r="V574" s="265"/>
    </row>
    <row r="575" ht="13.5" customHeight="1">
      <c r="V575" s="265"/>
    </row>
    <row r="576" ht="13.5" customHeight="1">
      <c r="V576" s="265"/>
    </row>
    <row r="577" ht="13.5" customHeight="1">
      <c r="V577" s="265"/>
    </row>
    <row r="578" ht="13.5" customHeight="1">
      <c r="V578" s="265"/>
    </row>
    <row r="579" ht="13.5" customHeight="1">
      <c r="V579" s="265"/>
    </row>
    <row r="580" ht="13.5" customHeight="1">
      <c r="V580" s="265"/>
    </row>
    <row r="581" ht="13.5" customHeight="1">
      <c r="V581" s="265"/>
    </row>
    <row r="582" ht="13.5" customHeight="1">
      <c r="V582" s="265"/>
    </row>
    <row r="583" ht="13.5" customHeight="1">
      <c r="V583" s="265"/>
    </row>
    <row r="584" ht="13.5" customHeight="1">
      <c r="V584" s="265"/>
    </row>
    <row r="585" ht="13.5" customHeight="1">
      <c r="V585" s="265"/>
    </row>
    <row r="586" ht="13.5" customHeight="1">
      <c r="V586" s="265"/>
    </row>
    <row r="587" ht="13.5" customHeight="1">
      <c r="V587" s="265"/>
    </row>
    <row r="588" ht="13.5" customHeight="1">
      <c r="V588" s="265"/>
    </row>
    <row r="589" ht="13.5" customHeight="1">
      <c r="V589" s="265"/>
    </row>
    <row r="590" ht="13.5" customHeight="1">
      <c r="V590" s="265"/>
    </row>
    <row r="591" ht="13.5" customHeight="1">
      <c r="V591" s="265"/>
    </row>
    <row r="592" ht="13.5" customHeight="1">
      <c r="V592" s="265"/>
    </row>
    <row r="593" ht="13.5" customHeight="1">
      <c r="V593" s="265"/>
    </row>
    <row r="594" ht="13.5" customHeight="1">
      <c r="V594" s="265"/>
    </row>
    <row r="595" ht="13.5" customHeight="1">
      <c r="V595" s="265"/>
    </row>
    <row r="596" ht="13.5" customHeight="1">
      <c r="V596" s="265"/>
    </row>
    <row r="597" ht="13.5" customHeight="1">
      <c r="V597" s="265"/>
    </row>
    <row r="598" ht="13.5" customHeight="1">
      <c r="V598" s="265"/>
    </row>
    <row r="599" ht="13.5" customHeight="1">
      <c r="V599" s="265"/>
    </row>
    <row r="600" ht="13.5" customHeight="1">
      <c r="V600" s="265"/>
    </row>
    <row r="601" ht="13.5" customHeight="1">
      <c r="V601" s="265"/>
    </row>
    <row r="602" ht="13.5" customHeight="1">
      <c r="V602" s="265"/>
    </row>
    <row r="603" ht="13.5" customHeight="1">
      <c r="V603" s="265"/>
    </row>
    <row r="604" ht="13.5" customHeight="1">
      <c r="V604" s="265"/>
    </row>
    <row r="605" ht="13.5" customHeight="1">
      <c r="V605" s="265"/>
    </row>
    <row r="606" ht="13.5" customHeight="1">
      <c r="V606" s="265"/>
    </row>
    <row r="607" ht="13.5" customHeight="1">
      <c r="V607" s="265"/>
    </row>
    <row r="608" ht="13.5" customHeight="1">
      <c r="V608" s="265"/>
    </row>
    <row r="609" ht="13.5" customHeight="1">
      <c r="V609" s="265"/>
    </row>
    <row r="610" ht="13.5" customHeight="1">
      <c r="V610" s="265"/>
    </row>
    <row r="611" ht="13.5" customHeight="1">
      <c r="V611" s="265"/>
    </row>
    <row r="612" ht="13.5" customHeight="1">
      <c r="V612" s="265"/>
    </row>
    <row r="613" ht="13.5" customHeight="1">
      <c r="V613" s="265"/>
    </row>
    <row r="614" ht="13.5" customHeight="1">
      <c r="V614" s="265"/>
    </row>
    <row r="615" ht="13.5" customHeight="1">
      <c r="V615" s="265"/>
    </row>
    <row r="616" ht="13.5" customHeight="1">
      <c r="V616" s="265"/>
    </row>
    <row r="617" ht="13.5" customHeight="1">
      <c r="V617" s="265"/>
    </row>
    <row r="618" ht="13.5" customHeight="1">
      <c r="V618" s="265"/>
    </row>
    <row r="619" ht="13.5" customHeight="1">
      <c r="V619" s="265"/>
    </row>
    <row r="620" ht="13.5" customHeight="1">
      <c r="V620" s="265"/>
    </row>
    <row r="621" ht="13.5" customHeight="1">
      <c r="V621" s="265"/>
    </row>
    <row r="622" ht="13.5" customHeight="1">
      <c r="V622" s="265"/>
    </row>
    <row r="623" ht="13.5" customHeight="1">
      <c r="V623" s="265"/>
    </row>
    <row r="624" ht="13.5" customHeight="1">
      <c r="V624" s="265"/>
    </row>
    <row r="625" ht="13.5" customHeight="1">
      <c r="V625" s="265"/>
    </row>
    <row r="626" ht="13.5" customHeight="1">
      <c r="V626" s="265"/>
    </row>
    <row r="627" ht="13.5" customHeight="1">
      <c r="V627" s="265"/>
    </row>
    <row r="628" ht="13.5" customHeight="1">
      <c r="V628" s="265"/>
    </row>
    <row r="629" ht="13.5" customHeight="1">
      <c r="V629" s="265"/>
    </row>
    <row r="630" ht="13.5" customHeight="1">
      <c r="V630" s="265"/>
    </row>
    <row r="631" ht="13.5" customHeight="1">
      <c r="V631" s="265"/>
    </row>
    <row r="632" ht="13.5" customHeight="1">
      <c r="V632" s="265"/>
    </row>
    <row r="633" ht="13.5" customHeight="1">
      <c r="V633" s="265"/>
    </row>
    <row r="634" ht="13.5" customHeight="1">
      <c r="V634" s="265"/>
    </row>
    <row r="635" ht="13.5" customHeight="1">
      <c r="V635" s="265"/>
    </row>
    <row r="636" ht="13.5" customHeight="1">
      <c r="V636" s="265"/>
    </row>
    <row r="637" ht="13.5" customHeight="1">
      <c r="V637" s="265"/>
    </row>
    <row r="638" ht="13.5" customHeight="1">
      <c r="V638" s="265"/>
    </row>
    <row r="639" ht="13.5" customHeight="1">
      <c r="V639" s="265"/>
    </row>
    <row r="640" ht="13.5" customHeight="1">
      <c r="V640" s="265"/>
    </row>
    <row r="641" ht="13.5" customHeight="1">
      <c r="V641" s="265"/>
    </row>
    <row r="642" ht="13.5" customHeight="1">
      <c r="V642" s="265"/>
    </row>
    <row r="643" ht="13.5" customHeight="1">
      <c r="V643" s="265"/>
    </row>
    <row r="644" ht="13.5" customHeight="1">
      <c r="V644" s="265"/>
    </row>
    <row r="645" ht="13.5" customHeight="1">
      <c r="V645" s="265"/>
    </row>
    <row r="646" ht="13.5" customHeight="1">
      <c r="V646" s="265"/>
    </row>
    <row r="647" ht="13.5" customHeight="1">
      <c r="V647" s="265"/>
    </row>
    <row r="648" ht="13.5" customHeight="1">
      <c r="V648" s="265"/>
    </row>
    <row r="649" ht="13.5" customHeight="1">
      <c r="V649" s="265"/>
    </row>
    <row r="650" ht="13.5" customHeight="1">
      <c r="V650" s="265"/>
    </row>
    <row r="651" ht="13.5" customHeight="1">
      <c r="V651" s="265"/>
    </row>
    <row r="652" ht="13.5" customHeight="1">
      <c r="V652" s="265"/>
    </row>
    <row r="653" ht="13.5" customHeight="1">
      <c r="V653" s="265"/>
    </row>
    <row r="654" ht="13.5" customHeight="1">
      <c r="V654" s="265"/>
    </row>
    <row r="655" ht="13.5" customHeight="1">
      <c r="V655" s="265"/>
    </row>
    <row r="656" ht="13.5" customHeight="1">
      <c r="V656" s="265"/>
    </row>
    <row r="657" ht="13.5" customHeight="1">
      <c r="V657" s="265"/>
    </row>
    <row r="658" ht="13.5" customHeight="1">
      <c r="V658" s="265"/>
    </row>
    <row r="659" ht="13.5" customHeight="1">
      <c r="V659" s="265"/>
    </row>
    <row r="660" ht="13.5" customHeight="1">
      <c r="V660" s="265"/>
    </row>
    <row r="661" ht="13.5" customHeight="1">
      <c r="V661" s="265"/>
    </row>
    <row r="662" ht="13.5" customHeight="1">
      <c r="V662" s="265"/>
    </row>
    <row r="663" ht="13.5" customHeight="1">
      <c r="V663" s="265"/>
    </row>
    <row r="664" ht="13.5" customHeight="1">
      <c r="V664" s="265"/>
    </row>
    <row r="665" ht="13.5" customHeight="1">
      <c r="V665" s="265"/>
    </row>
    <row r="666" ht="13.5" customHeight="1">
      <c r="V666" s="265"/>
    </row>
    <row r="667" ht="13.5" customHeight="1">
      <c r="V667" s="265"/>
    </row>
    <row r="668" ht="13.5" customHeight="1">
      <c r="V668" s="265"/>
    </row>
    <row r="669" ht="13.5" customHeight="1">
      <c r="V669" s="265"/>
    </row>
    <row r="670" ht="13.5" customHeight="1">
      <c r="V670" s="265"/>
    </row>
    <row r="671" ht="13.5" customHeight="1">
      <c r="V671" s="265"/>
    </row>
    <row r="672" ht="13.5" customHeight="1">
      <c r="V672" s="265"/>
    </row>
    <row r="673" ht="13.5" customHeight="1">
      <c r="V673" s="265"/>
    </row>
    <row r="674" ht="13.5" customHeight="1">
      <c r="V674" s="265"/>
    </row>
    <row r="675" ht="13.5" customHeight="1">
      <c r="V675" s="265"/>
    </row>
    <row r="676" ht="13.5" customHeight="1">
      <c r="V676" s="265"/>
    </row>
    <row r="677" ht="13.5" customHeight="1">
      <c r="V677" s="265"/>
    </row>
    <row r="678" ht="13.5" customHeight="1">
      <c r="V678" s="265"/>
    </row>
    <row r="679" ht="13.5" customHeight="1">
      <c r="V679" s="265"/>
    </row>
    <row r="680" ht="13.5" customHeight="1">
      <c r="V680" s="265"/>
    </row>
    <row r="681" ht="13.5" customHeight="1">
      <c r="V681" s="265"/>
    </row>
    <row r="682" ht="13.5" customHeight="1">
      <c r="V682" s="265"/>
    </row>
    <row r="683" ht="13.5" customHeight="1">
      <c r="V683" s="265"/>
    </row>
    <row r="684" ht="13.5" customHeight="1">
      <c r="V684" s="265"/>
    </row>
    <row r="685" ht="13.5" customHeight="1">
      <c r="V685" s="265"/>
    </row>
    <row r="686" ht="13.5" customHeight="1">
      <c r="V686" s="265"/>
    </row>
    <row r="687" ht="13.5" customHeight="1">
      <c r="V687" s="265"/>
    </row>
    <row r="688" ht="13.5" customHeight="1">
      <c r="V688" s="265"/>
    </row>
    <row r="689" ht="13.5" customHeight="1">
      <c r="V689" s="265"/>
    </row>
    <row r="690" ht="13.5" customHeight="1">
      <c r="V690" s="265"/>
    </row>
    <row r="691" ht="13.5" customHeight="1">
      <c r="V691" s="265"/>
    </row>
    <row r="692" ht="13.5" customHeight="1">
      <c r="V692" s="265"/>
    </row>
    <row r="693" ht="13.5" customHeight="1">
      <c r="V693" s="265"/>
    </row>
    <row r="694" ht="13.5" customHeight="1">
      <c r="V694" s="265"/>
    </row>
    <row r="695" ht="13.5" customHeight="1">
      <c r="V695" s="265"/>
    </row>
    <row r="696" ht="13.5" customHeight="1">
      <c r="V696" s="265"/>
    </row>
    <row r="697" ht="13.5" customHeight="1">
      <c r="V697" s="265"/>
    </row>
    <row r="698" ht="13.5" customHeight="1">
      <c r="V698" s="265"/>
    </row>
    <row r="699" ht="13.5" customHeight="1">
      <c r="V699" s="265"/>
    </row>
    <row r="700" ht="13.5" customHeight="1">
      <c r="V700" s="265"/>
    </row>
    <row r="701" ht="13.5" customHeight="1">
      <c r="V701" s="265"/>
    </row>
    <row r="702" ht="13.5" customHeight="1">
      <c r="V702" s="265"/>
    </row>
    <row r="703" ht="13.5" customHeight="1">
      <c r="V703" s="265"/>
    </row>
    <row r="704" ht="13.5" customHeight="1">
      <c r="V704" s="265"/>
    </row>
    <row r="705" ht="13.5" customHeight="1">
      <c r="V705" s="265"/>
    </row>
    <row r="706" ht="13.5" customHeight="1">
      <c r="V706" s="265"/>
    </row>
    <row r="707" ht="13.5" customHeight="1">
      <c r="V707" s="265"/>
    </row>
    <row r="708" ht="13.5" customHeight="1">
      <c r="V708" s="265"/>
    </row>
    <row r="709" ht="13.5" customHeight="1">
      <c r="V709" s="265"/>
    </row>
    <row r="710" ht="13.5" customHeight="1">
      <c r="V710" s="265"/>
    </row>
    <row r="711" ht="13.5" customHeight="1">
      <c r="V711" s="265"/>
    </row>
    <row r="712" ht="13.5" customHeight="1">
      <c r="V712" s="265"/>
    </row>
    <row r="713" ht="13.5" customHeight="1">
      <c r="V713" s="265"/>
    </row>
    <row r="714" ht="13.5" customHeight="1">
      <c r="V714" s="265"/>
    </row>
    <row r="715" ht="13.5" customHeight="1">
      <c r="V715" s="265"/>
    </row>
    <row r="716" ht="13.5" customHeight="1">
      <c r="V716" s="265"/>
    </row>
    <row r="717" ht="13.5" customHeight="1">
      <c r="V717" s="265"/>
    </row>
    <row r="718" ht="13.5" customHeight="1">
      <c r="V718" s="265"/>
    </row>
    <row r="719" ht="13.5" customHeight="1">
      <c r="V719" s="265"/>
    </row>
    <row r="720" ht="13.5" customHeight="1">
      <c r="V720" s="265"/>
    </row>
    <row r="721" ht="13.5" customHeight="1">
      <c r="V721" s="265"/>
    </row>
    <row r="722" ht="13.5" customHeight="1">
      <c r="V722" s="265"/>
    </row>
    <row r="723" ht="13.5" customHeight="1">
      <c r="V723" s="265"/>
    </row>
    <row r="724" ht="13.5" customHeight="1">
      <c r="V724" s="265"/>
    </row>
    <row r="725" ht="13.5" customHeight="1">
      <c r="V725" s="265"/>
    </row>
    <row r="726" ht="13.5" customHeight="1">
      <c r="V726" s="265"/>
    </row>
    <row r="727" ht="13.5" customHeight="1">
      <c r="V727" s="265"/>
    </row>
    <row r="728" ht="13.5" customHeight="1">
      <c r="V728" s="265"/>
    </row>
    <row r="729" ht="13.5" customHeight="1">
      <c r="V729" s="265"/>
    </row>
    <row r="730" ht="13.5" customHeight="1">
      <c r="V730" s="265"/>
    </row>
    <row r="731" ht="13.5" customHeight="1">
      <c r="V731" s="265"/>
    </row>
    <row r="732" ht="13.5" customHeight="1">
      <c r="V732" s="265"/>
    </row>
    <row r="733" ht="13.5" customHeight="1">
      <c r="V733" s="265"/>
    </row>
    <row r="734" ht="13.5" customHeight="1">
      <c r="V734" s="265"/>
    </row>
    <row r="735" ht="13.5" customHeight="1">
      <c r="V735" s="265"/>
    </row>
    <row r="736" ht="13.5" customHeight="1">
      <c r="V736" s="265"/>
    </row>
    <row r="737" ht="13.5" customHeight="1">
      <c r="V737" s="265"/>
    </row>
    <row r="738" ht="13.5" customHeight="1">
      <c r="V738" s="265"/>
    </row>
    <row r="739" ht="13.5" customHeight="1">
      <c r="V739" s="265"/>
    </row>
    <row r="740" ht="13.5" customHeight="1">
      <c r="V740" s="265"/>
    </row>
    <row r="741" ht="13.5" customHeight="1">
      <c r="V741" s="265"/>
    </row>
    <row r="742" ht="13.5" customHeight="1">
      <c r="V742" s="265"/>
    </row>
    <row r="743" ht="13.5" customHeight="1">
      <c r="V743" s="265"/>
    </row>
    <row r="744" ht="13.5" customHeight="1">
      <c r="V744" s="265"/>
    </row>
    <row r="745" ht="13.5" customHeight="1">
      <c r="V745" s="265"/>
    </row>
    <row r="746" ht="13.5" customHeight="1">
      <c r="V746" s="265"/>
    </row>
    <row r="747" ht="13.5" customHeight="1">
      <c r="V747" s="265"/>
    </row>
    <row r="748" ht="13.5" customHeight="1">
      <c r="V748" s="265"/>
    </row>
    <row r="749" ht="13.5" customHeight="1">
      <c r="V749" s="265"/>
    </row>
    <row r="750" ht="13.5" customHeight="1">
      <c r="V750" s="265"/>
    </row>
    <row r="751" ht="13.5" customHeight="1">
      <c r="V751" s="265"/>
    </row>
    <row r="752" ht="13.5" customHeight="1">
      <c r="V752" s="265"/>
    </row>
    <row r="753" ht="13.5" customHeight="1">
      <c r="V753" s="265"/>
    </row>
    <row r="754" ht="13.5" customHeight="1">
      <c r="V754" s="265"/>
    </row>
    <row r="755" ht="13.5" customHeight="1">
      <c r="V755" s="265"/>
    </row>
    <row r="756" ht="13.5" customHeight="1">
      <c r="V756" s="265"/>
    </row>
    <row r="757" ht="13.5" customHeight="1">
      <c r="V757" s="265"/>
    </row>
    <row r="758" ht="13.5" customHeight="1">
      <c r="V758" s="265"/>
    </row>
    <row r="759" ht="13.5" customHeight="1">
      <c r="V759" s="265"/>
    </row>
    <row r="760" ht="13.5" customHeight="1">
      <c r="V760" s="265"/>
    </row>
    <row r="761" ht="13.5" customHeight="1">
      <c r="V761" s="265"/>
    </row>
    <row r="762" ht="13.5" customHeight="1">
      <c r="V762" s="265"/>
    </row>
    <row r="763" ht="13.5" customHeight="1">
      <c r="V763" s="265"/>
    </row>
    <row r="764" ht="13.5" customHeight="1">
      <c r="V764" s="265"/>
    </row>
    <row r="765" ht="13.5" customHeight="1">
      <c r="V765" s="265"/>
    </row>
    <row r="766" ht="13.5" customHeight="1">
      <c r="V766" s="265"/>
    </row>
    <row r="767" ht="13.5" customHeight="1">
      <c r="V767" s="265"/>
    </row>
    <row r="768" ht="13.5" customHeight="1">
      <c r="V768" s="265"/>
    </row>
    <row r="769" ht="13.5" customHeight="1">
      <c r="V769" s="265"/>
    </row>
    <row r="770" ht="13.5" customHeight="1">
      <c r="V770" s="265"/>
    </row>
    <row r="771" ht="13.5" customHeight="1">
      <c r="V771" s="265"/>
    </row>
    <row r="772" ht="13.5" customHeight="1">
      <c r="V772" s="265"/>
    </row>
    <row r="773" ht="13.5" customHeight="1">
      <c r="V773" s="265"/>
    </row>
    <row r="774" ht="13.5" customHeight="1">
      <c r="V774" s="265"/>
    </row>
    <row r="775" ht="13.5" customHeight="1">
      <c r="V775" s="265"/>
    </row>
    <row r="776" ht="13.5" customHeight="1">
      <c r="V776" s="265"/>
    </row>
    <row r="777" ht="13.5" customHeight="1">
      <c r="V777" s="265"/>
    </row>
    <row r="778" ht="13.5" customHeight="1">
      <c r="V778" s="265"/>
    </row>
    <row r="779" ht="13.5" customHeight="1">
      <c r="V779" s="265"/>
    </row>
    <row r="780" ht="13.5" customHeight="1">
      <c r="V780" s="265"/>
    </row>
    <row r="781" ht="13.5" customHeight="1">
      <c r="V781" s="265"/>
    </row>
    <row r="782" ht="13.5" customHeight="1">
      <c r="V782" s="265"/>
    </row>
    <row r="783" ht="13.5" customHeight="1">
      <c r="V783" s="265"/>
    </row>
    <row r="784" ht="13.5" customHeight="1">
      <c r="V784" s="265"/>
    </row>
    <row r="785" ht="13.5" customHeight="1">
      <c r="V785" s="265"/>
    </row>
    <row r="786" ht="13.5" customHeight="1">
      <c r="V786" s="265"/>
    </row>
    <row r="787" ht="13.5" customHeight="1">
      <c r="V787" s="265"/>
    </row>
    <row r="788" ht="13.5" customHeight="1">
      <c r="V788" s="265"/>
    </row>
    <row r="789" ht="13.5" customHeight="1">
      <c r="V789" s="265"/>
    </row>
    <row r="790" ht="13.5" customHeight="1">
      <c r="V790" s="265"/>
    </row>
    <row r="791" ht="13.5" customHeight="1">
      <c r="V791" s="265"/>
    </row>
    <row r="792" ht="13.5" customHeight="1">
      <c r="V792" s="265"/>
    </row>
    <row r="793" ht="13.5" customHeight="1">
      <c r="V793" s="265"/>
    </row>
    <row r="794" ht="13.5" customHeight="1">
      <c r="V794" s="265"/>
    </row>
    <row r="795" ht="13.5" customHeight="1">
      <c r="V795" s="265"/>
    </row>
    <row r="796" ht="13.5" customHeight="1">
      <c r="V796" s="265"/>
    </row>
    <row r="797" ht="13.5" customHeight="1">
      <c r="V797" s="265"/>
    </row>
    <row r="798" ht="13.5" customHeight="1">
      <c r="V798" s="265"/>
    </row>
    <row r="799" ht="13.5" customHeight="1">
      <c r="V799" s="265"/>
    </row>
    <row r="800" ht="13.5" customHeight="1">
      <c r="V800" s="265"/>
    </row>
    <row r="801" ht="13.5" customHeight="1">
      <c r="V801" s="265"/>
    </row>
    <row r="802" ht="13.5" customHeight="1">
      <c r="V802" s="265"/>
    </row>
    <row r="803" ht="13.5" customHeight="1">
      <c r="V803" s="265"/>
    </row>
    <row r="804" ht="13.5" customHeight="1">
      <c r="V804" s="265"/>
    </row>
    <row r="805" ht="13.5" customHeight="1">
      <c r="V805" s="265"/>
    </row>
    <row r="806" ht="13.5" customHeight="1">
      <c r="V806" s="265"/>
    </row>
    <row r="807" ht="13.5" customHeight="1">
      <c r="V807" s="265"/>
    </row>
    <row r="808" ht="13.5" customHeight="1">
      <c r="V808" s="265"/>
    </row>
    <row r="809" ht="13.5" customHeight="1">
      <c r="V809" s="265"/>
    </row>
    <row r="810" ht="13.5" customHeight="1">
      <c r="V810" s="265"/>
    </row>
    <row r="811" ht="13.5" customHeight="1">
      <c r="V811" s="265"/>
    </row>
    <row r="812" ht="13.5" customHeight="1">
      <c r="V812" s="265"/>
    </row>
    <row r="813" ht="13.5" customHeight="1">
      <c r="V813" s="265"/>
    </row>
    <row r="814" ht="13.5" customHeight="1">
      <c r="V814" s="265"/>
    </row>
    <row r="815" ht="13.5" customHeight="1">
      <c r="V815" s="265"/>
    </row>
    <row r="816" ht="13.5" customHeight="1">
      <c r="V816" s="265"/>
    </row>
    <row r="817" ht="13.5" customHeight="1">
      <c r="V817" s="265"/>
    </row>
    <row r="818" ht="13.5" customHeight="1">
      <c r="V818" s="265"/>
    </row>
    <row r="819" ht="13.5" customHeight="1">
      <c r="V819" s="265"/>
    </row>
    <row r="820" ht="13.5" customHeight="1">
      <c r="V820" s="265"/>
    </row>
    <row r="821" ht="13.5" customHeight="1">
      <c r="V821" s="265"/>
    </row>
    <row r="822" ht="13.5" customHeight="1">
      <c r="V822" s="265"/>
    </row>
    <row r="823" ht="13.5" customHeight="1">
      <c r="V823" s="265"/>
    </row>
    <row r="824" ht="13.5" customHeight="1">
      <c r="V824" s="265"/>
    </row>
    <row r="825" ht="13.5" customHeight="1">
      <c r="V825" s="265"/>
    </row>
    <row r="826" ht="13.5" customHeight="1">
      <c r="V826" s="265"/>
    </row>
    <row r="827" ht="13.5" customHeight="1">
      <c r="V827" s="265"/>
    </row>
    <row r="828" ht="13.5" customHeight="1">
      <c r="V828" s="265"/>
    </row>
    <row r="829" ht="13.5" customHeight="1">
      <c r="V829" s="265"/>
    </row>
    <row r="830" ht="13.5" customHeight="1">
      <c r="V830" s="265"/>
    </row>
    <row r="831" ht="13.5" customHeight="1">
      <c r="V831" s="265"/>
    </row>
    <row r="832" ht="13.5" customHeight="1">
      <c r="V832" s="265"/>
    </row>
    <row r="833" ht="13.5" customHeight="1">
      <c r="V833" s="265"/>
    </row>
    <row r="834" ht="13.5" customHeight="1">
      <c r="V834" s="265"/>
    </row>
    <row r="835" ht="13.5" customHeight="1">
      <c r="V835" s="265"/>
    </row>
    <row r="836" ht="13.5" customHeight="1">
      <c r="V836" s="265"/>
    </row>
    <row r="837" ht="13.5" customHeight="1">
      <c r="V837" s="265"/>
    </row>
    <row r="838" ht="13.5" customHeight="1">
      <c r="V838" s="265"/>
    </row>
    <row r="839" ht="13.5" customHeight="1">
      <c r="V839" s="265"/>
    </row>
    <row r="840" ht="13.5" customHeight="1">
      <c r="V840" s="265"/>
    </row>
    <row r="841" ht="13.5" customHeight="1">
      <c r="V841" s="265"/>
    </row>
    <row r="842" ht="13.5" customHeight="1">
      <c r="V842" s="265"/>
    </row>
    <row r="843" ht="13.5" customHeight="1">
      <c r="V843" s="265"/>
    </row>
    <row r="844" ht="13.5" customHeight="1">
      <c r="V844" s="265"/>
    </row>
    <row r="845" ht="13.5" customHeight="1">
      <c r="V845" s="265"/>
    </row>
    <row r="846" ht="13.5" customHeight="1">
      <c r="V846" s="265"/>
    </row>
    <row r="847" ht="13.5" customHeight="1">
      <c r="V847" s="265"/>
    </row>
    <row r="848" ht="13.5" customHeight="1">
      <c r="V848" s="265"/>
    </row>
    <row r="849" ht="13.5" customHeight="1">
      <c r="V849" s="265"/>
    </row>
    <row r="850" ht="13.5" customHeight="1">
      <c r="V850" s="265"/>
    </row>
    <row r="851" ht="13.5" customHeight="1">
      <c r="V851" s="265"/>
    </row>
    <row r="852" ht="13.5" customHeight="1">
      <c r="V852" s="265"/>
    </row>
    <row r="853" ht="13.5" customHeight="1">
      <c r="V853" s="265"/>
    </row>
    <row r="854" ht="13.5" customHeight="1">
      <c r="V854" s="265"/>
    </row>
    <row r="855" ht="13.5" customHeight="1">
      <c r="V855" s="265"/>
    </row>
    <row r="856" ht="13.5" customHeight="1">
      <c r="V856" s="265"/>
    </row>
    <row r="857" ht="13.5" customHeight="1">
      <c r="V857" s="265"/>
    </row>
    <row r="858" ht="13.5" customHeight="1">
      <c r="V858" s="265"/>
    </row>
    <row r="859" ht="13.5" customHeight="1">
      <c r="V859" s="265"/>
    </row>
    <row r="860" ht="13.5" customHeight="1">
      <c r="V860" s="265"/>
    </row>
    <row r="861" ht="13.5" customHeight="1">
      <c r="V861" s="265"/>
    </row>
    <row r="862" ht="13.5" customHeight="1">
      <c r="V862" s="265"/>
    </row>
    <row r="863" ht="13.5" customHeight="1">
      <c r="V863" s="265"/>
    </row>
    <row r="864" ht="13.5" customHeight="1">
      <c r="V864" s="265"/>
    </row>
    <row r="865" ht="13.5" customHeight="1">
      <c r="V865" s="265"/>
    </row>
    <row r="866" ht="13.5" customHeight="1">
      <c r="V866" s="265"/>
    </row>
    <row r="867" ht="13.5" customHeight="1">
      <c r="V867" s="265"/>
    </row>
    <row r="868" ht="13.5" customHeight="1">
      <c r="V868" s="265"/>
    </row>
    <row r="869" ht="13.5" customHeight="1">
      <c r="V869" s="265"/>
    </row>
    <row r="870" ht="13.5" customHeight="1">
      <c r="V870" s="265"/>
    </row>
    <row r="871" ht="13.5" customHeight="1">
      <c r="V871" s="265"/>
    </row>
    <row r="872" ht="13.5" customHeight="1">
      <c r="V872" s="265"/>
    </row>
    <row r="873" ht="13.5" customHeight="1">
      <c r="V873" s="265"/>
    </row>
    <row r="874" ht="13.5" customHeight="1">
      <c r="V874" s="265"/>
    </row>
    <row r="875" ht="13.5" customHeight="1">
      <c r="V875" s="265"/>
    </row>
    <row r="876" ht="13.5" customHeight="1">
      <c r="V876" s="265"/>
    </row>
    <row r="877" ht="13.5" customHeight="1">
      <c r="V877" s="265"/>
    </row>
    <row r="878" ht="13.5" customHeight="1">
      <c r="V878" s="265"/>
    </row>
    <row r="879" ht="13.5" customHeight="1">
      <c r="V879" s="265"/>
    </row>
    <row r="880" ht="13.5" customHeight="1">
      <c r="V880" s="265"/>
    </row>
    <row r="881" ht="13.5" customHeight="1">
      <c r="V881" s="265"/>
    </row>
    <row r="882" ht="13.5" customHeight="1">
      <c r="V882" s="265"/>
    </row>
    <row r="883" ht="13.5" customHeight="1">
      <c r="V883" s="265"/>
    </row>
    <row r="884" ht="13.5" customHeight="1">
      <c r="V884" s="265"/>
    </row>
    <row r="885" ht="13.5" customHeight="1">
      <c r="V885" s="265"/>
    </row>
    <row r="886" ht="13.5" customHeight="1">
      <c r="V886" s="265"/>
    </row>
    <row r="887" ht="13.5" customHeight="1">
      <c r="V887" s="265"/>
    </row>
    <row r="888" ht="13.5" customHeight="1">
      <c r="V888" s="265"/>
    </row>
    <row r="889" ht="13.5" customHeight="1">
      <c r="V889" s="265"/>
    </row>
    <row r="890" ht="13.5" customHeight="1">
      <c r="V890" s="265"/>
    </row>
    <row r="891" ht="13.5" customHeight="1">
      <c r="V891" s="265"/>
    </row>
    <row r="892" ht="13.5" customHeight="1">
      <c r="V892" s="265"/>
    </row>
    <row r="893" ht="13.5" customHeight="1">
      <c r="V893" s="265"/>
    </row>
    <row r="894" ht="13.5" customHeight="1">
      <c r="V894" s="265"/>
    </row>
    <row r="895" ht="13.5" customHeight="1">
      <c r="V895" s="265"/>
    </row>
    <row r="896" ht="13.5" customHeight="1">
      <c r="V896" s="265"/>
    </row>
    <row r="897" ht="13.5" customHeight="1">
      <c r="V897" s="265"/>
    </row>
    <row r="898" ht="13.5" customHeight="1">
      <c r="V898" s="265"/>
    </row>
    <row r="899" ht="13.5" customHeight="1">
      <c r="V899" s="265"/>
    </row>
    <row r="900" ht="13.5" customHeight="1">
      <c r="V900" s="265"/>
    </row>
    <row r="901" ht="13.5" customHeight="1">
      <c r="V901" s="265"/>
    </row>
    <row r="902" ht="13.5" customHeight="1">
      <c r="V902" s="265"/>
    </row>
    <row r="903" ht="13.5" customHeight="1">
      <c r="V903" s="265"/>
    </row>
    <row r="904" ht="13.5" customHeight="1">
      <c r="V904" s="265"/>
    </row>
    <row r="905" ht="13.5" customHeight="1">
      <c r="V905" s="265"/>
    </row>
    <row r="906" ht="13.5" customHeight="1">
      <c r="V906" s="265"/>
    </row>
    <row r="907" ht="13.5" customHeight="1">
      <c r="V907" s="265"/>
    </row>
    <row r="908" ht="13.5" customHeight="1">
      <c r="V908" s="265"/>
    </row>
    <row r="909" ht="13.5" customHeight="1">
      <c r="V909" s="265"/>
    </row>
    <row r="910" ht="13.5" customHeight="1">
      <c r="V910" s="265"/>
    </row>
    <row r="911" ht="13.5" customHeight="1">
      <c r="V911" s="265"/>
    </row>
    <row r="912" ht="13.5" customHeight="1">
      <c r="V912" s="265"/>
    </row>
    <row r="913" ht="13.5" customHeight="1">
      <c r="V913" s="265"/>
    </row>
    <row r="914" ht="13.5" customHeight="1">
      <c r="V914" s="265"/>
    </row>
    <row r="915" ht="13.5" customHeight="1">
      <c r="V915" s="265"/>
    </row>
    <row r="916" ht="13.5" customHeight="1">
      <c r="V916" s="265"/>
    </row>
    <row r="917" ht="13.5" customHeight="1">
      <c r="V917" s="265"/>
    </row>
    <row r="918" ht="13.5" customHeight="1">
      <c r="V918" s="265"/>
    </row>
    <row r="919" ht="13.5" customHeight="1">
      <c r="V919" s="265"/>
    </row>
    <row r="920" ht="13.5" customHeight="1">
      <c r="V920" s="265"/>
    </row>
    <row r="921" ht="13.5" customHeight="1">
      <c r="V921" s="265"/>
    </row>
    <row r="922" ht="13.5" customHeight="1">
      <c r="V922" s="265"/>
    </row>
    <row r="923" ht="13.5" customHeight="1">
      <c r="V923" s="265"/>
    </row>
    <row r="924" ht="13.5" customHeight="1">
      <c r="V924" s="265"/>
    </row>
    <row r="925" ht="13.5" customHeight="1">
      <c r="V925" s="265"/>
    </row>
    <row r="926" ht="13.5" customHeight="1">
      <c r="V926" s="265"/>
    </row>
    <row r="927" ht="13.5" customHeight="1">
      <c r="V927" s="265"/>
    </row>
    <row r="928" ht="13.5" customHeight="1">
      <c r="V928" s="265"/>
    </row>
    <row r="929" ht="13.5" customHeight="1">
      <c r="V929" s="265"/>
    </row>
    <row r="930" ht="13.5" customHeight="1">
      <c r="V930" s="265"/>
    </row>
    <row r="931" ht="13.5" customHeight="1">
      <c r="V931" s="265"/>
    </row>
    <row r="932" ht="13.5" customHeight="1">
      <c r="V932" s="265"/>
    </row>
    <row r="933" ht="13.5" customHeight="1">
      <c r="V933" s="265"/>
    </row>
    <row r="934" ht="13.5" customHeight="1">
      <c r="V934" s="265"/>
    </row>
    <row r="935" ht="13.5" customHeight="1">
      <c r="V935" s="265"/>
    </row>
    <row r="936" ht="13.5" customHeight="1">
      <c r="V936" s="265"/>
    </row>
    <row r="937" ht="13.5" customHeight="1">
      <c r="V937" s="265"/>
    </row>
    <row r="938" ht="13.5" customHeight="1">
      <c r="V938" s="265"/>
    </row>
    <row r="939" ht="13.5" customHeight="1">
      <c r="V939" s="265"/>
    </row>
    <row r="940" ht="13.5" customHeight="1">
      <c r="V940" s="265"/>
    </row>
    <row r="941" ht="13.5" customHeight="1">
      <c r="V941" s="265"/>
    </row>
    <row r="942" ht="13.5" customHeight="1">
      <c r="V942" s="265"/>
    </row>
    <row r="943" ht="13.5" customHeight="1">
      <c r="V943" s="265"/>
    </row>
    <row r="944" ht="13.5" customHeight="1">
      <c r="V944" s="265"/>
    </row>
    <row r="945" ht="13.5" customHeight="1">
      <c r="V945" s="265"/>
    </row>
    <row r="946" ht="13.5" customHeight="1">
      <c r="V946" s="265"/>
    </row>
    <row r="947" ht="13.5" customHeight="1">
      <c r="V947" s="265"/>
    </row>
    <row r="948" ht="13.5" customHeight="1">
      <c r="V948" s="265"/>
    </row>
    <row r="949" ht="13.5" customHeight="1">
      <c r="V949" s="265"/>
    </row>
    <row r="950" ht="13.5" customHeight="1">
      <c r="V950" s="265"/>
    </row>
    <row r="951" ht="13.5" customHeight="1">
      <c r="V951" s="265"/>
    </row>
    <row r="952" ht="13.5" customHeight="1">
      <c r="V952" s="265"/>
    </row>
    <row r="953" ht="13.5" customHeight="1">
      <c r="V953" s="265"/>
    </row>
    <row r="954" ht="13.5" customHeight="1">
      <c r="V954" s="265"/>
    </row>
    <row r="955" ht="13.5" customHeight="1">
      <c r="V955" s="265"/>
    </row>
    <row r="956" ht="13.5" customHeight="1">
      <c r="V956" s="265"/>
    </row>
    <row r="957" ht="13.5" customHeight="1">
      <c r="V957" s="265"/>
    </row>
    <row r="958" ht="13.5" customHeight="1">
      <c r="V958" s="265"/>
    </row>
    <row r="959" ht="13.5" customHeight="1">
      <c r="V959" s="265"/>
    </row>
    <row r="960" ht="13.5" customHeight="1">
      <c r="V960" s="265"/>
    </row>
    <row r="961" ht="13.5" customHeight="1">
      <c r="V961" s="265"/>
    </row>
    <row r="962" ht="13.5" customHeight="1">
      <c r="V962" s="265"/>
    </row>
    <row r="963" ht="13.5" customHeight="1">
      <c r="V963" s="265"/>
    </row>
    <row r="964" ht="13.5" customHeight="1">
      <c r="V964" s="265"/>
    </row>
    <row r="965" ht="13.5" customHeight="1">
      <c r="V965" s="265"/>
    </row>
    <row r="966" ht="13.5" customHeight="1">
      <c r="V966" s="265"/>
    </row>
    <row r="967" ht="13.5" customHeight="1">
      <c r="V967" s="265"/>
    </row>
    <row r="968" ht="13.5" customHeight="1">
      <c r="V968" s="265"/>
    </row>
    <row r="969" ht="13.5" customHeight="1">
      <c r="V969" s="265"/>
    </row>
    <row r="970" ht="13.5" customHeight="1">
      <c r="V970" s="265"/>
    </row>
    <row r="971" ht="13.5" customHeight="1">
      <c r="V971" s="265"/>
    </row>
    <row r="972" ht="13.5" customHeight="1">
      <c r="V972" s="265"/>
    </row>
    <row r="973" ht="13.5" customHeight="1">
      <c r="V973" s="265"/>
    </row>
    <row r="974" ht="13.5" customHeight="1">
      <c r="V974" s="265"/>
    </row>
    <row r="975" ht="13.5" customHeight="1">
      <c r="V975" s="265"/>
    </row>
    <row r="976" ht="13.5" customHeight="1">
      <c r="V976" s="265"/>
    </row>
    <row r="977" ht="13.5" customHeight="1">
      <c r="V977" s="265"/>
    </row>
    <row r="978" ht="13.5" customHeight="1">
      <c r="V978" s="265"/>
    </row>
    <row r="979" ht="13.5" customHeight="1">
      <c r="V979" s="265"/>
    </row>
    <row r="980" ht="13.5" customHeight="1">
      <c r="V980" s="265"/>
    </row>
    <row r="981" ht="13.5" customHeight="1">
      <c r="V981" s="265"/>
    </row>
    <row r="982" ht="13.5" customHeight="1">
      <c r="V982" s="265"/>
    </row>
    <row r="983" ht="13.5" customHeight="1">
      <c r="V983" s="265"/>
    </row>
    <row r="984" ht="13.5" customHeight="1">
      <c r="V984" s="265"/>
    </row>
    <row r="985" ht="13.5" customHeight="1">
      <c r="V985" s="265"/>
    </row>
    <row r="986" ht="13.5" customHeight="1">
      <c r="V986" s="265"/>
    </row>
    <row r="987" ht="13.5" customHeight="1">
      <c r="V987" s="265"/>
    </row>
    <row r="988" ht="13.5" customHeight="1">
      <c r="V988" s="265"/>
    </row>
    <row r="989" ht="13.5" customHeight="1">
      <c r="V989" s="265"/>
    </row>
    <row r="990" ht="13.5" customHeight="1">
      <c r="V990" s="265"/>
    </row>
    <row r="991" ht="13.5" customHeight="1">
      <c r="V991" s="265"/>
    </row>
    <row r="992" ht="13.5" customHeight="1">
      <c r="V992" s="265"/>
    </row>
    <row r="993" ht="13.5" customHeight="1">
      <c r="V993" s="265"/>
    </row>
    <row r="994" ht="13.5" customHeight="1">
      <c r="V994" s="265"/>
    </row>
    <row r="995" ht="13.5" customHeight="1">
      <c r="V995" s="265"/>
    </row>
    <row r="996" ht="13.5" customHeight="1">
      <c r="V996" s="265"/>
    </row>
    <row r="997" ht="13.5" customHeight="1">
      <c r="V997" s="265"/>
    </row>
    <row r="998" ht="13.5" customHeight="1">
      <c r="V998" s="265"/>
    </row>
    <row r="999" ht="13.5" customHeight="1">
      <c r="V999" s="265"/>
    </row>
    <row r="1000" ht="13.5" customHeight="1">
      <c r="V1000" s="265"/>
    </row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7.63"/>
    <col customWidth="1" min="3" max="3" width="17.13"/>
    <col customWidth="1" min="4" max="4" width="17.0"/>
    <col customWidth="1" min="5" max="5" width="16.38"/>
    <col customWidth="1" min="6" max="6" width="8.63"/>
    <col customWidth="1" min="7" max="7" width="13.63"/>
    <col customWidth="1" min="8" max="8" width="15.88"/>
    <col customWidth="1" min="9" max="9" width="16.88"/>
    <col customWidth="1" min="10" max="10" width="12.13"/>
    <col customWidth="1" min="11" max="11" width="12.25"/>
    <col customWidth="1" min="12" max="12" width="12.38"/>
    <col customWidth="1" min="13" max="13" width="11.63"/>
    <col customWidth="1" min="14" max="19" width="8.63"/>
    <col customWidth="1" min="20" max="20" width="12.88"/>
    <col customWidth="1" min="21" max="21" width="8.63"/>
    <col customWidth="1" min="22" max="22" width="19.63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60"/>
      <c r="W1" s="5"/>
    </row>
    <row r="2" ht="16.5" customHeight="1">
      <c r="A2" s="6" t="s">
        <v>1</v>
      </c>
      <c r="B2" s="5"/>
      <c r="C2" s="7" t="s">
        <v>2567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261"/>
      <c r="W2" s="5"/>
    </row>
    <row r="3" ht="33.0" customHeight="1">
      <c r="A3" s="6" t="s">
        <v>3</v>
      </c>
      <c r="B3" s="5"/>
      <c r="C3" s="7" t="s">
        <v>2568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261"/>
      <c r="W3" s="5"/>
    </row>
    <row r="4" ht="17.25" customHeight="1">
      <c r="A4" s="12" t="s">
        <v>5</v>
      </c>
      <c r="B4" s="5"/>
      <c r="C4" s="7" t="s">
        <v>2569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262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2570</v>
      </c>
      <c r="C7" s="37" t="s">
        <v>2571</v>
      </c>
      <c r="D7" s="37" t="s">
        <v>991</v>
      </c>
      <c r="E7" s="266" t="s">
        <v>338</v>
      </c>
      <c r="F7" s="134">
        <v>39.0</v>
      </c>
      <c r="G7" s="134" t="s">
        <v>339</v>
      </c>
      <c r="H7" s="134" t="s">
        <v>974</v>
      </c>
      <c r="I7" s="134" t="s">
        <v>2572</v>
      </c>
      <c r="J7" s="54">
        <v>24.0</v>
      </c>
      <c r="K7" s="55">
        <v>13.0</v>
      </c>
      <c r="L7" s="55">
        <v>9.0</v>
      </c>
      <c r="M7" s="55">
        <v>1.0</v>
      </c>
      <c r="N7" s="43">
        <f t="shared" ref="N7:N84" si="1">L7+M7</f>
        <v>10</v>
      </c>
      <c r="O7" s="55">
        <v>8.0</v>
      </c>
      <c r="P7" s="55">
        <v>0.0</v>
      </c>
      <c r="Q7" s="43">
        <f t="shared" ref="Q7:Q110" si="2">N7+O7+P7</f>
        <v>18</v>
      </c>
      <c r="R7" s="43"/>
      <c r="S7" s="43"/>
      <c r="T7" s="43"/>
      <c r="U7" s="43"/>
      <c r="V7" s="153" t="s">
        <v>648</v>
      </c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2573</v>
      </c>
      <c r="C8" s="37" t="s">
        <v>2574</v>
      </c>
      <c r="D8" s="37" t="s">
        <v>2575</v>
      </c>
      <c r="E8" s="266" t="s">
        <v>338</v>
      </c>
      <c r="F8" s="134">
        <v>46.0</v>
      </c>
      <c r="G8" s="134" t="s">
        <v>339</v>
      </c>
      <c r="H8" s="134" t="s">
        <v>970</v>
      </c>
      <c r="I8" s="134" t="s">
        <v>2576</v>
      </c>
      <c r="J8" s="54">
        <v>28.0</v>
      </c>
      <c r="K8" s="55">
        <v>24.0</v>
      </c>
      <c r="L8" s="55">
        <v>0.0</v>
      </c>
      <c r="M8" s="55">
        <v>0.0</v>
      </c>
      <c r="N8" s="43">
        <f t="shared" si="1"/>
        <v>0</v>
      </c>
      <c r="O8" s="55">
        <v>4.0</v>
      </c>
      <c r="P8" s="55">
        <v>4.0</v>
      </c>
      <c r="Q8" s="43">
        <f t="shared" si="2"/>
        <v>8</v>
      </c>
      <c r="R8" s="43"/>
      <c r="S8" s="43"/>
      <c r="T8" s="43"/>
      <c r="U8" s="43"/>
      <c r="V8" s="149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" t="s">
        <v>2577</v>
      </c>
      <c r="C9" s="37" t="s">
        <v>2578</v>
      </c>
      <c r="D9" s="37" t="s">
        <v>2579</v>
      </c>
      <c r="E9" s="266" t="s">
        <v>338</v>
      </c>
      <c r="F9" s="134">
        <v>42.0</v>
      </c>
      <c r="G9" s="134" t="s">
        <v>339</v>
      </c>
      <c r="H9" s="134" t="s">
        <v>974</v>
      </c>
      <c r="I9" s="134" t="s">
        <v>2580</v>
      </c>
      <c r="J9" s="54">
        <v>29.0</v>
      </c>
      <c r="K9" s="55">
        <v>27.0</v>
      </c>
      <c r="L9" s="55">
        <v>1.0</v>
      </c>
      <c r="M9" s="55">
        <v>0.0</v>
      </c>
      <c r="N9" s="43">
        <f t="shared" si="1"/>
        <v>1</v>
      </c>
      <c r="O9" s="55">
        <v>3.0</v>
      </c>
      <c r="P9" s="55">
        <v>1.0</v>
      </c>
      <c r="Q9" s="43">
        <f t="shared" si="2"/>
        <v>5</v>
      </c>
      <c r="R9" s="43"/>
      <c r="S9" s="43"/>
      <c r="T9" s="43"/>
      <c r="U9" s="43"/>
      <c r="V9" s="149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" t="s">
        <v>1219</v>
      </c>
      <c r="C10" s="37" t="s">
        <v>2581</v>
      </c>
      <c r="D10" s="37" t="s">
        <v>2582</v>
      </c>
      <c r="E10" s="266" t="s">
        <v>338</v>
      </c>
      <c r="F10" s="134">
        <v>38.0</v>
      </c>
      <c r="G10" s="134" t="s">
        <v>339</v>
      </c>
      <c r="H10" s="134" t="s">
        <v>970</v>
      </c>
      <c r="I10" s="134" t="s">
        <v>2583</v>
      </c>
      <c r="J10" s="54">
        <v>28.0</v>
      </c>
      <c r="K10" s="55">
        <v>26.0</v>
      </c>
      <c r="L10" s="55">
        <v>0.0</v>
      </c>
      <c r="M10" s="55">
        <v>2.0</v>
      </c>
      <c r="N10" s="43">
        <f t="shared" si="1"/>
        <v>2</v>
      </c>
      <c r="O10" s="55">
        <v>4.0</v>
      </c>
      <c r="P10" s="55">
        <v>0.0</v>
      </c>
      <c r="Q10" s="43">
        <f t="shared" si="2"/>
        <v>6</v>
      </c>
      <c r="R10" s="43"/>
      <c r="S10" s="43"/>
      <c r="T10" s="43"/>
      <c r="U10" s="43"/>
      <c r="V10" s="149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" t="s">
        <v>2584</v>
      </c>
      <c r="C11" s="37" t="s">
        <v>2585</v>
      </c>
      <c r="D11" s="37" t="s">
        <v>1353</v>
      </c>
      <c r="E11" s="266" t="s">
        <v>338</v>
      </c>
      <c r="F11" s="134">
        <v>29.0</v>
      </c>
      <c r="G11" s="134" t="s">
        <v>339</v>
      </c>
      <c r="H11" s="134" t="s">
        <v>974</v>
      </c>
      <c r="I11" s="134" t="s">
        <v>2586</v>
      </c>
      <c r="J11" s="54">
        <v>29.0</v>
      </c>
      <c r="K11" s="55">
        <v>27.0</v>
      </c>
      <c r="L11" s="55">
        <v>0.0</v>
      </c>
      <c r="M11" s="55">
        <v>0.0</v>
      </c>
      <c r="N11" s="43">
        <f t="shared" si="1"/>
        <v>0</v>
      </c>
      <c r="O11" s="55">
        <v>2.0</v>
      </c>
      <c r="P11" s="55">
        <v>9.0</v>
      </c>
      <c r="Q11" s="43">
        <f t="shared" si="2"/>
        <v>11</v>
      </c>
      <c r="R11" s="43"/>
      <c r="S11" s="43"/>
      <c r="T11" s="43"/>
      <c r="U11" s="43"/>
      <c r="V11" s="149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" t="s">
        <v>2587</v>
      </c>
      <c r="C12" s="37" t="s">
        <v>2588</v>
      </c>
      <c r="D12" s="37" t="s">
        <v>2189</v>
      </c>
      <c r="E12" s="266" t="s">
        <v>338</v>
      </c>
      <c r="F12" s="134">
        <v>55.0</v>
      </c>
      <c r="G12" s="134" t="s">
        <v>339</v>
      </c>
      <c r="H12" s="134" t="s">
        <v>970</v>
      </c>
      <c r="I12" s="134" t="s">
        <v>2589</v>
      </c>
      <c r="J12" s="54">
        <v>10.0</v>
      </c>
      <c r="K12" s="55">
        <v>5.0</v>
      </c>
      <c r="L12" s="55">
        <v>0.0</v>
      </c>
      <c r="M12" s="55">
        <v>0.0</v>
      </c>
      <c r="N12" s="43">
        <f t="shared" si="1"/>
        <v>0</v>
      </c>
      <c r="O12" s="55">
        <v>22.0</v>
      </c>
      <c r="P12" s="55">
        <v>5.0</v>
      </c>
      <c r="Q12" s="43">
        <f t="shared" si="2"/>
        <v>27</v>
      </c>
      <c r="R12" s="43"/>
      <c r="S12" s="43"/>
      <c r="T12" s="43"/>
      <c r="U12" s="43"/>
      <c r="V12" s="153" t="s">
        <v>2590</v>
      </c>
      <c r="W12" s="56" t="s">
        <v>46</v>
      </c>
      <c r="Z12" s="34"/>
      <c r="AA12" s="60" t="s">
        <v>62</v>
      </c>
      <c r="AB12" s="58"/>
      <c r="AC12" s="58"/>
      <c r="AD12" s="46">
        <f>W157</f>
        <v>90</v>
      </c>
    </row>
    <row r="13" ht="13.5" customHeight="1">
      <c r="A13" s="28">
        <v>7.0</v>
      </c>
      <c r="B13" s="37" t="s">
        <v>2591</v>
      </c>
      <c r="C13" s="37" t="s">
        <v>2086</v>
      </c>
      <c r="D13" s="37" t="s">
        <v>2592</v>
      </c>
      <c r="E13" s="266" t="s">
        <v>338</v>
      </c>
      <c r="F13" s="134">
        <v>30.0</v>
      </c>
      <c r="G13" s="134" t="s">
        <v>339</v>
      </c>
      <c r="H13" s="134" t="s">
        <v>974</v>
      </c>
      <c r="I13" s="134" t="s">
        <v>2593</v>
      </c>
      <c r="J13" s="42"/>
      <c r="K13" s="43"/>
      <c r="L13" s="43"/>
      <c r="M13" s="43"/>
      <c r="N13" s="43">
        <f t="shared" si="1"/>
        <v>0</v>
      </c>
      <c r="O13" s="43"/>
      <c r="P13" s="43"/>
      <c r="Q13" s="43">
        <f t="shared" si="2"/>
        <v>0</v>
      </c>
      <c r="R13" s="43"/>
      <c r="S13" s="43"/>
      <c r="T13" s="43"/>
      <c r="U13" s="43"/>
      <c r="V13" s="149"/>
      <c r="W13" s="44"/>
      <c r="Z13" s="34"/>
      <c r="AA13" s="34"/>
      <c r="AB13" s="34"/>
      <c r="AC13" s="34"/>
      <c r="AD13" s="34"/>
    </row>
    <row r="14" ht="13.5" customHeight="1">
      <c r="A14" s="28">
        <v>8.0</v>
      </c>
      <c r="B14" s="37" t="s">
        <v>2594</v>
      </c>
      <c r="C14" s="37" t="s">
        <v>2595</v>
      </c>
      <c r="D14" s="37" t="s">
        <v>1353</v>
      </c>
      <c r="E14" s="266" t="s">
        <v>338</v>
      </c>
      <c r="F14" s="134">
        <v>32.0</v>
      </c>
      <c r="G14" s="134" t="s">
        <v>339</v>
      </c>
      <c r="H14" s="134" t="s">
        <v>519</v>
      </c>
      <c r="I14" s="134" t="s">
        <v>2596</v>
      </c>
      <c r="J14" s="258">
        <v>30.0</v>
      </c>
      <c r="K14" s="95">
        <v>21.0</v>
      </c>
      <c r="L14" s="95">
        <v>2.0</v>
      </c>
      <c r="M14" s="95">
        <v>6.0</v>
      </c>
      <c r="N14" s="95">
        <f t="shared" si="1"/>
        <v>8</v>
      </c>
      <c r="O14" s="95">
        <v>2.0</v>
      </c>
      <c r="P14" s="95">
        <v>1.0</v>
      </c>
      <c r="Q14" s="95">
        <f t="shared" si="2"/>
        <v>11</v>
      </c>
      <c r="R14" s="72"/>
      <c r="S14" s="72"/>
      <c r="T14" s="72"/>
      <c r="U14" s="72"/>
      <c r="V14" s="72"/>
      <c r="W14" s="98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" t="s">
        <v>2597</v>
      </c>
      <c r="C15" s="37" t="s">
        <v>2598</v>
      </c>
      <c r="D15" s="37" t="s">
        <v>271</v>
      </c>
      <c r="E15" s="266" t="s">
        <v>338</v>
      </c>
      <c r="F15" s="134">
        <v>30.0</v>
      </c>
      <c r="G15" s="134" t="s">
        <v>339</v>
      </c>
      <c r="H15" s="134" t="s">
        <v>839</v>
      </c>
      <c r="I15" s="134">
        <v>9.504570442E9</v>
      </c>
      <c r="J15" s="54">
        <v>26.0</v>
      </c>
      <c r="K15" s="55">
        <v>23.0</v>
      </c>
      <c r="L15" s="55">
        <v>0.0</v>
      </c>
      <c r="M15" s="55">
        <v>1.0</v>
      </c>
      <c r="N15" s="43">
        <f t="shared" si="1"/>
        <v>1</v>
      </c>
      <c r="O15" s="55">
        <v>6.0</v>
      </c>
      <c r="P15" s="55">
        <v>2.0</v>
      </c>
      <c r="Q15" s="43">
        <f t="shared" si="2"/>
        <v>9</v>
      </c>
      <c r="R15" s="43"/>
      <c r="S15" s="43"/>
      <c r="T15" s="43"/>
      <c r="U15" s="43"/>
      <c r="V15" s="149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37" t="s">
        <v>1732</v>
      </c>
      <c r="C16" s="37" t="s">
        <v>2599</v>
      </c>
      <c r="D16" s="37" t="s">
        <v>881</v>
      </c>
      <c r="E16" s="266" t="s">
        <v>338</v>
      </c>
      <c r="F16" s="134">
        <v>56.0</v>
      </c>
      <c r="G16" s="134" t="s">
        <v>339</v>
      </c>
      <c r="H16" s="134" t="s">
        <v>839</v>
      </c>
      <c r="I16" s="134">
        <v>9.491948542E9</v>
      </c>
      <c r="J16" s="54">
        <v>27.0</v>
      </c>
      <c r="K16" s="55">
        <v>24.0</v>
      </c>
      <c r="L16" s="55">
        <v>0.0</v>
      </c>
      <c r="M16" s="55">
        <v>0.0</v>
      </c>
      <c r="N16" s="43">
        <f t="shared" si="1"/>
        <v>0</v>
      </c>
      <c r="O16" s="55">
        <v>5.0</v>
      </c>
      <c r="P16" s="55">
        <v>3.0</v>
      </c>
      <c r="Q16" s="43">
        <f t="shared" si="2"/>
        <v>8</v>
      </c>
      <c r="R16" s="43"/>
      <c r="S16" s="43"/>
      <c r="T16" s="43"/>
      <c r="U16" s="43"/>
      <c r="V16" s="149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37" t="s">
        <v>2600</v>
      </c>
      <c r="C17" s="37" t="s">
        <v>2601</v>
      </c>
      <c r="D17" s="37" t="s">
        <v>2602</v>
      </c>
      <c r="E17" s="266" t="s">
        <v>338</v>
      </c>
      <c r="F17" s="134">
        <v>34.0</v>
      </c>
      <c r="G17" s="134" t="s">
        <v>339</v>
      </c>
      <c r="H17" s="134" t="s">
        <v>349</v>
      </c>
      <c r="I17" s="134">
        <v>9.505109295E9</v>
      </c>
      <c r="J17" s="54">
        <v>25.0</v>
      </c>
      <c r="K17" s="55">
        <v>22.0</v>
      </c>
      <c r="L17" s="55">
        <v>0.0</v>
      </c>
      <c r="M17" s="55">
        <v>2.0</v>
      </c>
      <c r="N17" s="43">
        <f t="shared" si="1"/>
        <v>2</v>
      </c>
      <c r="O17" s="55">
        <v>7.0</v>
      </c>
      <c r="P17" s="55">
        <v>1.0</v>
      </c>
      <c r="Q17" s="43">
        <f t="shared" si="2"/>
        <v>10</v>
      </c>
      <c r="R17" s="43"/>
      <c r="S17" s="43"/>
      <c r="T17" s="43"/>
      <c r="U17" s="43"/>
      <c r="V17" s="149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" t="s">
        <v>2603</v>
      </c>
      <c r="C18" s="37" t="s">
        <v>196</v>
      </c>
      <c r="D18" s="37" t="s">
        <v>2604</v>
      </c>
      <c r="E18" s="266" t="s">
        <v>338</v>
      </c>
      <c r="F18" s="134">
        <v>43.0</v>
      </c>
      <c r="G18" s="134" t="s">
        <v>339</v>
      </c>
      <c r="H18" s="134" t="s">
        <v>349</v>
      </c>
      <c r="I18" s="134">
        <v>9.093028408E9</v>
      </c>
      <c r="J18" s="54">
        <v>19.0</v>
      </c>
      <c r="K18" s="55">
        <v>13.0</v>
      </c>
      <c r="L18" s="55">
        <v>0.0</v>
      </c>
      <c r="M18" s="55">
        <v>0.0</v>
      </c>
      <c r="N18" s="43">
        <f t="shared" si="1"/>
        <v>0</v>
      </c>
      <c r="O18" s="55">
        <v>13.0</v>
      </c>
      <c r="P18" s="55">
        <v>6.0</v>
      </c>
      <c r="Q18" s="43">
        <f t="shared" si="2"/>
        <v>19</v>
      </c>
      <c r="R18" s="43"/>
      <c r="S18" s="43"/>
      <c r="T18" s="43"/>
      <c r="U18" s="43"/>
      <c r="V18" s="153" t="s">
        <v>648</v>
      </c>
      <c r="W18" s="56" t="s">
        <v>46</v>
      </c>
      <c r="Z18" s="34"/>
      <c r="AA18" s="61" t="s">
        <v>88</v>
      </c>
      <c r="AB18" s="66">
        <f>COUNTIF(S7:S157, "RPDU")</f>
        <v>1</v>
      </c>
      <c r="AC18" s="34"/>
      <c r="AD18" s="34"/>
    </row>
    <row r="19" ht="13.5" customHeight="1">
      <c r="A19" s="28">
        <v>13.0</v>
      </c>
      <c r="B19" s="37" t="s">
        <v>2605</v>
      </c>
      <c r="C19" s="37" t="s">
        <v>1786</v>
      </c>
      <c r="D19" s="37" t="s">
        <v>2606</v>
      </c>
      <c r="E19" s="266" t="s">
        <v>338</v>
      </c>
      <c r="F19" s="134">
        <v>33.0</v>
      </c>
      <c r="G19" s="134" t="s">
        <v>339</v>
      </c>
      <c r="H19" s="134" t="s">
        <v>839</v>
      </c>
      <c r="I19" s="134">
        <v>9.09727055E9</v>
      </c>
      <c r="J19" s="54">
        <v>29.0</v>
      </c>
      <c r="K19" s="55">
        <v>26.0</v>
      </c>
      <c r="L19" s="55">
        <v>0.0</v>
      </c>
      <c r="M19" s="55">
        <v>0.0</v>
      </c>
      <c r="N19" s="43">
        <f t="shared" si="1"/>
        <v>0</v>
      </c>
      <c r="O19" s="55">
        <v>3.0</v>
      </c>
      <c r="P19" s="55">
        <v>3.0</v>
      </c>
      <c r="Q19" s="43">
        <f t="shared" si="2"/>
        <v>6</v>
      </c>
      <c r="R19" s="43"/>
      <c r="S19" s="43"/>
      <c r="T19" s="43"/>
      <c r="U19" s="43"/>
      <c r="V19" s="149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" t="s">
        <v>2607</v>
      </c>
      <c r="C20" s="37" t="s">
        <v>2539</v>
      </c>
      <c r="D20" s="37" t="s">
        <v>2608</v>
      </c>
      <c r="E20" s="266" t="s">
        <v>338</v>
      </c>
      <c r="F20" s="134">
        <v>44.0</v>
      </c>
      <c r="G20" s="134" t="s">
        <v>339</v>
      </c>
      <c r="H20" s="134" t="s">
        <v>839</v>
      </c>
      <c r="I20" s="208">
        <v>9.228496968E9</v>
      </c>
      <c r="J20" s="54">
        <v>22.0</v>
      </c>
      <c r="K20" s="55">
        <v>20.0</v>
      </c>
      <c r="L20" s="55">
        <v>0.0</v>
      </c>
      <c r="M20" s="55">
        <v>0.0</v>
      </c>
      <c r="N20" s="43">
        <f t="shared" si="1"/>
        <v>0</v>
      </c>
      <c r="O20" s="55">
        <v>2.0</v>
      </c>
      <c r="P20" s="55">
        <v>10.0</v>
      </c>
      <c r="Q20" s="43">
        <f t="shared" si="2"/>
        <v>12</v>
      </c>
      <c r="R20" s="43"/>
      <c r="S20" s="43"/>
      <c r="T20" s="43"/>
      <c r="U20" s="43"/>
      <c r="V20" s="149"/>
      <c r="W20" s="56" t="s">
        <v>46</v>
      </c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37" t="s">
        <v>489</v>
      </c>
      <c r="C21" s="37" t="s">
        <v>1028</v>
      </c>
      <c r="D21" s="37" t="s">
        <v>2600</v>
      </c>
      <c r="E21" s="266" t="s">
        <v>338</v>
      </c>
      <c r="F21" s="134">
        <v>29.0</v>
      </c>
      <c r="G21" s="134" t="s">
        <v>339</v>
      </c>
      <c r="H21" s="134" t="s">
        <v>340</v>
      </c>
      <c r="I21" s="134">
        <v>9.30940684E9</v>
      </c>
      <c r="J21" s="42"/>
      <c r="K21" s="43"/>
      <c r="L21" s="43"/>
      <c r="M21" s="43"/>
      <c r="N21" s="43">
        <f t="shared" si="1"/>
        <v>0</v>
      </c>
      <c r="O21" s="43"/>
      <c r="P21" s="43"/>
      <c r="Q21" s="43">
        <f t="shared" si="2"/>
        <v>0</v>
      </c>
      <c r="R21" s="43"/>
      <c r="S21" s="43"/>
      <c r="T21" s="43"/>
      <c r="U21" s="43"/>
      <c r="V21" s="149"/>
      <c r="W21" s="44"/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37" t="s">
        <v>2609</v>
      </c>
      <c r="C22" s="37" t="s">
        <v>2610</v>
      </c>
      <c r="D22" s="37" t="s">
        <v>2611</v>
      </c>
      <c r="E22" s="266" t="s">
        <v>338</v>
      </c>
      <c r="F22" s="134">
        <v>37.0</v>
      </c>
      <c r="G22" s="134" t="s">
        <v>339</v>
      </c>
      <c r="H22" s="134" t="s">
        <v>349</v>
      </c>
      <c r="I22" s="134">
        <v>9.424592948E9</v>
      </c>
      <c r="J22" s="54">
        <v>23.0</v>
      </c>
      <c r="K22" s="55">
        <v>18.0</v>
      </c>
      <c r="L22" s="55">
        <v>0.0</v>
      </c>
      <c r="M22" s="55">
        <v>3.0</v>
      </c>
      <c r="N22" s="43">
        <f t="shared" si="1"/>
        <v>3</v>
      </c>
      <c r="O22" s="55">
        <v>6.0</v>
      </c>
      <c r="P22" s="55">
        <v>2.0</v>
      </c>
      <c r="Q22" s="43">
        <f t="shared" si="2"/>
        <v>11</v>
      </c>
      <c r="R22" s="43"/>
      <c r="S22" s="43"/>
      <c r="T22" s="43"/>
      <c r="U22" s="43"/>
      <c r="V22" s="149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37" t="s">
        <v>2609</v>
      </c>
      <c r="C23" s="37" t="s">
        <v>2612</v>
      </c>
      <c r="D23" s="37" t="s">
        <v>2613</v>
      </c>
      <c r="E23" s="266" t="s">
        <v>338</v>
      </c>
      <c r="F23" s="134">
        <v>33.0</v>
      </c>
      <c r="G23" s="134" t="s">
        <v>339</v>
      </c>
      <c r="H23" s="134" t="s">
        <v>839</v>
      </c>
      <c r="I23" s="134">
        <v>9.084110616E9</v>
      </c>
      <c r="J23" s="54">
        <v>25.0</v>
      </c>
      <c r="K23" s="55">
        <v>15.0</v>
      </c>
      <c r="L23" s="55">
        <v>0.0</v>
      </c>
      <c r="M23" s="55">
        <v>2.0</v>
      </c>
      <c r="N23" s="43">
        <f t="shared" si="1"/>
        <v>2</v>
      </c>
      <c r="O23" s="55">
        <v>7.0</v>
      </c>
      <c r="P23" s="55">
        <v>8.0</v>
      </c>
      <c r="Q23" s="43">
        <f t="shared" si="2"/>
        <v>17</v>
      </c>
      <c r="R23" s="43"/>
      <c r="S23" s="43"/>
      <c r="T23" s="43"/>
      <c r="U23" s="43"/>
      <c r="V23" s="149"/>
      <c r="W23" s="56" t="s">
        <v>46</v>
      </c>
      <c r="Z23" s="34"/>
      <c r="AA23" s="61" t="s">
        <v>109</v>
      </c>
      <c r="AB23" s="66">
        <f>COUNTIF(S7:S157, "Ortho")</f>
        <v>0</v>
      </c>
      <c r="AC23" s="34"/>
      <c r="AD23" s="34"/>
    </row>
    <row r="24" ht="13.5" customHeight="1">
      <c r="A24" s="28">
        <v>18.0</v>
      </c>
      <c r="B24" s="37" t="s">
        <v>2614</v>
      </c>
      <c r="C24" s="37" t="s">
        <v>1548</v>
      </c>
      <c r="D24" s="37" t="s">
        <v>2615</v>
      </c>
      <c r="E24" s="266" t="s">
        <v>338</v>
      </c>
      <c r="F24" s="134">
        <v>50.0</v>
      </c>
      <c r="G24" s="134" t="s">
        <v>339</v>
      </c>
      <c r="H24" s="134" t="s">
        <v>422</v>
      </c>
      <c r="I24" s="134">
        <v>9.469153362E9</v>
      </c>
      <c r="J24" s="54">
        <v>14.0</v>
      </c>
      <c r="K24" s="55">
        <v>10.0</v>
      </c>
      <c r="L24" s="55">
        <v>0.0</v>
      </c>
      <c r="M24" s="55">
        <v>3.0</v>
      </c>
      <c r="N24" s="43">
        <f t="shared" si="1"/>
        <v>3</v>
      </c>
      <c r="O24" s="55">
        <v>18.0</v>
      </c>
      <c r="P24" s="55">
        <v>1.0</v>
      </c>
      <c r="Q24" s="43">
        <f t="shared" si="2"/>
        <v>22</v>
      </c>
      <c r="R24" s="43"/>
      <c r="S24" s="43"/>
      <c r="T24" s="43"/>
      <c r="U24" s="43"/>
      <c r="V24" s="153" t="s">
        <v>648</v>
      </c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37" t="s">
        <v>2073</v>
      </c>
      <c r="C25" s="37" t="s">
        <v>1264</v>
      </c>
      <c r="D25" s="37" t="s">
        <v>1285</v>
      </c>
      <c r="E25" s="266" t="s">
        <v>338</v>
      </c>
      <c r="F25" s="134">
        <v>37.0</v>
      </c>
      <c r="G25" s="134" t="s">
        <v>339</v>
      </c>
      <c r="H25" s="134" t="s">
        <v>839</v>
      </c>
      <c r="I25" s="134">
        <v>9.209467675E9</v>
      </c>
      <c r="J25" s="54">
        <v>25.0</v>
      </c>
      <c r="K25" s="55">
        <v>20.0</v>
      </c>
      <c r="L25" s="55">
        <v>0.0</v>
      </c>
      <c r="M25" s="55">
        <v>0.0</v>
      </c>
      <c r="N25" s="43">
        <f t="shared" si="1"/>
        <v>0</v>
      </c>
      <c r="O25" s="55">
        <v>3.0</v>
      </c>
      <c r="P25" s="55">
        <v>5.0</v>
      </c>
      <c r="Q25" s="43">
        <f t="shared" si="2"/>
        <v>8</v>
      </c>
      <c r="R25" s="43"/>
      <c r="S25" s="43"/>
      <c r="T25" s="43"/>
      <c r="U25" s="43"/>
      <c r="V25" s="153" t="s">
        <v>2616</v>
      </c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37" t="s">
        <v>112</v>
      </c>
      <c r="C26" s="37" t="s">
        <v>2617</v>
      </c>
      <c r="D26" s="37" t="s">
        <v>2618</v>
      </c>
      <c r="E26" s="266" t="s">
        <v>338</v>
      </c>
      <c r="F26" s="134">
        <v>50.0</v>
      </c>
      <c r="G26" s="134" t="s">
        <v>339</v>
      </c>
      <c r="H26" s="134" t="s">
        <v>2619</v>
      </c>
      <c r="I26" s="134">
        <v>9.614452688E9</v>
      </c>
      <c r="J26" s="54">
        <v>27.0</v>
      </c>
      <c r="K26" s="55">
        <v>23.0</v>
      </c>
      <c r="L26" s="55">
        <v>0.0</v>
      </c>
      <c r="M26" s="55">
        <v>2.0</v>
      </c>
      <c r="N26" s="43">
        <f t="shared" si="1"/>
        <v>2</v>
      </c>
      <c r="O26" s="55">
        <v>5.0</v>
      </c>
      <c r="P26" s="55">
        <v>2.0</v>
      </c>
      <c r="Q26" s="43">
        <f t="shared" si="2"/>
        <v>9</v>
      </c>
      <c r="R26" s="43"/>
      <c r="S26" s="43"/>
      <c r="T26" s="43"/>
      <c r="U26" s="43"/>
      <c r="V26" s="149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37" t="s">
        <v>2494</v>
      </c>
      <c r="C27" s="37" t="s">
        <v>2620</v>
      </c>
      <c r="D27" s="37" t="s">
        <v>2621</v>
      </c>
      <c r="E27" s="266" t="s">
        <v>338</v>
      </c>
      <c r="F27" s="134">
        <v>28.0</v>
      </c>
      <c r="G27" s="134" t="s">
        <v>339</v>
      </c>
      <c r="H27" s="134" t="s">
        <v>340</v>
      </c>
      <c r="I27" s="134">
        <v>9.087357328E9</v>
      </c>
      <c r="J27" s="54">
        <v>30.0</v>
      </c>
      <c r="K27" s="55">
        <v>24.0</v>
      </c>
      <c r="L27" s="55">
        <v>0.0</v>
      </c>
      <c r="M27" s="55">
        <v>6.0</v>
      </c>
      <c r="N27" s="43">
        <f t="shared" si="1"/>
        <v>6</v>
      </c>
      <c r="O27" s="55">
        <v>2.0</v>
      </c>
      <c r="P27" s="55">
        <v>0.0</v>
      </c>
      <c r="Q27" s="43">
        <f t="shared" si="2"/>
        <v>8</v>
      </c>
      <c r="R27" s="43"/>
      <c r="S27" s="43"/>
      <c r="T27" s="43"/>
      <c r="U27" s="43"/>
      <c r="V27" s="149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37" t="s">
        <v>2622</v>
      </c>
      <c r="C28" s="37" t="s">
        <v>2623</v>
      </c>
      <c r="D28" s="37" t="s">
        <v>2624</v>
      </c>
      <c r="E28" s="266" t="s">
        <v>338</v>
      </c>
      <c r="F28" s="134">
        <v>56.0</v>
      </c>
      <c r="G28" s="134" t="s">
        <v>476</v>
      </c>
      <c r="H28" s="134" t="s">
        <v>2625</v>
      </c>
      <c r="I28" s="134">
        <v>9.993474889E9</v>
      </c>
      <c r="J28" s="54">
        <v>8.0</v>
      </c>
      <c r="K28" s="55">
        <v>8.0</v>
      </c>
      <c r="L28" s="55">
        <v>0.0</v>
      </c>
      <c r="M28" s="55">
        <v>0.0</v>
      </c>
      <c r="N28" s="43">
        <f t="shared" si="1"/>
        <v>0</v>
      </c>
      <c r="O28" s="55">
        <v>24.0</v>
      </c>
      <c r="P28" s="55">
        <v>0.0</v>
      </c>
      <c r="Q28" s="43">
        <f t="shared" si="2"/>
        <v>24</v>
      </c>
      <c r="R28" s="43"/>
      <c r="S28" s="43"/>
      <c r="T28" s="43"/>
      <c r="U28" s="43"/>
      <c r="V28" s="153" t="s">
        <v>2626</v>
      </c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37" t="s">
        <v>2627</v>
      </c>
      <c r="C29" s="37" t="s">
        <v>2628</v>
      </c>
      <c r="D29" s="37" t="s">
        <v>2629</v>
      </c>
      <c r="E29" s="266" t="s">
        <v>338</v>
      </c>
      <c r="F29" s="134">
        <v>37.0</v>
      </c>
      <c r="G29" s="134" t="s">
        <v>476</v>
      </c>
      <c r="H29" s="134" t="s">
        <v>2630</v>
      </c>
      <c r="I29" s="134">
        <v>9.179164964E9</v>
      </c>
      <c r="J29" s="54">
        <v>28.0</v>
      </c>
      <c r="K29" s="55">
        <v>21.0</v>
      </c>
      <c r="L29" s="55">
        <v>0.0</v>
      </c>
      <c r="M29" s="55">
        <v>0.0</v>
      </c>
      <c r="N29" s="43">
        <f t="shared" si="1"/>
        <v>0</v>
      </c>
      <c r="O29" s="55">
        <v>4.0</v>
      </c>
      <c r="P29" s="55">
        <v>7.0</v>
      </c>
      <c r="Q29" s="43">
        <f t="shared" si="2"/>
        <v>11</v>
      </c>
      <c r="R29" s="43"/>
      <c r="S29" s="43"/>
      <c r="T29" s="43"/>
      <c r="U29" s="43"/>
      <c r="V29" s="149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37" t="s">
        <v>2631</v>
      </c>
      <c r="C30" s="37" t="s">
        <v>2632</v>
      </c>
      <c r="D30" s="37" t="s">
        <v>2575</v>
      </c>
      <c r="E30" s="266" t="s">
        <v>338</v>
      </c>
      <c r="F30" s="134">
        <v>41.0</v>
      </c>
      <c r="G30" s="134" t="s">
        <v>476</v>
      </c>
      <c r="H30" s="134" t="s">
        <v>2630</v>
      </c>
      <c r="I30" s="134">
        <v>9.43132311E9</v>
      </c>
      <c r="J30" s="54">
        <v>27.0</v>
      </c>
      <c r="K30" s="55">
        <v>23.0</v>
      </c>
      <c r="L30" s="55">
        <v>0.0</v>
      </c>
      <c r="M30" s="55">
        <v>0.0</v>
      </c>
      <c r="N30" s="43">
        <f t="shared" si="1"/>
        <v>0</v>
      </c>
      <c r="O30" s="55">
        <v>6.0</v>
      </c>
      <c r="P30" s="55">
        <v>3.0</v>
      </c>
      <c r="Q30" s="43">
        <f t="shared" si="2"/>
        <v>9</v>
      </c>
      <c r="R30" s="43"/>
      <c r="S30" s="43"/>
      <c r="T30" s="43"/>
      <c r="U30" s="43"/>
      <c r="V30" s="153" t="s">
        <v>2633</v>
      </c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37" t="s">
        <v>2634</v>
      </c>
      <c r="C31" s="37" t="s">
        <v>1347</v>
      </c>
      <c r="D31" s="37" t="s">
        <v>2635</v>
      </c>
      <c r="E31" s="266" t="s">
        <v>338</v>
      </c>
      <c r="F31" s="134">
        <v>26.0</v>
      </c>
      <c r="G31" s="134" t="s">
        <v>476</v>
      </c>
      <c r="H31" s="134" t="s">
        <v>2630</v>
      </c>
      <c r="I31" s="134">
        <v>9.27855872E9</v>
      </c>
      <c r="J31" s="42"/>
      <c r="K31" s="43"/>
      <c r="L31" s="43"/>
      <c r="M31" s="43"/>
      <c r="N31" s="43">
        <f t="shared" si="1"/>
        <v>0</v>
      </c>
      <c r="O31" s="43"/>
      <c r="P31" s="43"/>
      <c r="Q31" s="43">
        <f t="shared" si="2"/>
        <v>0</v>
      </c>
      <c r="R31" s="43"/>
      <c r="S31" s="43"/>
      <c r="T31" s="43"/>
      <c r="U31" s="43"/>
      <c r="V31" s="149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37" t="s">
        <v>1424</v>
      </c>
      <c r="C32" s="37" t="s">
        <v>2636</v>
      </c>
      <c r="D32" s="37" t="s">
        <v>2134</v>
      </c>
      <c r="E32" s="266" t="s">
        <v>338</v>
      </c>
      <c r="F32" s="134">
        <v>40.0</v>
      </c>
      <c r="G32" s="134" t="s">
        <v>476</v>
      </c>
      <c r="H32" s="134" t="s">
        <v>2630</v>
      </c>
      <c r="I32" s="134">
        <v>9.959650484E9</v>
      </c>
      <c r="J32" s="54">
        <v>27.0</v>
      </c>
      <c r="K32" s="55">
        <v>15.0</v>
      </c>
      <c r="L32" s="55">
        <v>1.0</v>
      </c>
      <c r="M32" s="55">
        <v>6.0</v>
      </c>
      <c r="N32" s="43">
        <f t="shared" si="1"/>
        <v>7</v>
      </c>
      <c r="O32" s="55">
        <v>5.0</v>
      </c>
      <c r="P32" s="55">
        <v>5.0</v>
      </c>
      <c r="Q32" s="43">
        <f t="shared" si="2"/>
        <v>17</v>
      </c>
      <c r="R32" s="43"/>
      <c r="S32" s="43"/>
      <c r="T32" s="43"/>
      <c r="U32" s="43"/>
      <c r="V32" s="149"/>
      <c r="W32" s="56" t="s">
        <v>46</v>
      </c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37" t="s">
        <v>2637</v>
      </c>
      <c r="C33" s="37" t="s">
        <v>2638</v>
      </c>
      <c r="D33" s="37" t="s">
        <v>2639</v>
      </c>
      <c r="E33" s="266" t="s">
        <v>338</v>
      </c>
      <c r="F33" s="134">
        <v>37.0</v>
      </c>
      <c r="G33" s="134" t="s">
        <v>476</v>
      </c>
      <c r="H33" s="134" t="s">
        <v>594</v>
      </c>
      <c r="I33" s="134">
        <v>9.395223756E9</v>
      </c>
      <c r="J33" s="54">
        <v>27.0</v>
      </c>
      <c r="K33" s="55">
        <v>25.0</v>
      </c>
      <c r="L33" s="55">
        <v>0.0</v>
      </c>
      <c r="M33" s="55">
        <v>2.0</v>
      </c>
      <c r="N33" s="43">
        <f t="shared" si="1"/>
        <v>2</v>
      </c>
      <c r="O33" s="55">
        <v>5.0</v>
      </c>
      <c r="P33" s="55">
        <v>0.0</v>
      </c>
      <c r="Q33" s="43">
        <f t="shared" si="2"/>
        <v>7</v>
      </c>
      <c r="R33" s="43"/>
      <c r="S33" s="43"/>
      <c r="T33" s="43"/>
      <c r="U33" s="43"/>
      <c r="V33" s="149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37" t="s">
        <v>2640</v>
      </c>
      <c r="C34" s="37" t="s">
        <v>246</v>
      </c>
      <c r="D34" s="37" t="s">
        <v>2641</v>
      </c>
      <c r="E34" s="266" t="s">
        <v>338</v>
      </c>
      <c r="F34" s="134">
        <v>56.0</v>
      </c>
      <c r="G34" s="134" t="s">
        <v>476</v>
      </c>
      <c r="H34" s="134" t="s">
        <v>594</v>
      </c>
      <c r="I34" s="134">
        <v>9.471925893E9</v>
      </c>
      <c r="J34" s="54">
        <v>13.0</v>
      </c>
      <c r="K34" s="55">
        <v>8.0</v>
      </c>
      <c r="L34" s="55">
        <v>0.0</v>
      </c>
      <c r="M34" s="55">
        <v>1.0</v>
      </c>
      <c r="N34" s="43">
        <f t="shared" si="1"/>
        <v>1</v>
      </c>
      <c r="O34" s="55">
        <v>19.0</v>
      </c>
      <c r="P34" s="55">
        <v>4.0</v>
      </c>
      <c r="Q34" s="43">
        <f t="shared" si="2"/>
        <v>24</v>
      </c>
      <c r="R34" s="43"/>
      <c r="S34" s="55" t="s">
        <v>88</v>
      </c>
      <c r="T34" s="43"/>
      <c r="U34" s="43"/>
      <c r="V34" s="149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37" t="s">
        <v>2642</v>
      </c>
      <c r="C35" s="37" t="s">
        <v>2643</v>
      </c>
      <c r="D35" s="37" t="s">
        <v>1027</v>
      </c>
      <c r="E35" s="266" t="s">
        <v>338</v>
      </c>
      <c r="F35" s="134">
        <v>40.0</v>
      </c>
      <c r="G35" s="134" t="s">
        <v>476</v>
      </c>
      <c r="H35" s="134" t="s">
        <v>519</v>
      </c>
      <c r="I35" s="134">
        <v>9.093976511E9</v>
      </c>
      <c r="J35" s="161">
        <v>26.0</v>
      </c>
      <c r="K35" s="55">
        <v>16.0</v>
      </c>
      <c r="L35" s="55">
        <v>0.0</v>
      </c>
      <c r="M35" s="55">
        <v>0.0</v>
      </c>
      <c r="N35" s="43">
        <f t="shared" si="1"/>
        <v>0</v>
      </c>
      <c r="O35" s="55">
        <v>6.0</v>
      </c>
      <c r="P35" s="55">
        <v>7.0</v>
      </c>
      <c r="Q35" s="43">
        <f t="shared" si="2"/>
        <v>13</v>
      </c>
      <c r="R35" s="43"/>
      <c r="S35" s="43"/>
      <c r="T35" s="43"/>
      <c r="U35" s="43"/>
      <c r="V35" s="149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37" t="s">
        <v>2644</v>
      </c>
      <c r="C36" s="37" t="s">
        <v>2645</v>
      </c>
      <c r="D36" s="37" t="s">
        <v>2646</v>
      </c>
      <c r="E36" s="266" t="s">
        <v>338</v>
      </c>
      <c r="F36" s="134">
        <v>63.0</v>
      </c>
      <c r="G36" s="134" t="s">
        <v>476</v>
      </c>
      <c r="H36" s="134" t="s">
        <v>519</v>
      </c>
      <c r="I36" s="134">
        <v>9.684993025E9</v>
      </c>
      <c r="J36" s="87">
        <v>11.0</v>
      </c>
      <c r="K36" s="55">
        <v>8.0</v>
      </c>
      <c r="L36" s="55">
        <v>0.0</v>
      </c>
      <c r="M36" s="55">
        <v>3.0</v>
      </c>
      <c r="N36" s="43">
        <f t="shared" si="1"/>
        <v>3</v>
      </c>
      <c r="O36" s="55">
        <v>21.0</v>
      </c>
      <c r="P36" s="55">
        <v>0.0</v>
      </c>
      <c r="Q36" s="43">
        <f t="shared" si="2"/>
        <v>24</v>
      </c>
      <c r="R36" s="43"/>
      <c r="S36" s="43"/>
      <c r="T36" s="43"/>
      <c r="U36" s="43"/>
      <c r="V36" s="149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37" t="s">
        <v>112</v>
      </c>
      <c r="C37" s="37" t="s">
        <v>1765</v>
      </c>
      <c r="D37" s="37" t="s">
        <v>2647</v>
      </c>
      <c r="E37" s="266" t="s">
        <v>338</v>
      </c>
      <c r="F37" s="134">
        <v>31.0</v>
      </c>
      <c r="G37" s="134" t="s">
        <v>476</v>
      </c>
      <c r="H37" s="134" t="s">
        <v>519</v>
      </c>
      <c r="I37" s="134">
        <v>9.187215416E9</v>
      </c>
      <c r="J37" s="87">
        <v>30.0</v>
      </c>
      <c r="K37" s="55">
        <v>25.0</v>
      </c>
      <c r="L37" s="55">
        <v>0.0</v>
      </c>
      <c r="M37" s="55">
        <v>3.0</v>
      </c>
      <c r="N37" s="43">
        <f t="shared" si="1"/>
        <v>3</v>
      </c>
      <c r="O37" s="55">
        <v>0.0</v>
      </c>
      <c r="P37" s="55">
        <v>2.0</v>
      </c>
      <c r="Q37" s="43">
        <f t="shared" si="2"/>
        <v>5</v>
      </c>
      <c r="R37" s="43"/>
      <c r="S37" s="43"/>
      <c r="T37" s="43"/>
      <c r="U37" s="43"/>
      <c r="V37" s="149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37" t="s">
        <v>2648</v>
      </c>
      <c r="C38" s="37" t="s">
        <v>366</v>
      </c>
      <c r="D38" s="37" t="s">
        <v>2649</v>
      </c>
      <c r="E38" s="266" t="s">
        <v>338</v>
      </c>
      <c r="F38" s="134">
        <v>44.0</v>
      </c>
      <c r="G38" s="134" t="s">
        <v>476</v>
      </c>
      <c r="H38" s="134" t="s">
        <v>2650</v>
      </c>
      <c r="I38" s="134">
        <v>9.075008394E9</v>
      </c>
      <c r="J38" s="87">
        <v>30.0</v>
      </c>
      <c r="K38" s="55">
        <v>27.0</v>
      </c>
      <c r="L38" s="55">
        <v>0.0</v>
      </c>
      <c r="M38" s="55">
        <v>2.0</v>
      </c>
      <c r="N38" s="43">
        <f t="shared" si="1"/>
        <v>2</v>
      </c>
      <c r="O38" s="55">
        <v>2.0</v>
      </c>
      <c r="P38" s="55">
        <v>0.0</v>
      </c>
      <c r="Q38" s="43">
        <f t="shared" si="2"/>
        <v>4</v>
      </c>
      <c r="R38" s="43"/>
      <c r="S38" s="43"/>
      <c r="T38" s="43"/>
      <c r="U38" s="43"/>
      <c r="V38" s="153" t="s">
        <v>2651</v>
      </c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37" t="s">
        <v>1190</v>
      </c>
      <c r="C39" s="37" t="s">
        <v>2652</v>
      </c>
      <c r="D39" s="37" t="s">
        <v>866</v>
      </c>
      <c r="E39" s="266" t="s">
        <v>338</v>
      </c>
      <c r="F39" s="134">
        <v>34.0</v>
      </c>
      <c r="G39" s="134" t="s">
        <v>476</v>
      </c>
      <c r="H39" s="134" t="s">
        <v>2368</v>
      </c>
      <c r="I39" s="134">
        <v>9.915171714E9</v>
      </c>
      <c r="J39" s="87">
        <v>26.0</v>
      </c>
      <c r="K39" s="55">
        <v>20.0</v>
      </c>
      <c r="L39" s="55">
        <v>0.0</v>
      </c>
      <c r="M39" s="55">
        <v>2.0</v>
      </c>
      <c r="N39" s="43">
        <f t="shared" si="1"/>
        <v>2</v>
      </c>
      <c r="O39" s="55">
        <v>4.0</v>
      </c>
      <c r="P39" s="55">
        <v>4.0</v>
      </c>
      <c r="Q39" s="43">
        <f t="shared" si="2"/>
        <v>10</v>
      </c>
      <c r="R39" s="43"/>
      <c r="S39" s="43"/>
      <c r="T39" s="43"/>
      <c r="U39" s="43"/>
      <c r="V39" s="149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37" t="s">
        <v>2653</v>
      </c>
      <c r="C40" s="37" t="s">
        <v>2654</v>
      </c>
      <c r="D40" s="37" t="s">
        <v>2655</v>
      </c>
      <c r="E40" s="266" t="s">
        <v>338</v>
      </c>
      <c r="F40" s="134">
        <v>31.0</v>
      </c>
      <c r="G40" s="134" t="s">
        <v>476</v>
      </c>
      <c r="H40" s="134" t="s">
        <v>519</v>
      </c>
      <c r="I40" s="134">
        <v>9.518718444E9</v>
      </c>
      <c r="J40" s="87">
        <v>28.0</v>
      </c>
      <c r="K40" s="55">
        <v>25.0</v>
      </c>
      <c r="L40" s="55">
        <v>1.0</v>
      </c>
      <c r="M40" s="55">
        <v>2.0</v>
      </c>
      <c r="N40" s="43">
        <f t="shared" si="1"/>
        <v>3</v>
      </c>
      <c r="O40" s="55">
        <v>4.0</v>
      </c>
      <c r="P40" s="55">
        <v>0.0</v>
      </c>
      <c r="Q40" s="43">
        <f t="shared" si="2"/>
        <v>7</v>
      </c>
      <c r="R40" s="43"/>
      <c r="S40" s="43"/>
      <c r="T40" s="43"/>
      <c r="U40" s="43"/>
      <c r="V40" s="149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37" t="s">
        <v>2656</v>
      </c>
      <c r="C41" s="37" t="s">
        <v>2657</v>
      </c>
      <c r="D41" s="37" t="s">
        <v>2622</v>
      </c>
      <c r="E41" s="266" t="s">
        <v>338</v>
      </c>
      <c r="F41" s="134">
        <v>33.0</v>
      </c>
      <c r="G41" s="134" t="s">
        <v>476</v>
      </c>
      <c r="H41" s="134" t="s">
        <v>2658</v>
      </c>
      <c r="I41" s="134">
        <v>9.391090274E9</v>
      </c>
      <c r="J41" s="87">
        <v>30.0</v>
      </c>
      <c r="K41" s="55">
        <v>28.0</v>
      </c>
      <c r="L41" s="55">
        <v>0.0</v>
      </c>
      <c r="M41" s="55">
        <v>0.0</v>
      </c>
      <c r="N41" s="43">
        <f t="shared" si="1"/>
        <v>0</v>
      </c>
      <c r="O41" s="55">
        <v>2.0</v>
      </c>
      <c r="P41" s="55">
        <v>0.0</v>
      </c>
      <c r="Q41" s="43">
        <f t="shared" si="2"/>
        <v>2</v>
      </c>
      <c r="R41" s="43"/>
      <c r="S41" s="43"/>
      <c r="T41" s="43"/>
      <c r="U41" s="43"/>
      <c r="V41" s="153" t="s">
        <v>2659</v>
      </c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37" t="s">
        <v>407</v>
      </c>
      <c r="C42" s="37" t="s">
        <v>2660</v>
      </c>
      <c r="D42" s="37" t="s">
        <v>2104</v>
      </c>
      <c r="E42" s="266" t="s">
        <v>338</v>
      </c>
      <c r="F42" s="134">
        <v>44.0</v>
      </c>
      <c r="G42" s="134" t="s">
        <v>476</v>
      </c>
      <c r="H42" s="134" t="s">
        <v>2658</v>
      </c>
      <c r="I42" s="134">
        <v>9.33812605E9</v>
      </c>
      <c r="J42" s="87">
        <v>22.0</v>
      </c>
      <c r="K42" s="55">
        <v>18.0</v>
      </c>
      <c r="L42" s="43"/>
      <c r="M42" s="55">
        <v>0.0</v>
      </c>
      <c r="N42" s="43">
        <f t="shared" si="1"/>
        <v>0</v>
      </c>
      <c r="O42" s="55">
        <v>9.0</v>
      </c>
      <c r="P42" s="55">
        <v>4.0</v>
      </c>
      <c r="Q42" s="43">
        <f t="shared" si="2"/>
        <v>13</v>
      </c>
      <c r="R42" s="43"/>
      <c r="S42" s="43"/>
      <c r="T42" s="43"/>
      <c r="U42" s="43"/>
      <c r="V42" s="149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37" t="s">
        <v>1141</v>
      </c>
      <c r="C43" s="37" t="s">
        <v>2661</v>
      </c>
      <c r="D43" s="37" t="s">
        <v>2662</v>
      </c>
      <c r="E43" s="266" t="s">
        <v>338</v>
      </c>
      <c r="F43" s="134">
        <v>40.0</v>
      </c>
      <c r="G43" s="134" t="s">
        <v>476</v>
      </c>
      <c r="H43" s="134" t="s">
        <v>2658</v>
      </c>
      <c r="I43" s="134">
        <v>9.553888675E9</v>
      </c>
      <c r="J43" s="87">
        <v>16.0</v>
      </c>
      <c r="K43" s="55">
        <v>12.0</v>
      </c>
      <c r="L43" s="55">
        <v>1.0</v>
      </c>
      <c r="M43" s="55">
        <v>2.0</v>
      </c>
      <c r="N43" s="43">
        <f t="shared" si="1"/>
        <v>3</v>
      </c>
      <c r="O43" s="55">
        <v>15.0</v>
      </c>
      <c r="P43" s="55">
        <v>1.0</v>
      </c>
      <c r="Q43" s="43">
        <f t="shared" si="2"/>
        <v>19</v>
      </c>
      <c r="R43" s="43"/>
      <c r="S43" s="43"/>
      <c r="T43" s="43"/>
      <c r="U43" s="43"/>
      <c r="V43" s="153" t="s">
        <v>648</v>
      </c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37" t="s">
        <v>2663</v>
      </c>
      <c r="C44" s="37" t="s">
        <v>1650</v>
      </c>
      <c r="D44" s="37" t="s">
        <v>2664</v>
      </c>
      <c r="E44" s="266" t="s">
        <v>338</v>
      </c>
      <c r="F44" s="134">
        <v>52.0</v>
      </c>
      <c r="G44" s="134" t="s">
        <v>476</v>
      </c>
      <c r="H44" s="134" t="s">
        <v>2658</v>
      </c>
      <c r="I44" s="134">
        <v>9.087065298E9</v>
      </c>
      <c r="J44" s="87">
        <v>10.0</v>
      </c>
      <c r="K44" s="55">
        <v>6.0</v>
      </c>
      <c r="L44" s="55">
        <v>0.0</v>
      </c>
      <c r="M44" s="55">
        <v>3.0</v>
      </c>
      <c r="N44" s="43">
        <f t="shared" si="1"/>
        <v>3</v>
      </c>
      <c r="O44" s="55">
        <v>22.0</v>
      </c>
      <c r="P44" s="55">
        <v>1.0</v>
      </c>
      <c r="Q44" s="43">
        <f t="shared" si="2"/>
        <v>26</v>
      </c>
      <c r="R44" s="43"/>
      <c r="S44" s="43"/>
      <c r="T44" s="43"/>
      <c r="U44" s="43"/>
      <c r="V44" s="153" t="s">
        <v>786</v>
      </c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37" t="s">
        <v>2665</v>
      </c>
      <c r="C45" s="37" t="s">
        <v>2666</v>
      </c>
      <c r="D45" s="37" t="s">
        <v>2667</v>
      </c>
      <c r="E45" s="266" t="s">
        <v>338</v>
      </c>
      <c r="F45" s="134">
        <v>47.0</v>
      </c>
      <c r="G45" s="134" t="s">
        <v>476</v>
      </c>
      <c r="H45" s="134" t="s">
        <v>480</v>
      </c>
      <c r="I45" s="134">
        <v>9.212262488E9</v>
      </c>
      <c r="J45" s="87">
        <v>28.0</v>
      </c>
      <c r="K45" s="55">
        <v>23.0</v>
      </c>
      <c r="L45" s="55">
        <v>0.0</v>
      </c>
      <c r="M45" s="55">
        <v>1.0</v>
      </c>
      <c r="N45" s="43">
        <f t="shared" si="1"/>
        <v>1</v>
      </c>
      <c r="O45" s="55">
        <v>4.0</v>
      </c>
      <c r="P45" s="55">
        <v>4.0</v>
      </c>
      <c r="Q45" s="43">
        <f t="shared" si="2"/>
        <v>9</v>
      </c>
      <c r="R45" s="43"/>
      <c r="S45" s="43"/>
      <c r="T45" s="43"/>
      <c r="U45" s="43"/>
      <c r="V45" s="149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37" t="s">
        <v>2668</v>
      </c>
      <c r="C46" s="37" t="s">
        <v>1765</v>
      </c>
      <c r="D46" s="37" t="s">
        <v>2669</v>
      </c>
      <c r="E46" s="266" t="s">
        <v>338</v>
      </c>
      <c r="F46" s="134">
        <v>49.0</v>
      </c>
      <c r="G46" s="134" t="s">
        <v>476</v>
      </c>
      <c r="H46" s="134" t="s">
        <v>708</v>
      </c>
      <c r="I46" s="134">
        <v>9.605314416E9</v>
      </c>
      <c r="J46" s="87">
        <v>11.0</v>
      </c>
      <c r="K46" s="55">
        <v>8.0</v>
      </c>
      <c r="L46" s="55">
        <v>0.0</v>
      </c>
      <c r="M46" s="55">
        <v>2.0</v>
      </c>
      <c r="N46" s="43">
        <f t="shared" si="1"/>
        <v>2</v>
      </c>
      <c r="O46" s="55">
        <v>21.0</v>
      </c>
      <c r="P46" s="55">
        <v>1.0</v>
      </c>
      <c r="Q46" s="43">
        <f t="shared" si="2"/>
        <v>24</v>
      </c>
      <c r="R46" s="43"/>
      <c r="S46" s="43"/>
      <c r="T46" s="43"/>
      <c r="U46" s="43"/>
      <c r="V46" s="153" t="s">
        <v>786</v>
      </c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37" t="s">
        <v>2670</v>
      </c>
      <c r="C47" s="37" t="s">
        <v>1548</v>
      </c>
      <c r="D47" s="37" t="s">
        <v>2671</v>
      </c>
      <c r="E47" s="266" t="s">
        <v>338</v>
      </c>
      <c r="F47" s="134">
        <v>42.0</v>
      </c>
      <c r="G47" s="134" t="s">
        <v>476</v>
      </c>
      <c r="H47" s="134" t="s">
        <v>480</v>
      </c>
      <c r="I47" s="134">
        <v>9.46725946E9</v>
      </c>
      <c r="J47" s="87">
        <v>25.0</v>
      </c>
      <c r="K47" s="55">
        <v>16.0</v>
      </c>
      <c r="L47" s="55">
        <v>1.0</v>
      </c>
      <c r="M47" s="55">
        <v>6.0</v>
      </c>
      <c r="N47" s="43">
        <f t="shared" si="1"/>
        <v>7</v>
      </c>
      <c r="O47" s="55">
        <v>7.0</v>
      </c>
      <c r="P47" s="55">
        <v>2.0</v>
      </c>
      <c r="Q47" s="43">
        <f t="shared" si="2"/>
        <v>16</v>
      </c>
      <c r="R47" s="43"/>
      <c r="S47" s="43"/>
      <c r="T47" s="43"/>
      <c r="U47" s="43"/>
      <c r="V47" s="149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37" t="s">
        <v>2094</v>
      </c>
      <c r="C48" s="37" t="s">
        <v>2212</v>
      </c>
      <c r="D48" s="37" t="s">
        <v>1168</v>
      </c>
      <c r="E48" s="266" t="s">
        <v>338</v>
      </c>
      <c r="F48" s="134">
        <v>54.0</v>
      </c>
      <c r="G48" s="134" t="s">
        <v>476</v>
      </c>
      <c r="H48" s="134" t="s">
        <v>2672</v>
      </c>
      <c r="I48" s="134">
        <v>9.166157614E9</v>
      </c>
      <c r="J48" s="87">
        <v>21.0</v>
      </c>
      <c r="K48" s="55">
        <v>13.0</v>
      </c>
      <c r="L48" s="55">
        <v>0.0</v>
      </c>
      <c r="M48" s="55">
        <v>3.0</v>
      </c>
      <c r="N48" s="43">
        <f t="shared" si="1"/>
        <v>3</v>
      </c>
      <c r="O48" s="55">
        <v>11.0</v>
      </c>
      <c r="P48" s="55">
        <v>5.0</v>
      </c>
      <c r="Q48" s="43">
        <f t="shared" si="2"/>
        <v>19</v>
      </c>
      <c r="R48" s="43"/>
      <c r="S48" s="43"/>
      <c r="T48" s="43"/>
      <c r="U48" s="43"/>
      <c r="V48" s="149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37" t="s">
        <v>2673</v>
      </c>
      <c r="C49" s="37" t="s">
        <v>2674</v>
      </c>
      <c r="D49" s="37" t="s">
        <v>2675</v>
      </c>
      <c r="E49" s="266" t="s">
        <v>338</v>
      </c>
      <c r="F49" s="134">
        <v>26.0</v>
      </c>
      <c r="G49" s="134" t="s">
        <v>476</v>
      </c>
      <c r="H49" s="134" t="s">
        <v>480</v>
      </c>
      <c r="I49" s="134">
        <v>9.353004869E9</v>
      </c>
      <c r="J49" s="87">
        <v>28.0</v>
      </c>
      <c r="K49" s="55">
        <v>25.0</v>
      </c>
      <c r="L49" s="55">
        <v>0.0</v>
      </c>
      <c r="M49" s="55">
        <v>3.0</v>
      </c>
      <c r="N49" s="43">
        <f t="shared" si="1"/>
        <v>3</v>
      </c>
      <c r="O49" s="55">
        <v>0.0</v>
      </c>
      <c r="P49" s="55">
        <v>0.0</v>
      </c>
      <c r="Q49" s="43">
        <f t="shared" si="2"/>
        <v>3</v>
      </c>
      <c r="R49" s="43"/>
      <c r="S49" s="43"/>
      <c r="T49" s="43"/>
      <c r="U49" s="43"/>
      <c r="V49" s="153" t="s">
        <v>457</v>
      </c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37" t="s">
        <v>2676</v>
      </c>
      <c r="C50" s="37" t="s">
        <v>1028</v>
      </c>
      <c r="D50" s="37" t="s">
        <v>2677</v>
      </c>
      <c r="E50" s="266" t="s">
        <v>338</v>
      </c>
      <c r="F50" s="134">
        <v>38.0</v>
      </c>
      <c r="G50" s="134" t="s">
        <v>476</v>
      </c>
      <c r="H50" s="134" t="s">
        <v>480</v>
      </c>
      <c r="I50" s="134">
        <v>9.355642004E9</v>
      </c>
      <c r="J50" s="87">
        <v>30.0</v>
      </c>
      <c r="K50" s="55">
        <v>21.0</v>
      </c>
      <c r="L50" s="55">
        <v>0.0</v>
      </c>
      <c r="M50" s="55">
        <v>0.0</v>
      </c>
      <c r="N50" s="43">
        <f t="shared" si="1"/>
        <v>0</v>
      </c>
      <c r="O50" s="55">
        <v>2.0</v>
      </c>
      <c r="P50" s="55">
        <v>9.0</v>
      </c>
      <c r="Q50" s="43">
        <f t="shared" si="2"/>
        <v>11</v>
      </c>
      <c r="R50" s="43"/>
      <c r="S50" s="43"/>
      <c r="T50" s="43"/>
      <c r="U50" s="43"/>
      <c r="V50" s="149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7" t="s">
        <v>2678</v>
      </c>
      <c r="C51" s="37" t="s">
        <v>433</v>
      </c>
      <c r="D51" s="37" t="s">
        <v>2679</v>
      </c>
      <c r="E51" s="266" t="s">
        <v>338</v>
      </c>
      <c r="F51" s="134">
        <v>28.0</v>
      </c>
      <c r="G51" s="134" t="s">
        <v>476</v>
      </c>
      <c r="H51" s="134" t="s">
        <v>480</v>
      </c>
      <c r="I51" s="134">
        <v>9.124586238E9</v>
      </c>
      <c r="J51" s="83"/>
      <c r="K51" s="43"/>
      <c r="L51" s="43"/>
      <c r="M51" s="43"/>
      <c r="N51" s="43">
        <f t="shared" si="1"/>
        <v>0</v>
      </c>
      <c r="O51" s="43"/>
      <c r="P51" s="43"/>
      <c r="Q51" s="43">
        <f t="shared" si="2"/>
        <v>0</v>
      </c>
      <c r="R51" s="43"/>
      <c r="S51" s="43"/>
      <c r="T51" s="43"/>
      <c r="U51" s="43"/>
      <c r="V51" s="149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37" t="s">
        <v>2680</v>
      </c>
      <c r="C52" s="37" t="s">
        <v>1434</v>
      </c>
      <c r="D52" s="37" t="s">
        <v>2681</v>
      </c>
      <c r="E52" s="266" t="s">
        <v>338</v>
      </c>
      <c r="F52" s="134">
        <v>48.0</v>
      </c>
      <c r="G52" s="134" t="s">
        <v>476</v>
      </c>
      <c r="H52" s="134" t="s">
        <v>2658</v>
      </c>
      <c r="I52" s="134">
        <v>9.495967643E9</v>
      </c>
      <c r="J52" s="87">
        <v>22.0</v>
      </c>
      <c r="K52" s="55">
        <v>17.0</v>
      </c>
      <c r="L52" s="55">
        <v>0.0</v>
      </c>
      <c r="M52" s="55">
        <v>1.0</v>
      </c>
      <c r="N52" s="43">
        <f t="shared" si="1"/>
        <v>1</v>
      </c>
      <c r="O52" s="55">
        <v>10.0</v>
      </c>
      <c r="P52" s="55">
        <v>4.0</v>
      </c>
      <c r="Q52" s="43">
        <f t="shared" si="2"/>
        <v>15</v>
      </c>
      <c r="R52" s="43"/>
      <c r="S52" s="43"/>
      <c r="T52" s="43"/>
      <c r="U52" s="43"/>
      <c r="V52" s="153" t="s">
        <v>786</v>
      </c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47.0</v>
      </c>
      <c r="B53" s="37" t="s">
        <v>2682</v>
      </c>
      <c r="C53" s="37" t="s">
        <v>2683</v>
      </c>
      <c r="D53" s="37" t="s">
        <v>2684</v>
      </c>
      <c r="E53" s="266" t="s">
        <v>338</v>
      </c>
      <c r="F53" s="134">
        <v>29.0</v>
      </c>
      <c r="G53" s="134" t="s">
        <v>476</v>
      </c>
      <c r="H53" s="134" t="s">
        <v>480</v>
      </c>
      <c r="I53" s="134">
        <v>9.770352895E9</v>
      </c>
      <c r="J53" s="87">
        <v>27.0</v>
      </c>
      <c r="K53" s="55">
        <v>21.0</v>
      </c>
      <c r="L53" s="55">
        <v>0.0</v>
      </c>
      <c r="M53" s="55">
        <v>0.0</v>
      </c>
      <c r="N53" s="43">
        <f t="shared" si="1"/>
        <v>0</v>
      </c>
      <c r="O53" s="55">
        <v>5.0</v>
      </c>
      <c r="P53" s="55">
        <v>6.0</v>
      </c>
      <c r="Q53" s="43">
        <f t="shared" si="2"/>
        <v>11</v>
      </c>
      <c r="R53" s="43"/>
      <c r="S53" s="43"/>
      <c r="T53" s="43"/>
      <c r="U53" s="43"/>
      <c r="V53" s="153" t="s">
        <v>692</v>
      </c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37" t="s">
        <v>2582</v>
      </c>
      <c r="C54" s="37" t="s">
        <v>2685</v>
      </c>
      <c r="D54" s="37" t="s">
        <v>2686</v>
      </c>
      <c r="E54" s="266" t="s">
        <v>338</v>
      </c>
      <c r="F54" s="134">
        <v>33.0</v>
      </c>
      <c r="G54" s="134" t="s">
        <v>584</v>
      </c>
      <c r="H54" s="134" t="s">
        <v>480</v>
      </c>
      <c r="I54" s="134">
        <v>9.079712219E9</v>
      </c>
      <c r="J54" s="87">
        <v>31.0</v>
      </c>
      <c r="K54" s="55">
        <v>28.0</v>
      </c>
      <c r="L54" s="55">
        <v>0.0</v>
      </c>
      <c r="M54" s="55">
        <v>3.0</v>
      </c>
      <c r="N54" s="43">
        <f t="shared" si="1"/>
        <v>3</v>
      </c>
      <c r="O54" s="55">
        <v>1.0</v>
      </c>
      <c r="P54" s="55">
        <v>0.0</v>
      </c>
      <c r="Q54" s="43">
        <f t="shared" si="2"/>
        <v>4</v>
      </c>
      <c r="R54" s="43"/>
      <c r="S54" s="43"/>
      <c r="T54" s="43"/>
      <c r="U54" s="43"/>
      <c r="V54" s="149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37" t="s">
        <v>2687</v>
      </c>
      <c r="C55" s="37" t="s">
        <v>2688</v>
      </c>
      <c r="D55" s="37" t="s">
        <v>2689</v>
      </c>
      <c r="E55" s="266" t="s">
        <v>338</v>
      </c>
      <c r="F55" s="134">
        <v>40.0</v>
      </c>
      <c r="G55" s="134" t="s">
        <v>476</v>
      </c>
      <c r="H55" s="134" t="s">
        <v>480</v>
      </c>
      <c r="I55" s="134">
        <v>9.48656799E9</v>
      </c>
      <c r="J55" s="83"/>
      <c r="K55" s="43"/>
      <c r="L55" s="43"/>
      <c r="M55" s="43"/>
      <c r="N55" s="43">
        <f t="shared" si="1"/>
        <v>0</v>
      </c>
      <c r="O55" s="43"/>
      <c r="P55" s="43"/>
      <c r="Q55" s="43">
        <f t="shared" si="2"/>
        <v>0</v>
      </c>
      <c r="R55" s="43"/>
      <c r="S55" s="43"/>
      <c r="T55" s="43"/>
      <c r="U55" s="43"/>
      <c r="V55" s="149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37" t="s">
        <v>389</v>
      </c>
      <c r="C56" s="37" t="s">
        <v>2690</v>
      </c>
      <c r="D56" s="37" t="s">
        <v>2691</v>
      </c>
      <c r="E56" s="266" t="s">
        <v>338</v>
      </c>
      <c r="F56" s="134">
        <v>27.0</v>
      </c>
      <c r="G56" s="134" t="s">
        <v>476</v>
      </c>
      <c r="H56" s="134" t="s">
        <v>663</v>
      </c>
      <c r="I56" s="134">
        <v>9.508511354E9</v>
      </c>
      <c r="J56" s="83"/>
      <c r="K56" s="43"/>
      <c r="L56" s="43"/>
      <c r="M56" s="43"/>
      <c r="N56" s="43">
        <f t="shared" si="1"/>
        <v>0</v>
      </c>
      <c r="O56" s="43"/>
      <c r="P56" s="43"/>
      <c r="Q56" s="43">
        <f t="shared" si="2"/>
        <v>0</v>
      </c>
      <c r="R56" s="43"/>
      <c r="S56" s="43"/>
      <c r="T56" s="43"/>
      <c r="U56" s="43"/>
      <c r="V56" s="149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37" t="s">
        <v>2692</v>
      </c>
      <c r="C57" s="37" t="s">
        <v>2693</v>
      </c>
      <c r="D57" s="37" t="s">
        <v>2694</v>
      </c>
      <c r="E57" s="266" t="s">
        <v>338</v>
      </c>
      <c r="F57" s="134">
        <v>33.0</v>
      </c>
      <c r="G57" s="134" t="s">
        <v>476</v>
      </c>
      <c r="H57" s="134" t="s">
        <v>480</v>
      </c>
      <c r="I57" s="134">
        <v>9.61194942E9</v>
      </c>
      <c r="J57" s="83"/>
      <c r="K57" s="43"/>
      <c r="L57" s="43"/>
      <c r="M57" s="43"/>
      <c r="N57" s="43">
        <f t="shared" si="1"/>
        <v>0</v>
      </c>
      <c r="O57" s="43"/>
      <c r="P57" s="43"/>
      <c r="Q57" s="43">
        <f t="shared" si="2"/>
        <v>0</v>
      </c>
      <c r="R57" s="43"/>
      <c r="S57" s="43"/>
      <c r="T57" s="43"/>
      <c r="U57" s="43"/>
      <c r="V57" s="149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37" t="s">
        <v>2695</v>
      </c>
      <c r="C58" s="37" t="s">
        <v>2696</v>
      </c>
      <c r="D58" s="37" t="s">
        <v>2697</v>
      </c>
      <c r="E58" s="266" t="s">
        <v>338</v>
      </c>
      <c r="F58" s="134">
        <v>30.0</v>
      </c>
      <c r="G58" s="134" t="s">
        <v>476</v>
      </c>
      <c r="H58" s="134" t="s">
        <v>480</v>
      </c>
      <c r="I58" s="134">
        <v>9.655742617E9</v>
      </c>
      <c r="J58" s="83"/>
      <c r="K58" s="43"/>
      <c r="L58" s="43"/>
      <c r="M58" s="43"/>
      <c r="N58" s="43">
        <f t="shared" si="1"/>
        <v>0</v>
      </c>
      <c r="O58" s="43"/>
      <c r="P58" s="43"/>
      <c r="Q58" s="43">
        <f t="shared" si="2"/>
        <v>0</v>
      </c>
      <c r="R58" s="43"/>
      <c r="S58" s="43"/>
      <c r="T58" s="43"/>
      <c r="U58" s="43"/>
      <c r="V58" s="149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37" t="s">
        <v>2698</v>
      </c>
      <c r="C59" s="37" t="s">
        <v>2699</v>
      </c>
      <c r="D59" s="37" t="s">
        <v>2700</v>
      </c>
      <c r="E59" s="266" t="s">
        <v>338</v>
      </c>
      <c r="F59" s="134">
        <v>28.0</v>
      </c>
      <c r="G59" s="134" t="s">
        <v>476</v>
      </c>
      <c r="H59" s="134" t="s">
        <v>480</v>
      </c>
      <c r="I59" s="134">
        <v>9.630094357E9</v>
      </c>
      <c r="J59" s="83"/>
      <c r="K59" s="43"/>
      <c r="L59" s="43"/>
      <c r="M59" s="43"/>
      <c r="N59" s="43">
        <f t="shared" si="1"/>
        <v>0</v>
      </c>
      <c r="O59" s="43"/>
      <c r="P59" s="43"/>
      <c r="Q59" s="43">
        <f t="shared" si="2"/>
        <v>0</v>
      </c>
      <c r="R59" s="43"/>
      <c r="S59" s="43"/>
      <c r="T59" s="43"/>
      <c r="U59" s="43"/>
      <c r="V59" s="149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37" t="s">
        <v>112</v>
      </c>
      <c r="C60" s="37" t="s">
        <v>2701</v>
      </c>
      <c r="D60" s="37" t="s">
        <v>2702</v>
      </c>
      <c r="E60" s="266" t="s">
        <v>338</v>
      </c>
      <c r="F60" s="134">
        <v>46.0</v>
      </c>
      <c r="G60" s="134" t="s">
        <v>339</v>
      </c>
      <c r="H60" s="134" t="s">
        <v>2619</v>
      </c>
      <c r="I60" s="134">
        <v>9.605314209E9</v>
      </c>
      <c r="J60" s="87">
        <v>27.0</v>
      </c>
      <c r="K60" s="55">
        <v>26.0</v>
      </c>
      <c r="L60" s="55">
        <v>0.0</v>
      </c>
      <c r="M60" s="55">
        <v>1.0</v>
      </c>
      <c r="N60" s="43">
        <f t="shared" si="1"/>
        <v>1</v>
      </c>
      <c r="O60" s="55">
        <v>5.0</v>
      </c>
      <c r="P60" s="55">
        <v>0.0</v>
      </c>
      <c r="Q60" s="43">
        <f t="shared" si="2"/>
        <v>6</v>
      </c>
      <c r="R60" s="43"/>
      <c r="S60" s="43"/>
      <c r="T60" s="43"/>
      <c r="U60" s="43"/>
      <c r="V60" s="153" t="s">
        <v>2703</v>
      </c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37" t="s">
        <v>2704</v>
      </c>
      <c r="C61" s="37" t="s">
        <v>1464</v>
      </c>
      <c r="D61" s="37" t="s">
        <v>2705</v>
      </c>
      <c r="E61" s="266" t="s">
        <v>338</v>
      </c>
      <c r="F61" s="134">
        <v>49.0</v>
      </c>
      <c r="G61" s="134" t="s">
        <v>339</v>
      </c>
      <c r="H61" s="134" t="s">
        <v>2706</v>
      </c>
      <c r="I61" s="134">
        <v>9.326278881E9</v>
      </c>
      <c r="J61" s="87">
        <v>26.0</v>
      </c>
      <c r="K61" s="55">
        <v>26.0</v>
      </c>
      <c r="L61" s="55">
        <v>0.0</v>
      </c>
      <c r="M61" s="55">
        <v>0.0</v>
      </c>
      <c r="N61" s="43">
        <f t="shared" si="1"/>
        <v>0</v>
      </c>
      <c r="O61" s="55">
        <v>6.0</v>
      </c>
      <c r="P61" s="55">
        <v>0.0</v>
      </c>
      <c r="Q61" s="43">
        <f t="shared" si="2"/>
        <v>6</v>
      </c>
      <c r="R61" s="43"/>
      <c r="S61" s="43"/>
      <c r="T61" s="43"/>
      <c r="U61" s="43"/>
      <c r="V61" s="149"/>
      <c r="W61" s="56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37" t="s">
        <v>2707</v>
      </c>
      <c r="C62" s="37" t="s">
        <v>1650</v>
      </c>
      <c r="D62" s="37" t="s">
        <v>2708</v>
      </c>
      <c r="E62" s="266" t="s">
        <v>338</v>
      </c>
      <c r="F62" s="134">
        <v>45.0</v>
      </c>
      <c r="G62" s="134" t="s">
        <v>339</v>
      </c>
      <c r="H62" s="134" t="s">
        <v>2709</v>
      </c>
      <c r="I62" s="134">
        <v>9.17621518E9</v>
      </c>
      <c r="J62" s="87">
        <v>30.0</v>
      </c>
      <c r="K62" s="55">
        <v>23.0</v>
      </c>
      <c r="L62" s="55">
        <v>1.0</v>
      </c>
      <c r="M62" s="55">
        <v>3.0</v>
      </c>
      <c r="N62" s="43">
        <f t="shared" si="1"/>
        <v>4</v>
      </c>
      <c r="O62" s="55">
        <v>2.0</v>
      </c>
      <c r="P62" s="55">
        <v>3.0</v>
      </c>
      <c r="Q62" s="43">
        <f t="shared" si="2"/>
        <v>9</v>
      </c>
      <c r="R62" s="43"/>
      <c r="S62" s="43"/>
      <c r="T62" s="43"/>
      <c r="U62" s="43"/>
      <c r="V62" s="149"/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37" t="s">
        <v>2710</v>
      </c>
      <c r="C63" s="37" t="s">
        <v>1357</v>
      </c>
      <c r="D63" s="37" t="s">
        <v>2711</v>
      </c>
      <c r="E63" s="266" t="s">
        <v>338</v>
      </c>
      <c r="F63" s="134">
        <v>58.0</v>
      </c>
      <c r="G63" s="134" t="s">
        <v>339</v>
      </c>
      <c r="H63" s="134" t="s">
        <v>2712</v>
      </c>
      <c r="I63" s="134">
        <v>9.391834552E9</v>
      </c>
      <c r="J63" s="87">
        <v>19.0</v>
      </c>
      <c r="K63" s="55">
        <v>13.0</v>
      </c>
      <c r="L63" s="55">
        <v>0.0</v>
      </c>
      <c r="M63" s="55">
        <v>0.0</v>
      </c>
      <c r="N63" s="43">
        <f t="shared" si="1"/>
        <v>0</v>
      </c>
      <c r="O63" s="55">
        <v>13.0</v>
      </c>
      <c r="P63" s="55">
        <v>6.0</v>
      </c>
      <c r="Q63" s="43">
        <f t="shared" si="2"/>
        <v>19</v>
      </c>
      <c r="R63" s="43"/>
      <c r="S63" s="43"/>
      <c r="T63" s="43"/>
      <c r="U63" s="43"/>
      <c r="V63" s="153" t="s">
        <v>2713</v>
      </c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37" t="s">
        <v>1007</v>
      </c>
      <c r="C64" s="37" t="s">
        <v>1368</v>
      </c>
      <c r="D64" s="37" t="s">
        <v>2714</v>
      </c>
      <c r="E64" s="266" t="s">
        <v>338</v>
      </c>
      <c r="F64" s="134">
        <v>54.0</v>
      </c>
      <c r="G64" s="134" t="s">
        <v>339</v>
      </c>
      <c r="H64" s="134" t="s">
        <v>2715</v>
      </c>
      <c r="I64" s="134">
        <v>9.605314415E9</v>
      </c>
      <c r="J64" s="87">
        <v>27.0</v>
      </c>
      <c r="K64" s="55">
        <v>21.0</v>
      </c>
      <c r="L64" s="55">
        <v>0.0</v>
      </c>
      <c r="M64" s="55">
        <v>0.0</v>
      </c>
      <c r="N64" s="43">
        <f t="shared" si="1"/>
        <v>0</v>
      </c>
      <c r="O64" s="55">
        <v>7.0</v>
      </c>
      <c r="P64" s="55">
        <v>5.0</v>
      </c>
      <c r="Q64" s="43">
        <f t="shared" si="2"/>
        <v>12</v>
      </c>
      <c r="R64" s="43"/>
      <c r="S64" s="43"/>
      <c r="T64" s="43"/>
      <c r="U64" s="43"/>
      <c r="V64" s="149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37" t="s">
        <v>2716</v>
      </c>
      <c r="C65" s="37" t="s">
        <v>2717</v>
      </c>
      <c r="D65" s="37" t="s">
        <v>2718</v>
      </c>
      <c r="E65" s="266" t="s">
        <v>338</v>
      </c>
      <c r="F65" s="134">
        <v>54.0</v>
      </c>
      <c r="G65" s="134" t="s">
        <v>339</v>
      </c>
      <c r="H65" s="134" t="s">
        <v>2709</v>
      </c>
      <c r="I65" s="134">
        <v>9.958975949E9</v>
      </c>
      <c r="J65" s="87">
        <v>19.0</v>
      </c>
      <c r="K65" s="55">
        <v>19.0</v>
      </c>
      <c r="L65" s="55">
        <v>0.0</v>
      </c>
      <c r="M65" s="55">
        <v>0.0</v>
      </c>
      <c r="N65" s="43">
        <f t="shared" si="1"/>
        <v>0</v>
      </c>
      <c r="O65" s="55">
        <v>13.0</v>
      </c>
      <c r="P65" s="55">
        <v>0.0</v>
      </c>
      <c r="Q65" s="43">
        <f t="shared" si="2"/>
        <v>13</v>
      </c>
      <c r="R65" s="43"/>
      <c r="S65" s="43"/>
      <c r="T65" s="43"/>
      <c r="U65" s="43"/>
      <c r="V65" s="149"/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37" t="s">
        <v>2719</v>
      </c>
      <c r="C66" s="37" t="s">
        <v>2720</v>
      </c>
      <c r="D66" s="37" t="s">
        <v>2721</v>
      </c>
      <c r="E66" s="266" t="s">
        <v>338</v>
      </c>
      <c r="F66" s="134">
        <v>47.0</v>
      </c>
      <c r="G66" s="134" t="s">
        <v>385</v>
      </c>
      <c r="H66" s="134" t="s">
        <v>2709</v>
      </c>
      <c r="I66" s="134">
        <v>9.192328E9</v>
      </c>
      <c r="J66" s="87">
        <v>27.0</v>
      </c>
      <c r="K66" s="55">
        <v>17.0</v>
      </c>
      <c r="L66" s="55">
        <v>4.0</v>
      </c>
      <c r="M66" s="55">
        <v>6.0</v>
      </c>
      <c r="N66" s="43">
        <f t="shared" si="1"/>
        <v>10</v>
      </c>
      <c r="O66" s="55">
        <v>5.0</v>
      </c>
      <c r="P66" s="55">
        <v>0.0</v>
      </c>
      <c r="Q66" s="43">
        <f t="shared" si="2"/>
        <v>15</v>
      </c>
      <c r="R66" s="43"/>
      <c r="S66" s="43"/>
      <c r="T66" s="43"/>
      <c r="U66" s="43"/>
      <c r="V66" s="149"/>
      <c r="W66" s="56" t="s">
        <v>46</v>
      </c>
      <c r="Z66" s="61"/>
      <c r="AA66" s="61"/>
      <c r="AB66" s="66"/>
      <c r="AC66" s="34"/>
      <c r="AD66" s="34"/>
    </row>
    <row r="67" ht="13.5" customHeight="1">
      <c r="A67" s="28">
        <v>61.0</v>
      </c>
      <c r="B67" s="37" t="s">
        <v>2247</v>
      </c>
      <c r="C67" s="37" t="s">
        <v>1395</v>
      </c>
      <c r="D67" s="37" t="s">
        <v>2722</v>
      </c>
      <c r="E67" s="266" t="s">
        <v>338</v>
      </c>
      <c r="F67" s="134">
        <v>46.0</v>
      </c>
      <c r="G67" s="134" t="s">
        <v>339</v>
      </c>
      <c r="H67" s="134" t="s">
        <v>2712</v>
      </c>
      <c r="I67" s="134">
        <v>9.603118094E9</v>
      </c>
      <c r="J67" s="87">
        <v>24.0</v>
      </c>
      <c r="K67" s="55">
        <v>19.0</v>
      </c>
      <c r="L67" s="55">
        <v>1.0</v>
      </c>
      <c r="M67" s="55">
        <v>4.0</v>
      </c>
      <c r="N67" s="43">
        <f t="shared" si="1"/>
        <v>5</v>
      </c>
      <c r="O67" s="55">
        <v>7.0</v>
      </c>
      <c r="P67" s="55">
        <v>0.0</v>
      </c>
      <c r="Q67" s="43">
        <f t="shared" si="2"/>
        <v>12</v>
      </c>
      <c r="R67" s="43"/>
      <c r="S67" s="43"/>
      <c r="T67" s="43"/>
      <c r="U67" s="43"/>
      <c r="V67" s="149"/>
      <c r="W67" s="56" t="s">
        <v>46</v>
      </c>
      <c r="Z67" s="61"/>
      <c r="AA67" s="61"/>
      <c r="AB67" s="66"/>
      <c r="AC67" s="34"/>
      <c r="AD67" s="34"/>
    </row>
    <row r="68" ht="13.5" customHeight="1">
      <c r="A68" s="28">
        <v>62.0</v>
      </c>
      <c r="B68" s="37" t="s">
        <v>1928</v>
      </c>
      <c r="C68" s="37" t="s">
        <v>2723</v>
      </c>
      <c r="D68" s="37" t="s">
        <v>2724</v>
      </c>
      <c r="E68" s="266" t="s">
        <v>338</v>
      </c>
      <c r="F68" s="134">
        <v>28.0</v>
      </c>
      <c r="G68" s="134" t="s">
        <v>385</v>
      </c>
      <c r="H68" s="134" t="s">
        <v>974</v>
      </c>
      <c r="I68" s="134">
        <v>9.605314447E9</v>
      </c>
      <c r="J68" s="87">
        <v>23.0</v>
      </c>
      <c r="K68" s="55">
        <v>16.0</v>
      </c>
      <c r="L68" s="55">
        <v>3.0</v>
      </c>
      <c r="M68" s="55">
        <v>3.0</v>
      </c>
      <c r="N68" s="43">
        <f t="shared" si="1"/>
        <v>6</v>
      </c>
      <c r="O68" s="55">
        <v>7.0</v>
      </c>
      <c r="P68" s="55">
        <v>1.0</v>
      </c>
      <c r="Q68" s="43">
        <f t="shared" si="2"/>
        <v>14</v>
      </c>
      <c r="R68" s="43"/>
      <c r="S68" s="43"/>
      <c r="T68" s="43"/>
      <c r="U68" s="43"/>
      <c r="V68" s="149"/>
      <c r="W68" s="56" t="s">
        <v>46</v>
      </c>
      <c r="Z68" s="61"/>
      <c r="AA68" s="61"/>
      <c r="AB68" s="66"/>
      <c r="AC68" s="34"/>
      <c r="AD68" s="34"/>
    </row>
    <row r="69" ht="13.5" customHeight="1">
      <c r="A69" s="28">
        <v>63.0</v>
      </c>
      <c r="B69" s="37" t="s">
        <v>2725</v>
      </c>
      <c r="C69" s="37" t="s">
        <v>2726</v>
      </c>
      <c r="D69" s="37" t="s">
        <v>2727</v>
      </c>
      <c r="E69" s="266" t="s">
        <v>338</v>
      </c>
      <c r="F69" s="134">
        <v>46.0</v>
      </c>
      <c r="G69" s="134" t="s">
        <v>339</v>
      </c>
      <c r="H69" s="134" t="s">
        <v>2712</v>
      </c>
      <c r="I69" s="134">
        <v>9.075757221E9</v>
      </c>
      <c r="J69" s="87">
        <v>17.0</v>
      </c>
      <c r="K69" s="55">
        <v>11.0</v>
      </c>
      <c r="L69" s="55">
        <v>0.0</v>
      </c>
      <c r="M69" s="55">
        <v>5.0</v>
      </c>
      <c r="N69" s="43">
        <f t="shared" si="1"/>
        <v>5</v>
      </c>
      <c r="O69" s="55">
        <v>15.0</v>
      </c>
      <c r="P69" s="55">
        <v>1.0</v>
      </c>
      <c r="Q69" s="43">
        <f t="shared" si="2"/>
        <v>21</v>
      </c>
      <c r="R69" s="43"/>
      <c r="S69" s="43"/>
      <c r="T69" s="43"/>
      <c r="U69" s="43"/>
      <c r="V69" s="153" t="s">
        <v>648</v>
      </c>
      <c r="W69" s="56" t="s">
        <v>46</v>
      </c>
      <c r="Z69" s="61"/>
      <c r="AA69" s="61"/>
      <c r="AB69" s="66"/>
      <c r="AC69" s="34"/>
      <c r="AD69" s="34"/>
    </row>
    <row r="70" ht="13.5" customHeight="1">
      <c r="A70" s="28">
        <v>64.0</v>
      </c>
      <c r="B70" s="37" t="s">
        <v>2728</v>
      </c>
      <c r="C70" s="37" t="s">
        <v>2729</v>
      </c>
      <c r="D70" s="37" t="s">
        <v>2730</v>
      </c>
      <c r="E70" s="266" t="s">
        <v>338</v>
      </c>
      <c r="F70" s="134">
        <v>47.0</v>
      </c>
      <c r="G70" s="134" t="s">
        <v>339</v>
      </c>
      <c r="H70" s="134" t="s">
        <v>974</v>
      </c>
      <c r="I70" s="134">
        <v>9.163048588E9</v>
      </c>
      <c r="J70" s="87">
        <v>17.0</v>
      </c>
      <c r="K70" s="55">
        <v>17.0</v>
      </c>
      <c r="L70" s="55">
        <v>0.0</v>
      </c>
      <c r="M70" s="55">
        <v>0.0</v>
      </c>
      <c r="N70" s="43">
        <f t="shared" si="1"/>
        <v>0</v>
      </c>
      <c r="O70" s="55">
        <v>15.0</v>
      </c>
      <c r="P70" s="55">
        <v>0.0</v>
      </c>
      <c r="Q70" s="43">
        <f t="shared" si="2"/>
        <v>15</v>
      </c>
      <c r="R70" s="43"/>
      <c r="S70" s="43"/>
      <c r="T70" s="43"/>
      <c r="U70" s="43"/>
      <c r="V70" s="153" t="s">
        <v>648</v>
      </c>
      <c r="W70" s="56" t="s">
        <v>46</v>
      </c>
      <c r="Z70" s="61"/>
      <c r="AA70" s="61"/>
      <c r="AB70" s="66"/>
      <c r="AC70" s="34"/>
      <c r="AD70" s="34"/>
    </row>
    <row r="71" ht="13.5" customHeight="1">
      <c r="A71" s="28">
        <v>65.0</v>
      </c>
      <c r="B71" s="37" t="s">
        <v>2731</v>
      </c>
      <c r="C71" s="37" t="s">
        <v>2732</v>
      </c>
      <c r="D71" s="37" t="s">
        <v>1532</v>
      </c>
      <c r="E71" s="266" t="s">
        <v>338</v>
      </c>
      <c r="F71" s="134">
        <v>39.0</v>
      </c>
      <c r="G71" s="134" t="s">
        <v>339</v>
      </c>
      <c r="H71" s="134" t="s">
        <v>2715</v>
      </c>
      <c r="I71" s="134">
        <v>9.752913574E9</v>
      </c>
      <c r="J71" s="87">
        <v>31.0</v>
      </c>
      <c r="K71" s="55">
        <v>25.0</v>
      </c>
      <c r="L71" s="55">
        <v>0.0</v>
      </c>
      <c r="M71" s="55">
        <v>3.0</v>
      </c>
      <c r="N71" s="43">
        <f t="shared" si="1"/>
        <v>3</v>
      </c>
      <c r="O71" s="55">
        <v>1.0</v>
      </c>
      <c r="P71" s="55">
        <v>3.0</v>
      </c>
      <c r="Q71" s="43">
        <f t="shared" si="2"/>
        <v>7</v>
      </c>
      <c r="R71" s="43"/>
      <c r="S71" s="43"/>
      <c r="T71" s="43"/>
      <c r="U71" s="43"/>
      <c r="V71" s="149"/>
      <c r="W71" s="56" t="s">
        <v>46</v>
      </c>
      <c r="Z71" s="61"/>
      <c r="AA71" s="61"/>
      <c r="AB71" s="66"/>
      <c r="AC71" s="34"/>
      <c r="AD71" s="34"/>
    </row>
    <row r="72" ht="13.5" customHeight="1">
      <c r="A72" s="28">
        <v>66.0</v>
      </c>
      <c r="B72" s="37" t="s">
        <v>2733</v>
      </c>
      <c r="C72" s="37" t="s">
        <v>2734</v>
      </c>
      <c r="D72" s="37" t="s">
        <v>2735</v>
      </c>
      <c r="E72" s="266" t="s">
        <v>338</v>
      </c>
      <c r="F72" s="134">
        <v>25.0</v>
      </c>
      <c r="G72" s="134" t="s">
        <v>339</v>
      </c>
      <c r="H72" s="134" t="s">
        <v>2368</v>
      </c>
      <c r="I72" s="134">
        <v>9.357763217E9</v>
      </c>
      <c r="J72" s="87">
        <v>27.0</v>
      </c>
      <c r="K72" s="55">
        <v>26.0</v>
      </c>
      <c r="L72" s="55">
        <v>0.0</v>
      </c>
      <c r="M72" s="55">
        <v>0.0</v>
      </c>
      <c r="N72" s="43">
        <f t="shared" si="1"/>
        <v>0</v>
      </c>
      <c r="O72" s="55">
        <v>5.0</v>
      </c>
      <c r="P72" s="55">
        <v>1.0</v>
      </c>
      <c r="Q72" s="43">
        <f t="shared" si="2"/>
        <v>6</v>
      </c>
      <c r="R72" s="43"/>
      <c r="S72" s="43"/>
      <c r="T72" s="43"/>
      <c r="U72" s="43"/>
      <c r="V72" s="153" t="s">
        <v>2703</v>
      </c>
      <c r="W72" s="56" t="s">
        <v>46</v>
      </c>
      <c r="Z72" s="61"/>
      <c r="AA72" s="61"/>
      <c r="AB72" s="66"/>
      <c r="AC72" s="34"/>
      <c r="AD72" s="34"/>
    </row>
    <row r="73" ht="13.5" customHeight="1">
      <c r="A73" s="28">
        <v>67.0</v>
      </c>
      <c r="B73" s="37" t="s">
        <v>2736</v>
      </c>
      <c r="C73" s="37" t="s">
        <v>2737</v>
      </c>
      <c r="D73" s="37" t="s">
        <v>2738</v>
      </c>
      <c r="E73" s="266" t="s">
        <v>338</v>
      </c>
      <c r="F73" s="134">
        <v>32.0</v>
      </c>
      <c r="G73" s="134" t="s">
        <v>339</v>
      </c>
      <c r="H73" s="134" t="s">
        <v>2709</v>
      </c>
      <c r="I73" s="134">
        <v>9.772564385E9</v>
      </c>
      <c r="J73" s="83"/>
      <c r="K73" s="43"/>
      <c r="L73" s="43"/>
      <c r="M73" s="43"/>
      <c r="N73" s="43">
        <f t="shared" si="1"/>
        <v>0</v>
      </c>
      <c r="O73" s="43"/>
      <c r="P73" s="43"/>
      <c r="Q73" s="43">
        <f t="shared" si="2"/>
        <v>0</v>
      </c>
      <c r="R73" s="43"/>
      <c r="S73" s="43"/>
      <c r="T73" s="43"/>
      <c r="U73" s="43"/>
      <c r="V73" s="149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37" t="s">
        <v>2739</v>
      </c>
      <c r="C74" s="37" t="s">
        <v>2740</v>
      </c>
      <c r="D74" s="37" t="s">
        <v>2702</v>
      </c>
      <c r="E74" s="266" t="s">
        <v>338</v>
      </c>
      <c r="F74" s="134">
        <v>45.0</v>
      </c>
      <c r="G74" s="134" t="s">
        <v>339</v>
      </c>
      <c r="H74" s="134" t="s">
        <v>998</v>
      </c>
      <c r="I74" s="134">
        <v>9.08668976E9</v>
      </c>
      <c r="J74" s="87">
        <v>23.0</v>
      </c>
      <c r="K74" s="55">
        <v>18.0</v>
      </c>
      <c r="L74" s="55">
        <v>0.0</v>
      </c>
      <c r="M74" s="55">
        <v>0.0</v>
      </c>
      <c r="N74" s="43">
        <f t="shared" si="1"/>
        <v>0</v>
      </c>
      <c r="O74" s="55">
        <v>5.0</v>
      </c>
      <c r="P74" s="55">
        <v>5.0</v>
      </c>
      <c r="Q74" s="43">
        <f t="shared" si="2"/>
        <v>10</v>
      </c>
      <c r="R74" s="43"/>
      <c r="S74" s="43"/>
      <c r="T74" s="43"/>
      <c r="U74" s="43"/>
      <c r="V74" s="153" t="s">
        <v>2741</v>
      </c>
      <c r="W74" s="56" t="s">
        <v>46</v>
      </c>
      <c r="Z74" s="61"/>
      <c r="AA74" s="61"/>
      <c r="AB74" s="66"/>
      <c r="AC74" s="34"/>
      <c r="AD74" s="34"/>
    </row>
    <row r="75" ht="13.5" customHeight="1">
      <c r="A75" s="28">
        <v>69.0</v>
      </c>
      <c r="B75" s="37" t="s">
        <v>2742</v>
      </c>
      <c r="C75" s="37" t="s">
        <v>1673</v>
      </c>
      <c r="D75" s="37" t="s">
        <v>2743</v>
      </c>
      <c r="E75" s="266" t="s">
        <v>338</v>
      </c>
      <c r="F75" s="134">
        <v>43.0</v>
      </c>
      <c r="G75" s="134" t="s">
        <v>476</v>
      </c>
      <c r="H75" s="134" t="s">
        <v>435</v>
      </c>
      <c r="I75" s="134">
        <v>9.684992991E9</v>
      </c>
      <c r="J75" s="87">
        <v>32.0</v>
      </c>
      <c r="K75" s="55">
        <v>29.0</v>
      </c>
      <c r="L75" s="55">
        <v>0.0</v>
      </c>
      <c r="M75" s="55">
        <v>3.0</v>
      </c>
      <c r="N75" s="43">
        <f t="shared" si="1"/>
        <v>3</v>
      </c>
      <c r="O75" s="55">
        <v>0.0</v>
      </c>
      <c r="P75" s="55">
        <v>0.0</v>
      </c>
      <c r="Q75" s="43">
        <f t="shared" si="2"/>
        <v>3</v>
      </c>
      <c r="R75" s="43"/>
      <c r="S75" s="43"/>
      <c r="T75" s="43"/>
      <c r="U75" s="43"/>
      <c r="V75" s="149"/>
      <c r="W75" s="56" t="s">
        <v>46</v>
      </c>
      <c r="Z75" s="61"/>
      <c r="AA75" s="61"/>
      <c r="AB75" s="66"/>
      <c r="AC75" s="34"/>
      <c r="AD75" s="34"/>
    </row>
    <row r="76" ht="13.5" customHeight="1">
      <c r="A76" s="28">
        <v>70.0</v>
      </c>
      <c r="B76" s="37" t="s">
        <v>932</v>
      </c>
      <c r="C76" s="37" t="s">
        <v>2744</v>
      </c>
      <c r="D76" s="37" t="s">
        <v>2745</v>
      </c>
      <c r="E76" s="266" t="s">
        <v>338</v>
      </c>
      <c r="F76" s="134">
        <v>46.0</v>
      </c>
      <c r="G76" s="134" t="s">
        <v>476</v>
      </c>
      <c r="H76" s="134" t="s">
        <v>663</v>
      </c>
      <c r="I76" s="134">
        <v>9.193218448E9</v>
      </c>
      <c r="J76" s="54">
        <v>26.0</v>
      </c>
      <c r="K76" s="55">
        <v>22.0</v>
      </c>
      <c r="L76" s="55">
        <v>0.0</v>
      </c>
      <c r="M76" s="55">
        <v>0.0</v>
      </c>
      <c r="N76" s="43">
        <f t="shared" si="1"/>
        <v>0</v>
      </c>
      <c r="O76" s="55">
        <v>6.0</v>
      </c>
      <c r="P76" s="55">
        <v>4.0</v>
      </c>
      <c r="Q76" s="43">
        <f t="shared" si="2"/>
        <v>10</v>
      </c>
      <c r="R76" s="43"/>
      <c r="S76" s="43"/>
      <c r="T76" s="43"/>
      <c r="U76" s="43"/>
      <c r="V76" s="149"/>
      <c r="W76" s="56" t="s">
        <v>46</v>
      </c>
      <c r="Z76" s="61"/>
      <c r="AA76" s="61"/>
      <c r="AB76" s="66"/>
      <c r="AC76" s="34"/>
      <c r="AD76" s="34"/>
    </row>
    <row r="77" ht="13.5" customHeight="1">
      <c r="A77" s="28">
        <v>71.0</v>
      </c>
      <c r="B77" s="37" t="s">
        <v>1846</v>
      </c>
      <c r="C77" s="37" t="s">
        <v>2746</v>
      </c>
      <c r="D77" s="37" t="s">
        <v>2668</v>
      </c>
      <c r="E77" s="266" t="s">
        <v>338</v>
      </c>
      <c r="F77" s="134">
        <v>50.0</v>
      </c>
      <c r="G77" s="134" t="s">
        <v>476</v>
      </c>
      <c r="H77" s="134" t="s">
        <v>435</v>
      </c>
      <c r="I77" s="134">
        <v>9.994207248E9</v>
      </c>
      <c r="J77" s="54">
        <v>3.0</v>
      </c>
      <c r="K77" s="55">
        <v>3.0</v>
      </c>
      <c r="L77" s="55">
        <v>0.0</v>
      </c>
      <c r="M77" s="55">
        <v>0.0</v>
      </c>
      <c r="N77" s="43">
        <f t="shared" si="1"/>
        <v>0</v>
      </c>
      <c r="O77" s="55">
        <v>29.0</v>
      </c>
      <c r="P77" s="55">
        <v>0.0</v>
      </c>
      <c r="Q77" s="43">
        <f t="shared" si="2"/>
        <v>29</v>
      </c>
      <c r="R77" s="43"/>
      <c r="S77" s="43"/>
      <c r="T77" s="43"/>
      <c r="U77" s="43"/>
      <c r="V77" s="153" t="s">
        <v>2626</v>
      </c>
      <c r="W77" s="56" t="s">
        <v>46</v>
      </c>
      <c r="Z77" s="61"/>
      <c r="AA77" s="61"/>
      <c r="AB77" s="66"/>
      <c r="AC77" s="34"/>
      <c r="AD77" s="34"/>
    </row>
    <row r="78" ht="13.5" customHeight="1">
      <c r="A78" s="28">
        <v>72.0</v>
      </c>
      <c r="B78" s="37" t="s">
        <v>2747</v>
      </c>
      <c r="C78" s="37" t="s">
        <v>1395</v>
      </c>
      <c r="D78" s="37" t="s">
        <v>2748</v>
      </c>
      <c r="E78" s="266" t="s">
        <v>338</v>
      </c>
      <c r="F78" s="134">
        <v>40.0</v>
      </c>
      <c r="G78" s="134" t="s">
        <v>476</v>
      </c>
      <c r="H78" s="134" t="s">
        <v>646</v>
      </c>
      <c r="I78" s="134">
        <v>9.30639502E9</v>
      </c>
      <c r="J78" s="54">
        <v>31.0</v>
      </c>
      <c r="K78" s="55">
        <v>27.0</v>
      </c>
      <c r="L78" s="55">
        <v>0.0</v>
      </c>
      <c r="M78" s="55">
        <v>0.0</v>
      </c>
      <c r="N78" s="43">
        <f t="shared" si="1"/>
        <v>0</v>
      </c>
      <c r="O78" s="55">
        <v>1.0</v>
      </c>
      <c r="P78" s="55">
        <v>4.0</v>
      </c>
      <c r="Q78" s="43">
        <f t="shared" si="2"/>
        <v>5</v>
      </c>
      <c r="R78" s="43"/>
      <c r="S78" s="43"/>
      <c r="T78" s="43"/>
      <c r="U78" s="43"/>
      <c r="V78" s="149"/>
      <c r="W78" s="56" t="s">
        <v>46</v>
      </c>
      <c r="Z78" s="61"/>
      <c r="AA78" s="61"/>
      <c r="AB78" s="66"/>
      <c r="AC78" s="34"/>
      <c r="AD78" s="34"/>
    </row>
    <row r="79" ht="13.5" customHeight="1">
      <c r="A79" s="28">
        <v>73.0</v>
      </c>
      <c r="B79" s="37" t="s">
        <v>2749</v>
      </c>
      <c r="C79" s="37" t="s">
        <v>1673</v>
      </c>
      <c r="D79" s="37" t="s">
        <v>2750</v>
      </c>
      <c r="E79" s="266" t="s">
        <v>338</v>
      </c>
      <c r="F79" s="134">
        <v>43.0</v>
      </c>
      <c r="G79" s="134" t="s">
        <v>476</v>
      </c>
      <c r="H79" s="134" t="s">
        <v>435</v>
      </c>
      <c r="I79" s="134">
        <v>9.237301197E9</v>
      </c>
      <c r="J79" s="54">
        <v>28.0</v>
      </c>
      <c r="K79" s="55">
        <v>23.0</v>
      </c>
      <c r="L79" s="55">
        <v>0.0</v>
      </c>
      <c r="M79" s="55">
        <v>2.0</v>
      </c>
      <c r="N79" s="43">
        <f t="shared" si="1"/>
        <v>2</v>
      </c>
      <c r="O79" s="55">
        <v>4.0</v>
      </c>
      <c r="P79" s="55">
        <v>3.0</v>
      </c>
      <c r="Q79" s="43">
        <f t="shared" si="2"/>
        <v>9</v>
      </c>
      <c r="R79" s="43"/>
      <c r="S79" s="43"/>
      <c r="T79" s="43"/>
      <c r="U79" s="43"/>
      <c r="V79" s="153" t="s">
        <v>2751</v>
      </c>
      <c r="W79" s="56" t="s">
        <v>46</v>
      </c>
      <c r="Z79" s="61"/>
      <c r="AA79" s="61"/>
      <c r="AB79" s="66"/>
      <c r="AC79" s="34"/>
      <c r="AD79" s="34"/>
    </row>
    <row r="80" ht="13.5" customHeight="1">
      <c r="A80" s="28">
        <v>74.0</v>
      </c>
      <c r="B80" s="37" t="s">
        <v>2752</v>
      </c>
      <c r="C80" s="37" t="s">
        <v>2753</v>
      </c>
      <c r="D80" s="37" t="s">
        <v>2754</v>
      </c>
      <c r="E80" s="266" t="s">
        <v>338</v>
      </c>
      <c r="F80" s="134">
        <v>32.0</v>
      </c>
      <c r="G80" s="134" t="s">
        <v>476</v>
      </c>
      <c r="H80" s="134" t="s">
        <v>435</v>
      </c>
      <c r="I80" s="134">
        <v>9.605314411E9</v>
      </c>
      <c r="J80" s="54">
        <v>31.0</v>
      </c>
      <c r="K80" s="55">
        <v>27.0</v>
      </c>
      <c r="L80" s="55">
        <v>0.0</v>
      </c>
      <c r="M80" s="55">
        <v>1.0</v>
      </c>
      <c r="N80" s="43">
        <f t="shared" si="1"/>
        <v>1</v>
      </c>
      <c r="O80" s="55">
        <v>1.0</v>
      </c>
      <c r="P80" s="55">
        <v>3.0</v>
      </c>
      <c r="Q80" s="43">
        <f t="shared" si="2"/>
        <v>5</v>
      </c>
      <c r="R80" s="43"/>
      <c r="S80" s="43"/>
      <c r="T80" s="43"/>
      <c r="U80" s="43"/>
      <c r="V80" s="149"/>
      <c r="W80" s="56" t="s">
        <v>46</v>
      </c>
      <c r="Z80" s="61"/>
      <c r="AA80" s="61"/>
      <c r="AB80" s="66"/>
      <c r="AC80" s="34"/>
      <c r="AD80" s="34"/>
    </row>
    <row r="81" ht="13.5" customHeight="1">
      <c r="A81" s="28">
        <v>75.0</v>
      </c>
      <c r="B81" s="37" t="s">
        <v>2755</v>
      </c>
      <c r="C81" s="37" t="s">
        <v>2756</v>
      </c>
      <c r="D81" s="37" t="s">
        <v>2757</v>
      </c>
      <c r="E81" s="266" t="s">
        <v>338</v>
      </c>
      <c r="F81" s="134">
        <v>31.0</v>
      </c>
      <c r="G81" s="134" t="s">
        <v>476</v>
      </c>
      <c r="H81" s="134" t="s">
        <v>435</v>
      </c>
      <c r="I81" s="134">
        <v>9.12511024E9</v>
      </c>
      <c r="J81" s="54">
        <v>32.0</v>
      </c>
      <c r="K81" s="55">
        <v>27.0</v>
      </c>
      <c r="L81" s="55">
        <v>0.0</v>
      </c>
      <c r="M81" s="55">
        <v>5.0</v>
      </c>
      <c r="N81" s="43">
        <f t="shared" si="1"/>
        <v>5</v>
      </c>
      <c r="O81" s="55">
        <v>0.0</v>
      </c>
      <c r="P81" s="55">
        <v>0.0</v>
      </c>
      <c r="Q81" s="43">
        <f t="shared" si="2"/>
        <v>5</v>
      </c>
      <c r="R81" s="43"/>
      <c r="S81" s="43"/>
      <c r="T81" s="43"/>
      <c r="U81" s="43"/>
      <c r="V81" s="149"/>
      <c r="W81" s="56" t="s">
        <v>46</v>
      </c>
      <c r="Z81" s="61"/>
      <c r="AA81" s="61"/>
      <c r="AB81" s="66"/>
      <c r="AC81" s="34"/>
      <c r="AD81" s="34"/>
    </row>
    <row r="82" ht="13.5" customHeight="1">
      <c r="A82" s="28">
        <v>76.0</v>
      </c>
      <c r="B82" s="37" t="s">
        <v>2758</v>
      </c>
      <c r="C82" s="37" t="s">
        <v>2759</v>
      </c>
      <c r="D82" s="37" t="s">
        <v>2760</v>
      </c>
      <c r="E82" s="266" t="s">
        <v>338</v>
      </c>
      <c r="F82" s="134">
        <v>35.0</v>
      </c>
      <c r="G82" s="134" t="s">
        <v>476</v>
      </c>
      <c r="H82" s="134" t="s">
        <v>435</v>
      </c>
      <c r="I82" s="134">
        <v>9.60531445E9</v>
      </c>
      <c r="J82" s="54">
        <v>28.0</v>
      </c>
      <c r="K82" s="55">
        <v>22.0</v>
      </c>
      <c r="L82" s="55">
        <v>0.0</v>
      </c>
      <c r="M82" s="55">
        <v>4.0</v>
      </c>
      <c r="N82" s="43">
        <f t="shared" si="1"/>
        <v>4</v>
      </c>
      <c r="O82" s="55">
        <v>4.0</v>
      </c>
      <c r="P82" s="55">
        <v>6.0</v>
      </c>
      <c r="Q82" s="43">
        <f t="shared" si="2"/>
        <v>14</v>
      </c>
      <c r="R82" s="43"/>
      <c r="S82" s="43"/>
      <c r="T82" s="43"/>
      <c r="U82" s="43"/>
      <c r="V82" s="149"/>
      <c r="W82" s="56" t="s">
        <v>46</v>
      </c>
      <c r="Z82" s="61"/>
      <c r="AA82" s="61"/>
      <c r="AB82" s="66"/>
      <c r="AC82" s="34"/>
      <c r="AD82" s="34"/>
    </row>
    <row r="83" ht="13.5" customHeight="1">
      <c r="A83" s="28">
        <v>77.0</v>
      </c>
      <c r="B83" s="37" t="s">
        <v>2761</v>
      </c>
      <c r="C83" s="37" t="s">
        <v>2327</v>
      </c>
      <c r="D83" s="37" t="s">
        <v>2762</v>
      </c>
      <c r="E83" s="266" t="s">
        <v>338</v>
      </c>
      <c r="F83" s="134">
        <v>46.0</v>
      </c>
      <c r="G83" s="134" t="s">
        <v>476</v>
      </c>
      <c r="H83" s="134" t="s">
        <v>646</v>
      </c>
      <c r="I83" s="134">
        <v>9.272515219E9</v>
      </c>
      <c r="J83" s="54">
        <v>30.0</v>
      </c>
      <c r="K83" s="55">
        <v>23.0</v>
      </c>
      <c r="L83" s="55">
        <v>0.0</v>
      </c>
      <c r="M83" s="55">
        <v>4.0</v>
      </c>
      <c r="N83" s="43">
        <f t="shared" si="1"/>
        <v>4</v>
      </c>
      <c r="O83" s="55">
        <v>2.0</v>
      </c>
      <c r="P83" s="55">
        <v>3.0</v>
      </c>
      <c r="Q83" s="43">
        <f t="shared" si="2"/>
        <v>9</v>
      </c>
      <c r="R83" s="43"/>
      <c r="S83" s="43"/>
      <c r="T83" s="43"/>
      <c r="U83" s="43"/>
      <c r="V83" s="149"/>
      <c r="W83" s="56" t="s">
        <v>46</v>
      </c>
      <c r="Z83" s="61"/>
      <c r="AA83" s="61"/>
      <c r="AB83" s="66"/>
      <c r="AC83" s="34"/>
      <c r="AD83" s="34"/>
    </row>
    <row r="84" ht="13.5" customHeight="1">
      <c r="A84" s="28">
        <v>78.0</v>
      </c>
      <c r="B84" s="37" t="s">
        <v>2763</v>
      </c>
      <c r="C84" s="37" t="s">
        <v>2571</v>
      </c>
      <c r="D84" s="37" t="s">
        <v>2764</v>
      </c>
      <c r="E84" s="266" t="s">
        <v>338</v>
      </c>
      <c r="F84" s="134">
        <v>38.0</v>
      </c>
      <c r="G84" s="134" t="s">
        <v>476</v>
      </c>
      <c r="H84" s="134" t="s">
        <v>646</v>
      </c>
      <c r="I84" s="134">
        <v>9.126909982E9</v>
      </c>
      <c r="J84" s="54">
        <v>27.0</v>
      </c>
      <c r="K84" s="55">
        <v>24.0</v>
      </c>
      <c r="L84" s="55">
        <v>0.0</v>
      </c>
      <c r="M84" s="55">
        <v>0.0</v>
      </c>
      <c r="N84" s="43">
        <f t="shared" si="1"/>
        <v>0</v>
      </c>
      <c r="O84" s="55">
        <v>5.0</v>
      </c>
      <c r="P84" s="55">
        <v>3.0</v>
      </c>
      <c r="Q84" s="43">
        <f t="shared" si="2"/>
        <v>8</v>
      </c>
      <c r="R84" s="43"/>
      <c r="S84" s="43"/>
      <c r="T84" s="43"/>
      <c r="U84" s="43"/>
      <c r="V84" s="153" t="s">
        <v>648</v>
      </c>
      <c r="W84" s="56" t="s">
        <v>46</v>
      </c>
      <c r="Z84" s="61"/>
      <c r="AA84" s="61"/>
      <c r="AB84" s="66"/>
      <c r="AC84" s="34"/>
      <c r="AD84" s="34"/>
    </row>
    <row r="85" ht="13.5" customHeight="1">
      <c r="A85" s="28">
        <v>79.0</v>
      </c>
      <c r="B85" s="37" t="s">
        <v>2765</v>
      </c>
      <c r="C85" s="37" t="s">
        <v>2766</v>
      </c>
      <c r="D85" s="37" t="s">
        <v>2767</v>
      </c>
      <c r="E85" s="266" t="s">
        <v>338</v>
      </c>
      <c r="F85" s="134">
        <v>35.0</v>
      </c>
      <c r="G85" s="134" t="s">
        <v>584</v>
      </c>
      <c r="H85" s="134" t="s">
        <v>435</v>
      </c>
      <c r="I85" s="134">
        <v>9.617819908E9</v>
      </c>
      <c r="J85" s="54">
        <v>30.0</v>
      </c>
      <c r="K85" s="55">
        <v>27.0</v>
      </c>
      <c r="L85" s="55">
        <v>0.0</v>
      </c>
      <c r="M85" s="55">
        <v>2.0</v>
      </c>
      <c r="N85" s="55">
        <v>2.0</v>
      </c>
      <c r="O85" s="55">
        <v>2.0</v>
      </c>
      <c r="P85" s="55">
        <v>0.0</v>
      </c>
      <c r="Q85" s="43">
        <f t="shared" si="2"/>
        <v>4</v>
      </c>
      <c r="R85" s="43"/>
      <c r="S85" s="43"/>
      <c r="T85" s="43"/>
      <c r="U85" s="43"/>
      <c r="V85" s="149"/>
      <c r="W85" s="56" t="s">
        <v>46</v>
      </c>
      <c r="Z85" s="61"/>
      <c r="AA85" s="61"/>
      <c r="AB85" s="66"/>
      <c r="AC85" s="34"/>
      <c r="AD85" s="34"/>
    </row>
    <row r="86" ht="13.5" customHeight="1">
      <c r="A86" s="28">
        <v>80.0</v>
      </c>
      <c r="B86" s="37" t="s">
        <v>2768</v>
      </c>
      <c r="C86" s="37" t="s">
        <v>2769</v>
      </c>
      <c r="D86" s="37" t="s">
        <v>2215</v>
      </c>
      <c r="E86" s="266" t="s">
        <v>338</v>
      </c>
      <c r="F86" s="134">
        <v>53.0</v>
      </c>
      <c r="G86" s="134" t="s">
        <v>476</v>
      </c>
      <c r="H86" s="134" t="s">
        <v>708</v>
      </c>
      <c r="I86" s="134">
        <v>9.397755423E9</v>
      </c>
      <c r="J86" s="54">
        <v>22.0</v>
      </c>
      <c r="K86" s="55">
        <v>21.0</v>
      </c>
      <c r="L86" s="55">
        <v>0.0</v>
      </c>
      <c r="M86" s="55">
        <v>0.0</v>
      </c>
      <c r="N86" s="43">
        <f t="shared" ref="N86:N93" si="3">L86+M86</f>
        <v>0</v>
      </c>
      <c r="O86" s="55">
        <v>11.0</v>
      </c>
      <c r="P86" s="55">
        <v>1.0</v>
      </c>
      <c r="Q86" s="43">
        <f t="shared" si="2"/>
        <v>12</v>
      </c>
      <c r="R86" s="43"/>
      <c r="S86" s="43"/>
      <c r="T86" s="43"/>
      <c r="U86" s="43"/>
      <c r="V86" s="149"/>
      <c r="W86" s="56" t="s">
        <v>46</v>
      </c>
      <c r="Z86" s="61"/>
      <c r="AA86" s="61"/>
      <c r="AB86" s="66"/>
      <c r="AC86" s="34"/>
      <c r="AD86" s="34"/>
    </row>
    <row r="87" ht="13.5" customHeight="1">
      <c r="A87" s="28">
        <v>81.0</v>
      </c>
      <c r="B87" s="37" t="s">
        <v>2770</v>
      </c>
      <c r="C87" s="37" t="s">
        <v>2771</v>
      </c>
      <c r="D87" s="37" t="s">
        <v>2772</v>
      </c>
      <c r="E87" s="266" t="s">
        <v>338</v>
      </c>
      <c r="F87" s="134">
        <v>27.0</v>
      </c>
      <c r="G87" s="134" t="s">
        <v>476</v>
      </c>
      <c r="H87" s="134" t="s">
        <v>435</v>
      </c>
      <c r="I87" s="134">
        <v>9.626276295E9</v>
      </c>
      <c r="J87" s="42"/>
      <c r="K87" s="43"/>
      <c r="L87" s="43"/>
      <c r="M87" s="43"/>
      <c r="N87" s="43">
        <f t="shared" si="3"/>
        <v>0</v>
      </c>
      <c r="O87" s="43"/>
      <c r="P87" s="43"/>
      <c r="Q87" s="43">
        <f t="shared" si="2"/>
        <v>0</v>
      </c>
      <c r="R87" s="43"/>
      <c r="S87" s="43"/>
      <c r="T87" s="43"/>
      <c r="U87" s="43"/>
      <c r="V87" s="149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37" t="s">
        <v>2773</v>
      </c>
      <c r="C88" s="37" t="s">
        <v>2774</v>
      </c>
      <c r="D88" s="37" t="s">
        <v>2775</v>
      </c>
      <c r="E88" s="266" t="s">
        <v>338</v>
      </c>
      <c r="F88" s="134">
        <v>37.0</v>
      </c>
      <c r="G88" s="134" t="s">
        <v>476</v>
      </c>
      <c r="H88" s="134" t="s">
        <v>435</v>
      </c>
      <c r="I88" s="134">
        <v>9.624223421E9</v>
      </c>
      <c r="J88" s="54">
        <v>27.0</v>
      </c>
      <c r="K88" s="55">
        <v>24.0</v>
      </c>
      <c r="L88" s="55">
        <v>0.0</v>
      </c>
      <c r="M88" s="55">
        <v>0.0</v>
      </c>
      <c r="N88" s="43">
        <f t="shared" si="3"/>
        <v>0</v>
      </c>
      <c r="O88" s="55">
        <v>3.0</v>
      </c>
      <c r="P88" s="55">
        <v>3.0</v>
      </c>
      <c r="Q88" s="43">
        <f t="shared" si="2"/>
        <v>6</v>
      </c>
      <c r="R88" s="43"/>
      <c r="S88" s="43"/>
      <c r="T88" s="43"/>
      <c r="U88" s="43"/>
      <c r="V88" s="149"/>
      <c r="W88" s="56" t="s">
        <v>46</v>
      </c>
      <c r="Z88" s="61"/>
      <c r="AA88" s="61"/>
      <c r="AB88" s="66"/>
      <c r="AC88" s="34"/>
      <c r="AD88" s="34"/>
    </row>
    <row r="89" ht="13.5" customHeight="1">
      <c r="A89" s="28">
        <v>83.0</v>
      </c>
      <c r="B89" s="37" t="s">
        <v>2776</v>
      </c>
      <c r="C89" s="37" t="s">
        <v>2777</v>
      </c>
      <c r="D89" s="37" t="s">
        <v>2778</v>
      </c>
      <c r="E89" s="266" t="s">
        <v>338</v>
      </c>
      <c r="F89" s="134">
        <v>42.0</v>
      </c>
      <c r="G89" s="134" t="s">
        <v>476</v>
      </c>
      <c r="H89" s="134" t="s">
        <v>970</v>
      </c>
      <c r="I89" s="134">
        <v>9.265064107E9</v>
      </c>
      <c r="J89" s="54">
        <v>28.0</v>
      </c>
      <c r="K89" s="55">
        <v>27.0</v>
      </c>
      <c r="L89" s="55">
        <v>0.0</v>
      </c>
      <c r="M89" s="55">
        <v>0.0</v>
      </c>
      <c r="N89" s="43">
        <f t="shared" si="3"/>
        <v>0</v>
      </c>
      <c r="O89" s="55">
        <v>4.0</v>
      </c>
      <c r="P89" s="55">
        <v>1.0</v>
      </c>
      <c r="Q89" s="43">
        <f t="shared" si="2"/>
        <v>5</v>
      </c>
      <c r="R89" s="43"/>
      <c r="S89" s="43"/>
      <c r="T89" s="43"/>
      <c r="U89" s="43"/>
      <c r="V89" s="149"/>
      <c r="W89" s="56" t="s">
        <v>46</v>
      </c>
      <c r="Z89" s="61"/>
      <c r="AA89" s="61"/>
      <c r="AB89" s="66"/>
      <c r="AC89" s="34"/>
      <c r="AD89" s="34"/>
    </row>
    <row r="90" ht="13.5" customHeight="1">
      <c r="A90" s="28">
        <v>84.0</v>
      </c>
      <c r="B90" s="37" t="s">
        <v>1666</v>
      </c>
      <c r="C90" s="37" t="s">
        <v>2779</v>
      </c>
      <c r="D90" s="37" t="s">
        <v>1908</v>
      </c>
      <c r="E90" s="266" t="s">
        <v>338</v>
      </c>
      <c r="F90" s="134">
        <v>47.0</v>
      </c>
      <c r="G90" s="134" t="s">
        <v>476</v>
      </c>
      <c r="H90" s="134" t="s">
        <v>2780</v>
      </c>
      <c r="I90" s="134">
        <v>9.209467678E9</v>
      </c>
      <c r="J90" s="54">
        <v>29.0</v>
      </c>
      <c r="K90" s="55">
        <v>20.0</v>
      </c>
      <c r="L90" s="55">
        <v>0.0</v>
      </c>
      <c r="M90" s="55">
        <v>5.0</v>
      </c>
      <c r="N90" s="43">
        <f t="shared" si="3"/>
        <v>5</v>
      </c>
      <c r="O90" s="55">
        <v>3.0</v>
      </c>
      <c r="P90" s="55">
        <v>4.0</v>
      </c>
      <c r="Q90" s="43">
        <f t="shared" si="2"/>
        <v>12</v>
      </c>
      <c r="R90" s="43"/>
      <c r="S90" s="43"/>
      <c r="T90" s="43"/>
      <c r="U90" s="43"/>
      <c r="V90" s="149"/>
      <c r="W90" s="56" t="s">
        <v>46</v>
      </c>
      <c r="Z90" s="61"/>
      <c r="AA90" s="61"/>
      <c r="AB90" s="66"/>
      <c r="AC90" s="34"/>
      <c r="AD90" s="34"/>
    </row>
    <row r="91" ht="13.5" customHeight="1">
      <c r="A91" s="28">
        <v>85.0</v>
      </c>
      <c r="B91" s="37" t="s">
        <v>2781</v>
      </c>
      <c r="C91" s="37" t="s">
        <v>2782</v>
      </c>
      <c r="D91" s="37" t="s">
        <v>2783</v>
      </c>
      <c r="E91" s="266" t="s">
        <v>338</v>
      </c>
      <c r="F91" s="134">
        <v>32.0</v>
      </c>
      <c r="G91" s="134" t="s">
        <v>584</v>
      </c>
      <c r="H91" s="134" t="s">
        <v>970</v>
      </c>
      <c r="I91" s="134">
        <v>9.13176412E8</v>
      </c>
      <c r="J91" s="42"/>
      <c r="K91" s="43"/>
      <c r="L91" s="43"/>
      <c r="M91" s="43"/>
      <c r="N91" s="43">
        <f t="shared" si="3"/>
        <v>0</v>
      </c>
      <c r="O91" s="43"/>
      <c r="P91" s="43"/>
      <c r="Q91" s="43">
        <f t="shared" si="2"/>
        <v>0</v>
      </c>
      <c r="R91" s="43"/>
      <c r="S91" s="43"/>
      <c r="T91" s="43"/>
      <c r="U91" s="43"/>
      <c r="V91" s="149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37" t="s">
        <v>2784</v>
      </c>
      <c r="C92" s="37" t="s">
        <v>2746</v>
      </c>
      <c r="D92" s="37" t="s">
        <v>2743</v>
      </c>
      <c r="E92" s="266" t="s">
        <v>338</v>
      </c>
      <c r="F92" s="134">
        <v>50.0</v>
      </c>
      <c r="G92" s="134" t="s">
        <v>339</v>
      </c>
      <c r="H92" s="134" t="s">
        <v>2619</v>
      </c>
      <c r="I92" s="134">
        <v>9.854064167E9</v>
      </c>
      <c r="J92" s="54">
        <v>27.0</v>
      </c>
      <c r="K92" s="55">
        <v>18.0</v>
      </c>
      <c r="L92" s="55">
        <v>0.0</v>
      </c>
      <c r="M92" s="55">
        <v>1.0</v>
      </c>
      <c r="N92" s="43">
        <f t="shared" si="3"/>
        <v>1</v>
      </c>
      <c r="O92" s="55">
        <v>3.0</v>
      </c>
      <c r="P92" s="55">
        <v>8.0</v>
      </c>
      <c r="Q92" s="43">
        <f t="shared" si="2"/>
        <v>12</v>
      </c>
      <c r="R92" s="43"/>
      <c r="S92" s="43"/>
      <c r="T92" s="43"/>
      <c r="U92" s="43"/>
      <c r="V92" s="149"/>
      <c r="W92" s="56" t="s">
        <v>46</v>
      </c>
      <c r="Z92" s="61"/>
      <c r="AA92" s="61"/>
      <c r="AB92" s="66"/>
      <c r="AC92" s="34"/>
      <c r="AD92" s="34"/>
    </row>
    <row r="93" ht="13.5" customHeight="1">
      <c r="A93" s="28">
        <v>87.0</v>
      </c>
      <c r="B93" s="37" t="s">
        <v>2648</v>
      </c>
      <c r="C93" s="37" t="s">
        <v>2785</v>
      </c>
      <c r="D93" s="37" t="s">
        <v>2246</v>
      </c>
      <c r="E93" s="266" t="s">
        <v>338</v>
      </c>
      <c r="F93" s="134">
        <v>44.0</v>
      </c>
      <c r="G93" s="134" t="s">
        <v>385</v>
      </c>
      <c r="H93" s="134" t="s">
        <v>998</v>
      </c>
      <c r="I93" s="134">
        <v>9.155477805E9</v>
      </c>
      <c r="J93" s="54">
        <v>27.0</v>
      </c>
      <c r="K93" s="55">
        <v>23.0</v>
      </c>
      <c r="L93" s="55">
        <v>2.0</v>
      </c>
      <c r="M93" s="55">
        <v>2.0</v>
      </c>
      <c r="N93" s="43">
        <f t="shared" si="3"/>
        <v>4</v>
      </c>
      <c r="O93" s="55">
        <v>5.0</v>
      </c>
      <c r="P93" s="55">
        <v>0.0</v>
      </c>
      <c r="Q93" s="43">
        <f t="shared" si="2"/>
        <v>9</v>
      </c>
      <c r="R93" s="43"/>
      <c r="S93" s="43"/>
      <c r="T93" s="43"/>
      <c r="U93" s="43"/>
      <c r="V93" s="153" t="s">
        <v>457</v>
      </c>
      <c r="W93" s="56" t="s">
        <v>46</v>
      </c>
      <c r="Z93" s="61"/>
      <c r="AA93" s="61"/>
      <c r="AB93" s="66"/>
      <c r="AC93" s="34"/>
      <c r="AD93" s="34"/>
    </row>
    <row r="94" ht="13.5" customHeight="1">
      <c r="A94" s="28">
        <v>88.0</v>
      </c>
      <c r="B94" s="37" t="s">
        <v>2786</v>
      </c>
      <c r="C94" s="37" t="s">
        <v>2787</v>
      </c>
      <c r="D94" s="37" t="s">
        <v>2506</v>
      </c>
      <c r="E94" s="266" t="s">
        <v>338</v>
      </c>
      <c r="F94" s="134">
        <v>43.0</v>
      </c>
      <c r="G94" s="134" t="s">
        <v>339</v>
      </c>
      <c r="H94" s="134" t="s">
        <v>970</v>
      </c>
      <c r="I94" s="134">
        <v>9.494671128E9</v>
      </c>
      <c r="J94" s="54">
        <v>29.0</v>
      </c>
      <c r="K94" s="55">
        <v>21.0</v>
      </c>
      <c r="L94" s="55">
        <v>0.0</v>
      </c>
      <c r="M94" s="55">
        <v>0.0</v>
      </c>
      <c r="N94" s="43">
        <v>0.0</v>
      </c>
      <c r="O94" s="55">
        <v>2.0</v>
      </c>
      <c r="P94" s="55">
        <v>8.0</v>
      </c>
      <c r="Q94" s="43">
        <f t="shared" si="2"/>
        <v>10</v>
      </c>
      <c r="R94" s="43"/>
      <c r="S94" s="43"/>
      <c r="T94" s="43"/>
      <c r="U94" s="43"/>
      <c r="V94" s="149"/>
      <c r="W94" s="56" t="s">
        <v>46</v>
      </c>
      <c r="Z94" s="61"/>
      <c r="AA94" s="61"/>
      <c r="AB94" s="66"/>
      <c r="AC94" s="34"/>
      <c r="AD94" s="34"/>
    </row>
    <row r="95" ht="13.5" customHeight="1">
      <c r="A95" s="28">
        <v>89.0</v>
      </c>
      <c r="B95" s="37" t="s">
        <v>271</v>
      </c>
      <c r="C95" s="37" t="s">
        <v>1434</v>
      </c>
      <c r="D95" s="37" t="s">
        <v>2582</v>
      </c>
      <c r="E95" s="266" t="s">
        <v>338</v>
      </c>
      <c r="F95" s="134">
        <v>48.0</v>
      </c>
      <c r="G95" s="134" t="s">
        <v>339</v>
      </c>
      <c r="H95" s="134" t="s">
        <v>998</v>
      </c>
      <c r="I95" s="134">
        <v>9.508514157E9</v>
      </c>
      <c r="J95" s="54">
        <v>22.0</v>
      </c>
      <c r="K95" s="55">
        <v>20.0</v>
      </c>
      <c r="L95" s="55">
        <v>0.0</v>
      </c>
      <c r="M95" s="55">
        <v>2.0</v>
      </c>
      <c r="N95" s="43">
        <f t="shared" ref="N95:N109" si="4">L95+M95</f>
        <v>2</v>
      </c>
      <c r="O95" s="55">
        <v>10.0</v>
      </c>
      <c r="P95" s="55">
        <v>0.0</v>
      </c>
      <c r="Q95" s="43">
        <f t="shared" si="2"/>
        <v>12</v>
      </c>
      <c r="R95" s="43"/>
      <c r="S95" s="43"/>
      <c r="T95" s="43"/>
      <c r="U95" s="43"/>
      <c r="V95" s="153" t="s">
        <v>648</v>
      </c>
      <c r="W95" s="56" t="s">
        <v>46</v>
      </c>
      <c r="Z95" s="61"/>
      <c r="AA95" s="61"/>
      <c r="AB95" s="66"/>
      <c r="AC95" s="34"/>
      <c r="AD95" s="34"/>
    </row>
    <row r="96" ht="13.5" customHeight="1">
      <c r="A96" s="28">
        <v>90.0</v>
      </c>
      <c r="B96" s="37" t="s">
        <v>2788</v>
      </c>
      <c r="C96" s="37" t="s">
        <v>2789</v>
      </c>
      <c r="D96" s="37" t="s">
        <v>2790</v>
      </c>
      <c r="E96" s="266" t="s">
        <v>338</v>
      </c>
      <c r="F96" s="134">
        <v>34.0</v>
      </c>
      <c r="G96" s="134" t="s">
        <v>339</v>
      </c>
      <c r="H96" s="134" t="s">
        <v>970</v>
      </c>
      <c r="I96" s="134">
        <v>9.605314441E9</v>
      </c>
      <c r="J96" s="54">
        <v>30.0</v>
      </c>
      <c r="K96" s="55">
        <v>27.0</v>
      </c>
      <c r="L96" s="55">
        <v>0.0</v>
      </c>
      <c r="M96" s="55">
        <v>3.0</v>
      </c>
      <c r="N96" s="43">
        <f t="shared" si="4"/>
        <v>3</v>
      </c>
      <c r="O96" s="55">
        <v>2.0</v>
      </c>
      <c r="P96" s="55">
        <v>0.0</v>
      </c>
      <c r="Q96" s="43">
        <f t="shared" si="2"/>
        <v>5</v>
      </c>
      <c r="R96" s="43"/>
      <c r="S96" s="43"/>
      <c r="T96" s="43"/>
      <c r="U96" s="43"/>
      <c r="V96" s="149"/>
      <c r="W96" s="56" t="s">
        <v>46</v>
      </c>
      <c r="Z96" s="61"/>
      <c r="AA96" s="61"/>
      <c r="AB96" s="66"/>
      <c r="AC96" s="34"/>
      <c r="AD96" s="34"/>
    </row>
    <row r="97" ht="13.5" customHeight="1">
      <c r="A97" s="28">
        <v>91.0</v>
      </c>
      <c r="B97" s="37" t="s">
        <v>2791</v>
      </c>
      <c r="C97" s="37" t="s">
        <v>2792</v>
      </c>
      <c r="D97" s="37" t="s">
        <v>2778</v>
      </c>
      <c r="E97" s="266" t="s">
        <v>338</v>
      </c>
      <c r="F97" s="134">
        <v>39.0</v>
      </c>
      <c r="G97" s="134" t="s">
        <v>339</v>
      </c>
      <c r="H97" s="134" t="s">
        <v>2793</v>
      </c>
      <c r="I97" s="134">
        <v>9.152754147E9</v>
      </c>
      <c r="J97" s="54">
        <v>31.0</v>
      </c>
      <c r="K97" s="55">
        <v>24.0</v>
      </c>
      <c r="L97" s="55">
        <v>0.0</v>
      </c>
      <c r="M97" s="55">
        <v>3.0</v>
      </c>
      <c r="N97" s="43">
        <f t="shared" si="4"/>
        <v>3</v>
      </c>
      <c r="O97" s="55">
        <v>1.0</v>
      </c>
      <c r="P97" s="55">
        <v>4.0</v>
      </c>
      <c r="Q97" s="43">
        <f t="shared" si="2"/>
        <v>8</v>
      </c>
      <c r="R97" s="43"/>
      <c r="S97" s="43"/>
      <c r="T97" s="43"/>
      <c r="U97" s="43"/>
      <c r="V97" s="149"/>
      <c r="W97" s="56" t="s">
        <v>46</v>
      </c>
      <c r="Z97" s="61"/>
      <c r="AA97" s="61"/>
      <c r="AB97" s="66"/>
      <c r="AC97" s="34"/>
      <c r="AD97" s="34"/>
    </row>
    <row r="98" ht="13.5" customHeight="1">
      <c r="A98" s="28">
        <v>92.0</v>
      </c>
      <c r="B98" s="37" t="s">
        <v>2791</v>
      </c>
      <c r="C98" s="37" t="s">
        <v>2794</v>
      </c>
      <c r="D98" s="37" t="s">
        <v>2795</v>
      </c>
      <c r="E98" s="266" t="s">
        <v>338</v>
      </c>
      <c r="F98" s="134">
        <v>37.0</v>
      </c>
      <c r="G98" s="134" t="s">
        <v>385</v>
      </c>
      <c r="H98" s="134" t="s">
        <v>998</v>
      </c>
      <c r="I98" s="134">
        <v>9.673406755E9</v>
      </c>
      <c r="J98" s="54">
        <v>26.0</v>
      </c>
      <c r="K98" s="55">
        <v>26.0</v>
      </c>
      <c r="L98" s="55">
        <v>0.0</v>
      </c>
      <c r="M98" s="55">
        <v>0.0</v>
      </c>
      <c r="N98" s="43">
        <f t="shared" si="4"/>
        <v>0</v>
      </c>
      <c r="O98" s="55">
        <v>6.0</v>
      </c>
      <c r="P98" s="55">
        <v>0.0</v>
      </c>
      <c r="Q98" s="43">
        <f t="shared" si="2"/>
        <v>6</v>
      </c>
      <c r="R98" s="43"/>
      <c r="S98" s="43"/>
      <c r="T98" s="43"/>
      <c r="U98" s="43"/>
      <c r="V98" s="149"/>
      <c r="W98" s="56" t="s">
        <v>46</v>
      </c>
      <c r="Z98" s="61"/>
      <c r="AA98" s="61"/>
      <c r="AB98" s="66"/>
      <c r="AC98" s="34"/>
      <c r="AD98" s="34"/>
    </row>
    <row r="99" ht="13.5" customHeight="1">
      <c r="A99" s="28">
        <v>93.0</v>
      </c>
      <c r="B99" s="37" t="s">
        <v>2796</v>
      </c>
      <c r="C99" s="37" t="s">
        <v>2797</v>
      </c>
      <c r="D99" s="37" t="s">
        <v>2798</v>
      </c>
      <c r="E99" s="266" t="s">
        <v>338</v>
      </c>
      <c r="F99" s="134">
        <v>45.0</v>
      </c>
      <c r="G99" s="134" t="s">
        <v>339</v>
      </c>
      <c r="H99" s="134" t="s">
        <v>970</v>
      </c>
      <c r="I99" s="134">
        <v>9.974653312E9</v>
      </c>
      <c r="J99" s="54">
        <v>30.0</v>
      </c>
      <c r="K99" s="55">
        <v>28.0</v>
      </c>
      <c r="L99" s="55">
        <v>0.0</v>
      </c>
      <c r="M99" s="55">
        <v>2.0</v>
      </c>
      <c r="N99" s="43">
        <f t="shared" si="4"/>
        <v>2</v>
      </c>
      <c r="O99" s="55">
        <v>2.0</v>
      </c>
      <c r="P99" s="55">
        <v>0.0</v>
      </c>
      <c r="Q99" s="43">
        <f t="shared" si="2"/>
        <v>4</v>
      </c>
      <c r="R99" s="43"/>
      <c r="S99" s="43"/>
      <c r="T99" s="43"/>
      <c r="U99" s="43"/>
      <c r="V99" s="149"/>
      <c r="W99" s="56" t="s">
        <v>46</v>
      </c>
      <c r="Z99" s="61"/>
      <c r="AA99" s="61"/>
      <c r="AB99" s="66"/>
      <c r="AC99" s="34"/>
      <c r="AD99" s="34"/>
    </row>
    <row r="100" ht="13.5" customHeight="1">
      <c r="A100" s="28">
        <v>94.0</v>
      </c>
      <c r="B100" s="37" t="s">
        <v>2799</v>
      </c>
      <c r="C100" s="37" t="s">
        <v>2800</v>
      </c>
      <c r="D100" s="37" t="s">
        <v>1162</v>
      </c>
      <c r="E100" s="266" t="s">
        <v>338</v>
      </c>
      <c r="F100" s="134">
        <v>42.0</v>
      </c>
      <c r="G100" s="134" t="s">
        <v>339</v>
      </c>
      <c r="H100" s="134" t="s">
        <v>974</v>
      </c>
      <c r="I100" s="134">
        <v>9.285418864E9</v>
      </c>
      <c r="J100" s="54">
        <v>27.0</v>
      </c>
      <c r="K100" s="55">
        <v>23.0</v>
      </c>
      <c r="L100" s="55">
        <v>1.0</v>
      </c>
      <c r="M100" s="55">
        <v>3.0</v>
      </c>
      <c r="N100" s="43">
        <f t="shared" si="4"/>
        <v>4</v>
      </c>
      <c r="O100" s="55">
        <v>4.0</v>
      </c>
      <c r="P100" s="43"/>
      <c r="Q100" s="43">
        <f t="shared" si="2"/>
        <v>8</v>
      </c>
      <c r="R100" s="43"/>
      <c r="S100" s="43"/>
      <c r="T100" s="43"/>
      <c r="U100" s="43"/>
      <c r="V100" s="149"/>
      <c r="W100" s="56" t="s">
        <v>46</v>
      </c>
      <c r="Z100" s="61"/>
      <c r="AA100" s="61"/>
      <c r="AB100" s="66"/>
      <c r="AC100" s="34"/>
      <c r="AD100" s="34"/>
    </row>
    <row r="101" ht="13.5" customHeight="1">
      <c r="A101" s="28">
        <v>95.0</v>
      </c>
      <c r="B101" s="37" t="s">
        <v>2801</v>
      </c>
      <c r="C101" s="37" t="s">
        <v>2802</v>
      </c>
      <c r="D101" s="37" t="s">
        <v>2803</v>
      </c>
      <c r="E101" s="266" t="s">
        <v>338</v>
      </c>
      <c r="F101" s="134">
        <v>57.0</v>
      </c>
      <c r="G101" s="134" t="s">
        <v>339</v>
      </c>
      <c r="H101" s="134" t="s">
        <v>974</v>
      </c>
      <c r="I101" s="134">
        <v>9.087248286E9</v>
      </c>
      <c r="J101" s="54">
        <v>22.0</v>
      </c>
      <c r="K101" s="55">
        <v>13.0</v>
      </c>
      <c r="L101" s="55">
        <v>0.0</v>
      </c>
      <c r="M101" s="55">
        <v>2.0</v>
      </c>
      <c r="N101" s="43">
        <f t="shared" si="4"/>
        <v>2</v>
      </c>
      <c r="O101" s="55">
        <v>10.0</v>
      </c>
      <c r="P101" s="55">
        <v>6.0</v>
      </c>
      <c r="Q101" s="43">
        <f t="shared" si="2"/>
        <v>18</v>
      </c>
      <c r="R101" s="43"/>
      <c r="S101" s="43"/>
      <c r="T101" s="43"/>
      <c r="U101" s="43"/>
      <c r="V101" s="149"/>
      <c r="W101" s="56" t="s">
        <v>46</v>
      </c>
      <c r="Z101" s="61"/>
      <c r="AA101" s="61"/>
      <c r="AB101" s="66"/>
      <c r="AC101" s="34"/>
      <c r="AD101" s="34"/>
    </row>
    <row r="102" ht="13.5" customHeight="1">
      <c r="A102" s="28">
        <v>96.0</v>
      </c>
      <c r="B102" s="37" t="s">
        <v>2804</v>
      </c>
      <c r="C102" s="37" t="s">
        <v>1259</v>
      </c>
      <c r="D102" s="37" t="s">
        <v>1034</v>
      </c>
      <c r="E102" s="266" t="s">
        <v>338</v>
      </c>
      <c r="F102" s="134">
        <v>48.0</v>
      </c>
      <c r="G102" s="134" t="s">
        <v>339</v>
      </c>
      <c r="H102" s="134" t="s">
        <v>970</v>
      </c>
      <c r="I102" s="134">
        <v>9.167435991E9</v>
      </c>
      <c r="J102" s="54">
        <v>23.0</v>
      </c>
      <c r="K102" s="55">
        <v>18.0</v>
      </c>
      <c r="L102" s="55">
        <v>0.0</v>
      </c>
      <c r="M102" s="55">
        <v>4.0</v>
      </c>
      <c r="N102" s="43">
        <f t="shared" si="4"/>
        <v>4</v>
      </c>
      <c r="O102" s="55">
        <v>9.0</v>
      </c>
      <c r="P102" s="55">
        <v>1.0</v>
      </c>
      <c r="Q102" s="43">
        <f t="shared" si="2"/>
        <v>14</v>
      </c>
      <c r="R102" s="43"/>
      <c r="S102" s="43"/>
      <c r="T102" s="43"/>
      <c r="U102" s="43"/>
      <c r="V102" s="149"/>
      <c r="W102" s="56" t="s">
        <v>46</v>
      </c>
      <c r="Z102" s="61"/>
      <c r="AA102" s="61"/>
      <c r="AB102" s="66"/>
      <c r="AC102" s="34"/>
      <c r="AD102" s="34"/>
    </row>
    <row r="103" ht="13.5" customHeight="1">
      <c r="A103" s="28">
        <v>97.0</v>
      </c>
      <c r="B103" s="37" t="s">
        <v>2805</v>
      </c>
      <c r="C103" s="37" t="s">
        <v>2806</v>
      </c>
      <c r="D103" s="37" t="s">
        <v>2807</v>
      </c>
      <c r="E103" s="266" t="s">
        <v>338</v>
      </c>
      <c r="F103" s="134">
        <v>34.0</v>
      </c>
      <c r="G103" s="134" t="s">
        <v>339</v>
      </c>
      <c r="H103" s="134" t="s">
        <v>974</v>
      </c>
      <c r="I103" s="134">
        <v>9.197240677E9</v>
      </c>
      <c r="J103" s="42"/>
      <c r="K103" s="43"/>
      <c r="L103" s="43"/>
      <c r="M103" s="43"/>
      <c r="N103" s="43">
        <f t="shared" si="4"/>
        <v>0</v>
      </c>
      <c r="O103" s="43"/>
      <c r="P103" s="43"/>
      <c r="Q103" s="43">
        <f t="shared" si="2"/>
        <v>0</v>
      </c>
      <c r="R103" s="43"/>
      <c r="S103" s="43"/>
      <c r="T103" s="43"/>
      <c r="U103" s="43"/>
      <c r="V103" s="149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37" t="s">
        <v>112</v>
      </c>
      <c r="C104" s="37" t="s">
        <v>2808</v>
      </c>
      <c r="D104" s="37" t="s">
        <v>2809</v>
      </c>
      <c r="E104" s="266" t="s">
        <v>338</v>
      </c>
      <c r="F104" s="134">
        <v>28.0</v>
      </c>
      <c r="G104" s="134" t="s">
        <v>385</v>
      </c>
      <c r="H104" s="134" t="s">
        <v>974</v>
      </c>
      <c r="I104" s="134">
        <v>9.109743166E9</v>
      </c>
      <c r="J104" s="54">
        <v>28.0</v>
      </c>
      <c r="K104" s="55">
        <v>22.0</v>
      </c>
      <c r="L104" s="55">
        <v>0.0</v>
      </c>
      <c r="M104" s="55">
        <v>6.0</v>
      </c>
      <c r="N104" s="43">
        <f t="shared" si="4"/>
        <v>6</v>
      </c>
      <c r="O104" s="55">
        <v>3.0</v>
      </c>
      <c r="P104" s="55">
        <v>0.0</v>
      </c>
      <c r="Q104" s="43">
        <f t="shared" si="2"/>
        <v>9</v>
      </c>
      <c r="R104" s="43"/>
      <c r="S104" s="43"/>
      <c r="T104" s="43"/>
      <c r="U104" s="43"/>
      <c r="V104" s="149"/>
      <c r="W104" s="56" t="s">
        <v>46</v>
      </c>
      <c r="Z104" s="61"/>
      <c r="AA104" s="61"/>
      <c r="AB104" s="66"/>
      <c r="AC104" s="34"/>
      <c r="AD104" s="34"/>
    </row>
    <row r="105" ht="13.5" customHeight="1">
      <c r="A105" s="28">
        <v>99.0</v>
      </c>
      <c r="B105" s="37" t="s">
        <v>2810</v>
      </c>
      <c r="C105" s="37" t="s">
        <v>2811</v>
      </c>
      <c r="D105" s="37" t="s">
        <v>2812</v>
      </c>
      <c r="E105" s="266" t="s">
        <v>338</v>
      </c>
      <c r="F105" s="134">
        <v>44.0</v>
      </c>
      <c r="G105" s="134" t="s">
        <v>584</v>
      </c>
      <c r="H105" s="134" t="s">
        <v>2813</v>
      </c>
      <c r="I105" s="134">
        <v>9.079441633E9</v>
      </c>
      <c r="J105" s="54">
        <v>30.0</v>
      </c>
      <c r="K105" s="55">
        <v>22.0</v>
      </c>
      <c r="L105" s="55">
        <v>3.0</v>
      </c>
      <c r="M105" s="55">
        <v>5.0</v>
      </c>
      <c r="N105" s="43">
        <f t="shared" si="4"/>
        <v>8</v>
      </c>
      <c r="O105" s="43"/>
      <c r="P105" s="55">
        <v>0.0</v>
      </c>
      <c r="Q105" s="43">
        <f t="shared" si="2"/>
        <v>8</v>
      </c>
      <c r="R105" s="43"/>
      <c r="S105" s="43"/>
      <c r="T105" s="43"/>
      <c r="U105" s="43"/>
      <c r="V105" s="149"/>
      <c r="W105" s="56" t="s">
        <v>46</v>
      </c>
      <c r="Z105" s="61"/>
      <c r="AA105" s="61"/>
      <c r="AB105" s="66"/>
      <c r="AC105" s="34"/>
      <c r="AD105" s="34"/>
    </row>
    <row r="106" ht="13.5" customHeight="1">
      <c r="A106" s="28">
        <v>100.0</v>
      </c>
      <c r="B106" s="37" t="s">
        <v>2747</v>
      </c>
      <c r="C106" s="37" t="s">
        <v>2814</v>
      </c>
      <c r="D106" s="37" t="s">
        <v>2815</v>
      </c>
      <c r="E106" s="266" t="s">
        <v>338</v>
      </c>
      <c r="F106" s="134">
        <v>41.0</v>
      </c>
      <c r="G106" s="134" t="s">
        <v>584</v>
      </c>
      <c r="H106" s="134" t="s">
        <v>1954</v>
      </c>
      <c r="I106" s="134">
        <v>9.304372101E9</v>
      </c>
      <c r="J106" s="54">
        <v>29.0</v>
      </c>
      <c r="K106" s="55">
        <v>29.0</v>
      </c>
      <c r="L106" s="55">
        <v>0.0</v>
      </c>
      <c r="M106" s="55">
        <v>0.0</v>
      </c>
      <c r="N106" s="43">
        <f t="shared" si="4"/>
        <v>0</v>
      </c>
      <c r="O106" s="55">
        <v>3.0</v>
      </c>
      <c r="P106" s="55">
        <v>0.0</v>
      </c>
      <c r="Q106" s="43">
        <f t="shared" si="2"/>
        <v>3</v>
      </c>
      <c r="R106" s="43"/>
      <c r="S106" s="43"/>
      <c r="T106" s="43"/>
      <c r="U106" s="43"/>
      <c r="V106" s="149"/>
      <c r="W106" s="56" t="s">
        <v>46</v>
      </c>
      <c r="Z106" s="61"/>
      <c r="AA106" s="61"/>
      <c r="AB106" s="66"/>
      <c r="AC106" s="34"/>
      <c r="AD106" s="34"/>
    </row>
    <row r="107" ht="13.5" customHeight="1">
      <c r="A107" s="28">
        <v>101.0</v>
      </c>
      <c r="B107" s="37" t="s">
        <v>2816</v>
      </c>
      <c r="C107" s="37" t="s">
        <v>2817</v>
      </c>
      <c r="D107" s="37" t="s">
        <v>932</v>
      </c>
      <c r="E107" s="266" t="s">
        <v>338</v>
      </c>
      <c r="F107" s="134">
        <v>59.0</v>
      </c>
      <c r="G107" s="134" t="s">
        <v>476</v>
      </c>
      <c r="H107" s="134" t="s">
        <v>2818</v>
      </c>
      <c r="I107" s="134">
        <v>9.286392216E9</v>
      </c>
      <c r="J107" s="54">
        <v>19.0</v>
      </c>
      <c r="K107" s="55">
        <v>17.0</v>
      </c>
      <c r="L107" s="55">
        <v>0.0</v>
      </c>
      <c r="M107" s="55">
        <v>2.0</v>
      </c>
      <c r="N107" s="43">
        <f t="shared" si="4"/>
        <v>2</v>
      </c>
      <c r="O107" s="55">
        <v>9.0</v>
      </c>
      <c r="P107" s="55">
        <v>4.0</v>
      </c>
      <c r="Q107" s="43">
        <f t="shared" si="2"/>
        <v>15</v>
      </c>
      <c r="R107" s="43"/>
      <c r="S107" s="43"/>
      <c r="T107" s="43"/>
      <c r="U107" s="43"/>
      <c r="V107" s="149"/>
      <c r="W107" s="56" t="s">
        <v>46</v>
      </c>
      <c r="Z107" s="61"/>
      <c r="AA107" s="61"/>
      <c r="AB107" s="66"/>
      <c r="AC107" s="34"/>
      <c r="AD107" s="34"/>
    </row>
    <row r="108" ht="13.5" customHeight="1">
      <c r="A108" s="28">
        <v>102.0</v>
      </c>
      <c r="B108" s="37" t="s">
        <v>2819</v>
      </c>
      <c r="C108" s="37" t="s">
        <v>2820</v>
      </c>
      <c r="D108" s="37" t="s">
        <v>2821</v>
      </c>
      <c r="E108" s="266" t="s">
        <v>338</v>
      </c>
      <c r="F108" s="134">
        <v>29.0</v>
      </c>
      <c r="G108" s="134" t="s">
        <v>476</v>
      </c>
      <c r="H108" s="134" t="s">
        <v>641</v>
      </c>
      <c r="I108" s="134">
        <v>9.463989369E9</v>
      </c>
      <c r="J108" s="54">
        <v>29.0</v>
      </c>
      <c r="K108" s="55">
        <v>28.0</v>
      </c>
      <c r="L108" s="55">
        <v>0.0</v>
      </c>
      <c r="M108" s="55">
        <v>1.0</v>
      </c>
      <c r="N108" s="43">
        <f t="shared" si="4"/>
        <v>1</v>
      </c>
      <c r="O108" s="55">
        <v>1.0</v>
      </c>
      <c r="P108" s="55">
        <v>0.0</v>
      </c>
      <c r="Q108" s="43">
        <f t="shared" si="2"/>
        <v>2</v>
      </c>
      <c r="R108" s="43"/>
      <c r="S108" s="43"/>
      <c r="T108" s="43"/>
      <c r="U108" s="43"/>
      <c r="V108" s="149"/>
      <c r="W108" s="56" t="s">
        <v>46</v>
      </c>
      <c r="Z108" s="61"/>
      <c r="AA108" s="61"/>
      <c r="AB108" s="66"/>
      <c r="AC108" s="34"/>
      <c r="AD108" s="34"/>
    </row>
    <row r="109" ht="13.5" customHeight="1">
      <c r="A109" s="28">
        <v>103.0</v>
      </c>
      <c r="B109" s="37" t="s">
        <v>32</v>
      </c>
      <c r="C109" s="37" t="s">
        <v>2822</v>
      </c>
      <c r="D109" s="37" t="s">
        <v>2823</v>
      </c>
      <c r="E109" s="266" t="s">
        <v>338</v>
      </c>
      <c r="F109" s="134">
        <v>32.0</v>
      </c>
      <c r="G109" s="134" t="s">
        <v>584</v>
      </c>
      <c r="H109" s="134" t="s">
        <v>2824</v>
      </c>
      <c r="I109" s="134">
        <v>9.989283977E9</v>
      </c>
      <c r="J109" s="54">
        <v>29.0</v>
      </c>
      <c r="K109" s="55">
        <v>27.0</v>
      </c>
      <c r="L109" s="55">
        <v>0.0</v>
      </c>
      <c r="M109" s="55">
        <v>2.0</v>
      </c>
      <c r="N109" s="43">
        <f t="shared" si="4"/>
        <v>2</v>
      </c>
      <c r="O109" s="55">
        <v>3.0</v>
      </c>
      <c r="P109" s="55">
        <v>3.0</v>
      </c>
      <c r="Q109" s="43">
        <f t="shared" si="2"/>
        <v>8</v>
      </c>
      <c r="R109" s="43"/>
      <c r="S109" s="43"/>
      <c r="T109" s="43"/>
      <c r="U109" s="43"/>
      <c r="V109" s="149"/>
      <c r="W109" s="56" t="s">
        <v>46</v>
      </c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>
        <f t="shared" si="2"/>
        <v>0</v>
      </c>
      <c r="R110" s="43"/>
      <c r="S110" s="43"/>
      <c r="T110" s="43"/>
      <c r="U110" s="43"/>
      <c r="V110" s="149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149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149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149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149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149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149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149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149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149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149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149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149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149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149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149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149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149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149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149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149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149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149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149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149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149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149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149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149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149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149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149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149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149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149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149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149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149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149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149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149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149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149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149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149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149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149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5">SUM(J7:J156)</f>
        <v>2251</v>
      </c>
      <c r="K157" s="123">
        <f t="shared" si="5"/>
        <v>1847</v>
      </c>
      <c r="L157" s="123">
        <f t="shared" si="5"/>
        <v>31</v>
      </c>
      <c r="M157" s="123">
        <f t="shared" si="5"/>
        <v>162</v>
      </c>
      <c r="N157" s="123">
        <f t="shared" si="5"/>
        <v>193</v>
      </c>
      <c r="O157" s="123">
        <f t="shared" si="5"/>
        <v>585</v>
      </c>
      <c r="P157" s="123">
        <f t="shared" si="5"/>
        <v>226</v>
      </c>
      <c r="Q157" s="123">
        <f t="shared" si="5"/>
        <v>1004</v>
      </c>
      <c r="R157" s="124"/>
      <c r="S157" s="124"/>
      <c r="T157" s="125"/>
      <c r="U157" s="267" t="s">
        <v>330</v>
      </c>
      <c r="V157" s="5"/>
      <c r="W157" s="126">
        <f>COUNTIF(W7:W156,"YES")</f>
        <v>90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268" t="s">
        <v>331</v>
      </c>
      <c r="W158" s="126"/>
      <c r="Z158" s="34"/>
      <c r="AA158" s="34"/>
      <c r="AB158" s="34"/>
      <c r="AC158" s="34"/>
      <c r="AD158" s="34"/>
    </row>
    <row r="159" ht="13.5" customHeight="1">
      <c r="V159" s="265"/>
      <c r="Z159" s="34"/>
      <c r="AA159" s="34"/>
      <c r="AB159" s="34"/>
      <c r="AC159" s="34"/>
      <c r="AD159" s="34"/>
    </row>
    <row r="160" ht="13.5" customHeight="1">
      <c r="V160" s="265"/>
      <c r="Z160" s="34"/>
      <c r="AA160" s="34"/>
      <c r="AB160" s="34"/>
      <c r="AC160" s="34"/>
      <c r="AD160" s="34"/>
    </row>
    <row r="161" ht="13.5" customHeight="1">
      <c r="V161" s="265"/>
      <c r="Z161" s="34"/>
      <c r="AA161" s="34"/>
      <c r="AB161" s="34"/>
      <c r="AC161" s="34"/>
      <c r="AD161" s="34"/>
    </row>
    <row r="162" ht="13.5" customHeight="1">
      <c r="V162" s="265"/>
      <c r="Z162" s="34"/>
      <c r="AA162" s="34"/>
      <c r="AB162" s="34"/>
      <c r="AC162" s="34"/>
      <c r="AD162" s="34"/>
    </row>
    <row r="163" ht="13.5" customHeight="1">
      <c r="V163" s="265"/>
      <c r="Z163" s="34"/>
      <c r="AA163" s="34"/>
      <c r="AB163" s="34"/>
      <c r="AC163" s="34"/>
      <c r="AD163" s="34"/>
    </row>
    <row r="164" ht="13.5" customHeight="1">
      <c r="V164" s="265"/>
      <c r="Z164" s="34"/>
      <c r="AA164" s="34"/>
      <c r="AB164" s="34"/>
      <c r="AC164" s="34"/>
      <c r="AD164" s="34"/>
    </row>
    <row r="165" ht="13.5" customHeight="1">
      <c r="V165" s="265"/>
      <c r="Z165" s="34"/>
      <c r="AA165" s="34"/>
      <c r="AB165" s="34"/>
      <c r="AC165" s="34"/>
      <c r="AD165" s="34"/>
    </row>
    <row r="166" ht="13.5" customHeight="1">
      <c r="V166" s="265"/>
      <c r="Z166" s="34"/>
      <c r="AA166" s="34"/>
      <c r="AB166" s="34"/>
      <c r="AC166" s="34"/>
      <c r="AD166" s="34"/>
    </row>
    <row r="167" ht="13.5" customHeight="1">
      <c r="V167" s="265"/>
      <c r="Z167" s="34"/>
      <c r="AA167" s="34"/>
      <c r="AB167" s="34"/>
      <c r="AC167" s="34"/>
      <c r="AD167" s="34"/>
    </row>
    <row r="168" ht="13.5" customHeight="1">
      <c r="V168" s="265"/>
      <c r="Z168" s="34"/>
      <c r="AA168" s="34"/>
      <c r="AB168" s="34"/>
      <c r="AC168" s="34"/>
      <c r="AD168" s="34"/>
    </row>
    <row r="169" ht="13.5" customHeight="1">
      <c r="V169" s="265"/>
      <c r="Z169" s="34"/>
      <c r="AA169" s="34"/>
      <c r="AB169" s="34"/>
      <c r="AC169" s="34"/>
      <c r="AD169" s="34"/>
    </row>
    <row r="170" ht="13.5" customHeight="1">
      <c r="V170" s="265"/>
      <c r="Z170" s="34"/>
      <c r="AA170" s="34"/>
      <c r="AB170" s="34"/>
      <c r="AC170" s="34"/>
      <c r="AD170" s="34"/>
    </row>
    <row r="171" ht="13.5" customHeight="1">
      <c r="V171" s="265"/>
      <c r="Z171" s="34"/>
      <c r="AA171" s="34"/>
      <c r="AB171" s="34"/>
      <c r="AC171" s="34"/>
      <c r="AD171" s="34"/>
    </row>
    <row r="172" ht="13.5" customHeight="1">
      <c r="V172" s="265"/>
      <c r="Z172" s="34"/>
      <c r="AA172" s="34"/>
      <c r="AB172" s="34"/>
      <c r="AC172" s="34"/>
      <c r="AD172" s="34"/>
    </row>
    <row r="173" ht="13.5" customHeight="1">
      <c r="V173" s="265"/>
      <c r="Z173" s="34"/>
      <c r="AA173" s="34"/>
      <c r="AB173" s="34"/>
      <c r="AC173" s="34"/>
      <c r="AD173" s="34"/>
    </row>
    <row r="174" ht="13.5" customHeight="1">
      <c r="V174" s="265"/>
      <c r="Z174" s="34"/>
      <c r="AA174" s="34"/>
      <c r="AB174" s="34"/>
      <c r="AC174" s="34"/>
      <c r="AD174" s="34"/>
    </row>
    <row r="175" ht="13.5" customHeight="1">
      <c r="V175" s="265"/>
      <c r="Z175" s="34"/>
      <c r="AA175" s="34"/>
      <c r="AB175" s="34"/>
      <c r="AC175" s="34"/>
      <c r="AD175" s="34"/>
    </row>
    <row r="176" ht="13.5" customHeight="1">
      <c r="V176" s="265"/>
      <c r="Z176" s="34"/>
      <c r="AA176" s="34"/>
      <c r="AB176" s="34"/>
      <c r="AC176" s="34"/>
      <c r="AD176" s="34"/>
    </row>
    <row r="177" ht="13.5" customHeight="1">
      <c r="V177" s="265"/>
      <c r="Z177" s="34"/>
      <c r="AA177" s="34"/>
      <c r="AB177" s="34"/>
      <c r="AC177" s="34"/>
      <c r="AD177" s="34"/>
    </row>
    <row r="178" ht="13.5" customHeight="1">
      <c r="V178" s="265"/>
    </row>
    <row r="179" ht="13.5" customHeight="1">
      <c r="V179" s="265"/>
    </row>
    <row r="180" ht="13.5" customHeight="1">
      <c r="V180" s="265"/>
    </row>
    <row r="181" ht="13.5" customHeight="1">
      <c r="V181" s="265"/>
    </row>
    <row r="182" ht="13.5" customHeight="1">
      <c r="V182" s="265"/>
    </row>
    <row r="183" ht="13.5" customHeight="1">
      <c r="V183" s="265"/>
    </row>
    <row r="184" ht="13.5" customHeight="1">
      <c r="V184" s="265"/>
    </row>
    <row r="185" ht="13.5" customHeight="1">
      <c r="V185" s="265"/>
    </row>
    <row r="186" ht="13.5" customHeight="1">
      <c r="V186" s="265"/>
    </row>
    <row r="187" ht="13.5" customHeight="1">
      <c r="V187" s="265"/>
    </row>
    <row r="188" ht="13.5" customHeight="1">
      <c r="V188" s="265"/>
    </row>
    <row r="189" ht="13.5" customHeight="1">
      <c r="V189" s="265"/>
    </row>
    <row r="190" ht="13.5" customHeight="1">
      <c r="V190" s="265"/>
    </row>
    <row r="191" ht="13.5" customHeight="1">
      <c r="V191" s="265"/>
    </row>
    <row r="192" ht="13.5" customHeight="1">
      <c r="V192" s="265"/>
    </row>
    <row r="193" ht="13.5" customHeight="1">
      <c r="V193" s="265"/>
    </row>
    <row r="194" ht="13.5" customHeight="1">
      <c r="V194" s="265"/>
    </row>
    <row r="195" ht="13.5" customHeight="1">
      <c r="V195" s="265"/>
    </row>
    <row r="196" ht="13.5" customHeight="1">
      <c r="V196" s="265"/>
    </row>
    <row r="197" ht="13.5" customHeight="1">
      <c r="V197" s="265"/>
    </row>
    <row r="198" ht="13.5" customHeight="1">
      <c r="V198" s="265"/>
    </row>
    <row r="199" ht="13.5" customHeight="1">
      <c r="V199" s="265"/>
    </row>
    <row r="200" ht="13.5" customHeight="1">
      <c r="V200" s="265"/>
    </row>
    <row r="201" ht="13.5" customHeight="1">
      <c r="V201" s="265"/>
    </row>
    <row r="202" ht="13.5" customHeight="1">
      <c r="V202" s="265"/>
    </row>
    <row r="203" ht="13.5" customHeight="1">
      <c r="V203" s="265"/>
    </row>
    <row r="204" ht="13.5" customHeight="1">
      <c r="V204" s="265"/>
    </row>
    <row r="205" ht="13.5" customHeight="1">
      <c r="V205" s="265"/>
    </row>
    <row r="206" ht="13.5" customHeight="1">
      <c r="V206" s="265"/>
    </row>
    <row r="207" ht="13.5" customHeight="1">
      <c r="V207" s="265"/>
    </row>
    <row r="208" ht="13.5" customHeight="1">
      <c r="V208" s="265"/>
    </row>
    <row r="209" ht="13.5" customHeight="1">
      <c r="V209" s="265"/>
    </row>
    <row r="210" ht="13.5" customHeight="1">
      <c r="V210" s="265"/>
    </row>
    <row r="211" ht="13.5" customHeight="1">
      <c r="V211" s="265"/>
    </row>
    <row r="212" ht="13.5" customHeight="1">
      <c r="V212" s="265"/>
    </row>
    <row r="213" ht="13.5" customHeight="1">
      <c r="V213" s="265"/>
    </row>
    <row r="214" ht="13.5" customHeight="1">
      <c r="V214" s="265"/>
    </row>
    <row r="215" ht="13.5" customHeight="1">
      <c r="V215" s="265"/>
    </row>
    <row r="216" ht="13.5" customHeight="1">
      <c r="V216" s="265"/>
    </row>
    <row r="217" ht="13.5" customHeight="1">
      <c r="V217" s="265"/>
    </row>
    <row r="218" ht="13.5" customHeight="1">
      <c r="V218" s="265"/>
    </row>
    <row r="219" ht="13.5" customHeight="1">
      <c r="V219" s="265"/>
    </row>
    <row r="220" ht="13.5" customHeight="1">
      <c r="V220" s="265"/>
    </row>
    <row r="221" ht="13.5" customHeight="1">
      <c r="V221" s="265"/>
    </row>
    <row r="222" ht="13.5" customHeight="1">
      <c r="V222" s="265"/>
    </row>
    <row r="223" ht="13.5" customHeight="1">
      <c r="V223" s="265"/>
    </row>
    <row r="224" ht="13.5" customHeight="1">
      <c r="V224" s="265"/>
    </row>
    <row r="225" ht="13.5" customHeight="1">
      <c r="V225" s="265"/>
    </row>
    <row r="226" ht="13.5" customHeight="1">
      <c r="V226" s="265"/>
    </row>
    <row r="227" ht="13.5" customHeight="1">
      <c r="V227" s="265"/>
    </row>
    <row r="228" ht="13.5" customHeight="1">
      <c r="V228" s="265"/>
    </row>
    <row r="229" ht="13.5" customHeight="1">
      <c r="V229" s="265"/>
    </row>
    <row r="230" ht="13.5" customHeight="1">
      <c r="V230" s="265"/>
    </row>
    <row r="231" ht="13.5" customHeight="1">
      <c r="V231" s="265"/>
    </row>
    <row r="232" ht="13.5" customHeight="1">
      <c r="V232" s="265"/>
    </row>
    <row r="233" ht="13.5" customHeight="1">
      <c r="V233" s="265"/>
    </row>
    <row r="234" ht="13.5" customHeight="1">
      <c r="V234" s="265"/>
    </row>
    <row r="235" ht="13.5" customHeight="1">
      <c r="V235" s="265"/>
    </row>
    <row r="236" ht="13.5" customHeight="1">
      <c r="V236" s="265"/>
    </row>
    <row r="237" ht="13.5" customHeight="1">
      <c r="V237" s="265"/>
    </row>
    <row r="238" ht="13.5" customHeight="1">
      <c r="V238" s="265"/>
    </row>
    <row r="239" ht="13.5" customHeight="1">
      <c r="V239" s="265"/>
    </row>
    <row r="240" ht="13.5" customHeight="1">
      <c r="V240" s="265"/>
    </row>
    <row r="241" ht="13.5" customHeight="1">
      <c r="V241" s="265"/>
    </row>
    <row r="242" ht="13.5" customHeight="1">
      <c r="V242" s="265"/>
    </row>
    <row r="243" ht="13.5" customHeight="1">
      <c r="V243" s="265"/>
    </row>
    <row r="244" ht="13.5" customHeight="1">
      <c r="V244" s="265"/>
    </row>
    <row r="245" ht="13.5" customHeight="1">
      <c r="V245" s="265"/>
    </row>
    <row r="246" ht="13.5" customHeight="1">
      <c r="V246" s="265"/>
    </row>
    <row r="247" ht="13.5" customHeight="1">
      <c r="V247" s="265"/>
    </row>
    <row r="248" ht="13.5" customHeight="1">
      <c r="V248" s="265"/>
    </row>
    <row r="249" ht="13.5" customHeight="1">
      <c r="V249" s="265"/>
    </row>
    <row r="250" ht="13.5" customHeight="1">
      <c r="V250" s="265"/>
    </row>
    <row r="251" ht="13.5" customHeight="1">
      <c r="V251" s="265"/>
    </row>
    <row r="252" ht="13.5" customHeight="1">
      <c r="V252" s="265"/>
    </row>
    <row r="253" ht="13.5" customHeight="1">
      <c r="V253" s="265"/>
    </row>
    <row r="254" ht="13.5" customHeight="1">
      <c r="V254" s="265"/>
    </row>
    <row r="255" ht="13.5" customHeight="1">
      <c r="V255" s="265"/>
    </row>
    <row r="256" ht="13.5" customHeight="1">
      <c r="V256" s="265"/>
    </row>
    <row r="257" ht="13.5" customHeight="1">
      <c r="V257" s="265"/>
    </row>
    <row r="258" ht="13.5" customHeight="1">
      <c r="V258" s="265"/>
    </row>
    <row r="259" ht="13.5" customHeight="1">
      <c r="V259" s="265"/>
    </row>
    <row r="260" ht="13.5" customHeight="1">
      <c r="V260" s="265"/>
    </row>
    <row r="261" ht="13.5" customHeight="1">
      <c r="V261" s="265"/>
    </row>
    <row r="262" ht="13.5" customHeight="1">
      <c r="V262" s="265"/>
    </row>
    <row r="263" ht="13.5" customHeight="1">
      <c r="V263" s="265"/>
    </row>
    <row r="264" ht="13.5" customHeight="1">
      <c r="V264" s="265"/>
    </row>
    <row r="265" ht="13.5" customHeight="1">
      <c r="V265" s="265"/>
    </row>
    <row r="266" ht="13.5" customHeight="1">
      <c r="V266" s="265"/>
    </row>
    <row r="267" ht="13.5" customHeight="1">
      <c r="V267" s="265"/>
    </row>
    <row r="268" ht="13.5" customHeight="1">
      <c r="V268" s="265"/>
    </row>
    <row r="269" ht="13.5" customHeight="1">
      <c r="V269" s="265"/>
    </row>
    <row r="270" ht="13.5" customHeight="1">
      <c r="V270" s="265"/>
    </row>
    <row r="271" ht="13.5" customHeight="1">
      <c r="V271" s="265"/>
    </row>
    <row r="272" ht="13.5" customHeight="1">
      <c r="V272" s="265"/>
    </row>
    <row r="273" ht="13.5" customHeight="1">
      <c r="V273" s="265"/>
    </row>
    <row r="274" ht="13.5" customHeight="1">
      <c r="V274" s="265"/>
    </row>
    <row r="275" ht="13.5" customHeight="1">
      <c r="V275" s="265"/>
    </row>
    <row r="276" ht="13.5" customHeight="1">
      <c r="V276" s="265"/>
    </row>
    <row r="277" ht="13.5" customHeight="1">
      <c r="V277" s="265"/>
    </row>
    <row r="278" ht="13.5" customHeight="1">
      <c r="V278" s="265"/>
    </row>
    <row r="279" ht="13.5" customHeight="1">
      <c r="V279" s="265"/>
    </row>
    <row r="280" ht="13.5" customHeight="1">
      <c r="V280" s="265"/>
    </row>
    <row r="281" ht="13.5" customHeight="1">
      <c r="V281" s="265"/>
    </row>
    <row r="282" ht="13.5" customHeight="1">
      <c r="V282" s="265"/>
    </row>
    <row r="283" ht="13.5" customHeight="1">
      <c r="V283" s="265"/>
    </row>
    <row r="284" ht="13.5" customHeight="1">
      <c r="V284" s="265"/>
    </row>
    <row r="285" ht="13.5" customHeight="1">
      <c r="V285" s="265"/>
    </row>
    <row r="286" ht="13.5" customHeight="1">
      <c r="V286" s="265"/>
    </row>
    <row r="287" ht="13.5" customHeight="1">
      <c r="V287" s="265"/>
    </row>
    <row r="288" ht="13.5" customHeight="1">
      <c r="V288" s="265"/>
    </row>
    <row r="289" ht="13.5" customHeight="1">
      <c r="V289" s="265"/>
    </row>
    <row r="290" ht="13.5" customHeight="1">
      <c r="V290" s="265"/>
    </row>
    <row r="291" ht="13.5" customHeight="1">
      <c r="V291" s="265"/>
    </row>
    <row r="292" ht="13.5" customHeight="1">
      <c r="V292" s="265"/>
    </row>
    <row r="293" ht="13.5" customHeight="1">
      <c r="V293" s="265"/>
    </row>
    <row r="294" ht="13.5" customHeight="1">
      <c r="V294" s="265"/>
    </row>
    <row r="295" ht="13.5" customHeight="1">
      <c r="V295" s="265"/>
    </row>
    <row r="296" ht="13.5" customHeight="1">
      <c r="V296" s="265"/>
    </row>
    <row r="297" ht="13.5" customHeight="1">
      <c r="V297" s="265"/>
    </row>
    <row r="298" ht="13.5" customHeight="1">
      <c r="V298" s="265"/>
    </row>
    <row r="299" ht="13.5" customHeight="1">
      <c r="V299" s="265"/>
    </row>
    <row r="300" ht="13.5" customHeight="1">
      <c r="V300" s="265"/>
    </row>
    <row r="301" ht="13.5" customHeight="1">
      <c r="V301" s="265"/>
    </row>
    <row r="302" ht="13.5" customHeight="1">
      <c r="V302" s="265"/>
    </row>
    <row r="303" ht="13.5" customHeight="1">
      <c r="V303" s="265"/>
    </row>
    <row r="304" ht="13.5" customHeight="1">
      <c r="V304" s="265"/>
    </row>
    <row r="305" ht="13.5" customHeight="1">
      <c r="V305" s="265"/>
    </row>
    <row r="306" ht="13.5" customHeight="1">
      <c r="V306" s="265"/>
    </row>
    <row r="307" ht="13.5" customHeight="1">
      <c r="V307" s="265"/>
    </row>
    <row r="308" ht="13.5" customHeight="1">
      <c r="V308" s="265"/>
    </row>
    <row r="309" ht="13.5" customHeight="1">
      <c r="V309" s="265"/>
    </row>
    <row r="310" ht="13.5" customHeight="1">
      <c r="V310" s="265"/>
    </row>
    <row r="311" ht="13.5" customHeight="1">
      <c r="V311" s="265"/>
    </row>
    <row r="312" ht="13.5" customHeight="1">
      <c r="V312" s="265"/>
    </row>
    <row r="313" ht="13.5" customHeight="1">
      <c r="V313" s="265"/>
    </row>
    <row r="314" ht="13.5" customHeight="1">
      <c r="V314" s="265"/>
    </row>
    <row r="315" ht="13.5" customHeight="1">
      <c r="V315" s="265"/>
    </row>
    <row r="316" ht="13.5" customHeight="1">
      <c r="V316" s="265"/>
    </row>
    <row r="317" ht="13.5" customHeight="1">
      <c r="V317" s="265"/>
    </row>
    <row r="318" ht="13.5" customHeight="1">
      <c r="V318" s="265"/>
    </row>
    <row r="319" ht="13.5" customHeight="1">
      <c r="V319" s="265"/>
    </row>
    <row r="320" ht="13.5" customHeight="1">
      <c r="V320" s="265"/>
    </row>
    <row r="321" ht="13.5" customHeight="1">
      <c r="V321" s="265"/>
    </row>
    <row r="322" ht="13.5" customHeight="1">
      <c r="V322" s="265"/>
    </row>
    <row r="323" ht="13.5" customHeight="1">
      <c r="V323" s="265"/>
    </row>
    <row r="324" ht="13.5" customHeight="1">
      <c r="V324" s="265"/>
    </row>
    <row r="325" ht="13.5" customHeight="1">
      <c r="V325" s="265"/>
    </row>
    <row r="326" ht="13.5" customHeight="1">
      <c r="V326" s="265"/>
    </row>
    <row r="327" ht="13.5" customHeight="1">
      <c r="V327" s="265"/>
    </row>
    <row r="328" ht="13.5" customHeight="1">
      <c r="V328" s="265"/>
    </row>
    <row r="329" ht="13.5" customHeight="1">
      <c r="V329" s="265"/>
    </row>
    <row r="330" ht="13.5" customHeight="1">
      <c r="V330" s="265"/>
    </row>
    <row r="331" ht="13.5" customHeight="1">
      <c r="V331" s="265"/>
    </row>
    <row r="332" ht="13.5" customHeight="1">
      <c r="V332" s="265"/>
    </row>
    <row r="333" ht="13.5" customHeight="1">
      <c r="V333" s="265"/>
    </row>
    <row r="334" ht="13.5" customHeight="1">
      <c r="V334" s="265"/>
    </row>
    <row r="335" ht="13.5" customHeight="1">
      <c r="V335" s="265"/>
    </row>
    <row r="336" ht="13.5" customHeight="1">
      <c r="V336" s="265"/>
    </row>
    <row r="337" ht="13.5" customHeight="1">
      <c r="V337" s="265"/>
    </row>
    <row r="338" ht="13.5" customHeight="1">
      <c r="V338" s="265"/>
    </row>
    <row r="339" ht="13.5" customHeight="1">
      <c r="V339" s="265"/>
    </row>
    <row r="340" ht="13.5" customHeight="1">
      <c r="V340" s="265"/>
    </row>
    <row r="341" ht="13.5" customHeight="1">
      <c r="V341" s="265"/>
    </row>
    <row r="342" ht="13.5" customHeight="1">
      <c r="V342" s="265"/>
    </row>
    <row r="343" ht="13.5" customHeight="1">
      <c r="V343" s="265"/>
    </row>
    <row r="344" ht="13.5" customHeight="1">
      <c r="V344" s="265"/>
    </row>
    <row r="345" ht="13.5" customHeight="1">
      <c r="V345" s="265"/>
    </row>
    <row r="346" ht="13.5" customHeight="1">
      <c r="V346" s="265"/>
    </row>
    <row r="347" ht="13.5" customHeight="1">
      <c r="V347" s="265"/>
    </row>
    <row r="348" ht="13.5" customHeight="1">
      <c r="V348" s="265"/>
    </row>
    <row r="349" ht="13.5" customHeight="1">
      <c r="V349" s="265"/>
    </row>
    <row r="350" ht="13.5" customHeight="1">
      <c r="V350" s="265"/>
    </row>
    <row r="351" ht="13.5" customHeight="1">
      <c r="V351" s="265"/>
    </row>
    <row r="352" ht="13.5" customHeight="1">
      <c r="V352" s="265"/>
    </row>
    <row r="353" ht="13.5" customHeight="1">
      <c r="V353" s="265"/>
    </row>
    <row r="354" ht="13.5" customHeight="1">
      <c r="V354" s="265"/>
    </row>
    <row r="355" ht="13.5" customHeight="1">
      <c r="V355" s="265"/>
    </row>
    <row r="356" ht="13.5" customHeight="1">
      <c r="V356" s="265"/>
    </row>
    <row r="357" ht="13.5" customHeight="1">
      <c r="V357" s="265"/>
    </row>
    <row r="358" ht="13.5" customHeight="1">
      <c r="V358" s="265"/>
    </row>
    <row r="359" ht="13.5" customHeight="1">
      <c r="V359" s="265"/>
    </row>
    <row r="360" ht="13.5" customHeight="1">
      <c r="V360" s="265"/>
    </row>
    <row r="361" ht="13.5" customHeight="1">
      <c r="V361" s="265"/>
    </row>
    <row r="362" ht="13.5" customHeight="1">
      <c r="V362" s="265"/>
    </row>
    <row r="363" ht="13.5" customHeight="1">
      <c r="V363" s="265"/>
    </row>
    <row r="364" ht="13.5" customHeight="1">
      <c r="V364" s="265"/>
    </row>
    <row r="365" ht="13.5" customHeight="1">
      <c r="V365" s="265"/>
    </row>
    <row r="366" ht="13.5" customHeight="1">
      <c r="V366" s="265"/>
    </row>
    <row r="367" ht="13.5" customHeight="1">
      <c r="V367" s="265"/>
    </row>
    <row r="368" ht="13.5" customHeight="1">
      <c r="V368" s="265"/>
    </row>
    <row r="369" ht="13.5" customHeight="1">
      <c r="V369" s="265"/>
    </row>
    <row r="370" ht="13.5" customHeight="1">
      <c r="V370" s="265"/>
    </row>
    <row r="371" ht="13.5" customHeight="1">
      <c r="V371" s="265"/>
    </row>
    <row r="372" ht="13.5" customHeight="1">
      <c r="V372" s="265"/>
    </row>
    <row r="373" ht="13.5" customHeight="1">
      <c r="V373" s="265"/>
    </row>
    <row r="374" ht="13.5" customHeight="1">
      <c r="V374" s="265"/>
    </row>
    <row r="375" ht="13.5" customHeight="1">
      <c r="V375" s="265"/>
    </row>
    <row r="376" ht="13.5" customHeight="1">
      <c r="V376" s="265"/>
    </row>
    <row r="377" ht="13.5" customHeight="1">
      <c r="V377" s="265"/>
    </row>
    <row r="378" ht="13.5" customHeight="1">
      <c r="V378" s="265"/>
    </row>
    <row r="379" ht="13.5" customHeight="1">
      <c r="V379" s="265"/>
    </row>
    <row r="380" ht="13.5" customHeight="1">
      <c r="V380" s="265"/>
    </row>
    <row r="381" ht="13.5" customHeight="1">
      <c r="V381" s="265"/>
    </row>
    <row r="382" ht="13.5" customHeight="1">
      <c r="V382" s="265"/>
    </row>
    <row r="383" ht="13.5" customHeight="1">
      <c r="V383" s="265"/>
    </row>
    <row r="384" ht="13.5" customHeight="1">
      <c r="V384" s="265"/>
    </row>
    <row r="385" ht="13.5" customHeight="1">
      <c r="V385" s="265"/>
    </row>
    <row r="386" ht="13.5" customHeight="1">
      <c r="V386" s="265"/>
    </row>
    <row r="387" ht="13.5" customHeight="1">
      <c r="V387" s="265"/>
    </row>
    <row r="388" ht="13.5" customHeight="1">
      <c r="V388" s="265"/>
    </row>
    <row r="389" ht="13.5" customHeight="1">
      <c r="V389" s="265"/>
    </row>
    <row r="390" ht="13.5" customHeight="1">
      <c r="V390" s="265"/>
    </row>
    <row r="391" ht="13.5" customHeight="1">
      <c r="V391" s="265"/>
    </row>
    <row r="392" ht="13.5" customHeight="1">
      <c r="V392" s="265"/>
    </row>
    <row r="393" ht="13.5" customHeight="1">
      <c r="V393" s="265"/>
    </row>
    <row r="394" ht="13.5" customHeight="1">
      <c r="V394" s="265"/>
    </row>
    <row r="395" ht="13.5" customHeight="1">
      <c r="V395" s="265"/>
    </row>
    <row r="396" ht="13.5" customHeight="1">
      <c r="V396" s="265"/>
    </row>
    <row r="397" ht="13.5" customHeight="1">
      <c r="V397" s="265"/>
    </row>
    <row r="398" ht="13.5" customHeight="1">
      <c r="V398" s="265"/>
    </row>
    <row r="399" ht="13.5" customHeight="1">
      <c r="V399" s="265"/>
    </row>
    <row r="400" ht="13.5" customHeight="1">
      <c r="V400" s="265"/>
    </row>
    <row r="401" ht="13.5" customHeight="1">
      <c r="V401" s="265"/>
    </row>
    <row r="402" ht="13.5" customHeight="1">
      <c r="V402" s="265"/>
    </row>
    <row r="403" ht="13.5" customHeight="1">
      <c r="V403" s="265"/>
    </row>
    <row r="404" ht="13.5" customHeight="1">
      <c r="V404" s="265"/>
    </row>
    <row r="405" ht="13.5" customHeight="1">
      <c r="V405" s="265"/>
    </row>
    <row r="406" ht="13.5" customHeight="1">
      <c r="V406" s="265"/>
    </row>
    <row r="407" ht="13.5" customHeight="1">
      <c r="V407" s="265"/>
    </row>
    <row r="408" ht="13.5" customHeight="1">
      <c r="V408" s="265"/>
    </row>
    <row r="409" ht="13.5" customHeight="1">
      <c r="V409" s="265"/>
    </row>
    <row r="410" ht="13.5" customHeight="1">
      <c r="V410" s="265"/>
    </row>
    <row r="411" ht="13.5" customHeight="1">
      <c r="V411" s="265"/>
    </row>
    <row r="412" ht="13.5" customHeight="1">
      <c r="V412" s="265"/>
    </row>
    <row r="413" ht="13.5" customHeight="1">
      <c r="V413" s="265"/>
    </row>
    <row r="414" ht="13.5" customHeight="1">
      <c r="V414" s="265"/>
    </row>
    <row r="415" ht="13.5" customHeight="1">
      <c r="V415" s="265"/>
    </row>
    <row r="416" ht="13.5" customHeight="1">
      <c r="V416" s="265"/>
    </row>
    <row r="417" ht="13.5" customHeight="1">
      <c r="V417" s="265"/>
    </row>
    <row r="418" ht="13.5" customHeight="1">
      <c r="V418" s="265"/>
    </row>
    <row r="419" ht="13.5" customHeight="1">
      <c r="V419" s="265"/>
    </row>
    <row r="420" ht="13.5" customHeight="1">
      <c r="V420" s="265"/>
    </row>
    <row r="421" ht="13.5" customHeight="1">
      <c r="V421" s="265"/>
    </row>
    <row r="422" ht="13.5" customHeight="1">
      <c r="V422" s="265"/>
    </row>
    <row r="423" ht="13.5" customHeight="1">
      <c r="V423" s="265"/>
    </row>
    <row r="424" ht="13.5" customHeight="1">
      <c r="V424" s="265"/>
    </row>
    <row r="425" ht="13.5" customHeight="1">
      <c r="V425" s="265"/>
    </row>
    <row r="426" ht="13.5" customHeight="1">
      <c r="V426" s="265"/>
    </row>
    <row r="427" ht="13.5" customHeight="1">
      <c r="V427" s="265"/>
    </row>
    <row r="428" ht="13.5" customHeight="1">
      <c r="V428" s="265"/>
    </row>
    <row r="429" ht="13.5" customHeight="1">
      <c r="V429" s="265"/>
    </row>
    <row r="430" ht="13.5" customHeight="1">
      <c r="V430" s="265"/>
    </row>
    <row r="431" ht="13.5" customHeight="1">
      <c r="V431" s="265"/>
    </row>
    <row r="432" ht="13.5" customHeight="1">
      <c r="V432" s="265"/>
    </row>
    <row r="433" ht="13.5" customHeight="1">
      <c r="V433" s="265"/>
    </row>
    <row r="434" ht="13.5" customHeight="1">
      <c r="V434" s="265"/>
    </row>
    <row r="435" ht="13.5" customHeight="1">
      <c r="V435" s="265"/>
    </row>
    <row r="436" ht="13.5" customHeight="1">
      <c r="V436" s="265"/>
    </row>
    <row r="437" ht="13.5" customHeight="1">
      <c r="V437" s="265"/>
    </row>
    <row r="438" ht="13.5" customHeight="1">
      <c r="V438" s="265"/>
    </row>
    <row r="439" ht="13.5" customHeight="1">
      <c r="V439" s="265"/>
    </row>
    <row r="440" ht="13.5" customHeight="1">
      <c r="V440" s="265"/>
    </row>
    <row r="441" ht="13.5" customHeight="1">
      <c r="V441" s="265"/>
    </row>
    <row r="442" ht="13.5" customHeight="1">
      <c r="V442" s="265"/>
    </row>
    <row r="443" ht="13.5" customHeight="1">
      <c r="V443" s="265"/>
    </row>
    <row r="444" ht="13.5" customHeight="1">
      <c r="V444" s="265"/>
    </row>
    <row r="445" ht="13.5" customHeight="1">
      <c r="V445" s="265"/>
    </row>
    <row r="446" ht="13.5" customHeight="1">
      <c r="V446" s="265"/>
    </row>
    <row r="447" ht="13.5" customHeight="1">
      <c r="V447" s="265"/>
    </row>
    <row r="448" ht="13.5" customHeight="1">
      <c r="V448" s="265"/>
    </row>
    <row r="449" ht="13.5" customHeight="1">
      <c r="V449" s="265"/>
    </row>
    <row r="450" ht="13.5" customHeight="1">
      <c r="V450" s="265"/>
    </row>
    <row r="451" ht="13.5" customHeight="1">
      <c r="V451" s="265"/>
    </row>
    <row r="452" ht="13.5" customHeight="1">
      <c r="V452" s="265"/>
    </row>
    <row r="453" ht="13.5" customHeight="1">
      <c r="V453" s="265"/>
    </row>
    <row r="454" ht="13.5" customHeight="1">
      <c r="V454" s="265"/>
    </row>
    <row r="455" ht="13.5" customHeight="1">
      <c r="V455" s="265"/>
    </row>
    <row r="456" ht="13.5" customHeight="1">
      <c r="V456" s="265"/>
    </row>
    <row r="457" ht="13.5" customHeight="1">
      <c r="V457" s="265"/>
    </row>
    <row r="458" ht="13.5" customHeight="1">
      <c r="V458" s="265"/>
    </row>
    <row r="459" ht="13.5" customHeight="1">
      <c r="V459" s="265"/>
    </row>
    <row r="460" ht="13.5" customHeight="1">
      <c r="V460" s="265"/>
    </row>
    <row r="461" ht="13.5" customHeight="1">
      <c r="V461" s="265"/>
    </row>
    <row r="462" ht="13.5" customHeight="1">
      <c r="V462" s="265"/>
    </row>
    <row r="463" ht="13.5" customHeight="1">
      <c r="V463" s="265"/>
    </row>
    <row r="464" ht="13.5" customHeight="1">
      <c r="V464" s="265"/>
    </row>
    <row r="465" ht="13.5" customHeight="1">
      <c r="V465" s="265"/>
    </row>
    <row r="466" ht="13.5" customHeight="1">
      <c r="V466" s="265"/>
    </row>
    <row r="467" ht="13.5" customHeight="1">
      <c r="V467" s="265"/>
    </row>
    <row r="468" ht="13.5" customHeight="1">
      <c r="V468" s="265"/>
    </row>
    <row r="469" ht="13.5" customHeight="1">
      <c r="V469" s="265"/>
    </row>
    <row r="470" ht="13.5" customHeight="1">
      <c r="V470" s="265"/>
    </row>
    <row r="471" ht="13.5" customHeight="1">
      <c r="V471" s="265"/>
    </row>
    <row r="472" ht="13.5" customHeight="1">
      <c r="V472" s="265"/>
    </row>
    <row r="473" ht="13.5" customHeight="1">
      <c r="V473" s="265"/>
    </row>
    <row r="474" ht="13.5" customHeight="1">
      <c r="V474" s="265"/>
    </row>
    <row r="475" ht="13.5" customHeight="1">
      <c r="V475" s="265"/>
    </row>
    <row r="476" ht="13.5" customHeight="1">
      <c r="V476" s="265"/>
    </row>
    <row r="477" ht="13.5" customHeight="1">
      <c r="V477" s="265"/>
    </row>
    <row r="478" ht="13.5" customHeight="1">
      <c r="V478" s="265"/>
    </row>
    <row r="479" ht="13.5" customHeight="1">
      <c r="V479" s="265"/>
    </row>
    <row r="480" ht="13.5" customHeight="1">
      <c r="V480" s="265"/>
    </row>
    <row r="481" ht="13.5" customHeight="1">
      <c r="V481" s="265"/>
    </row>
    <row r="482" ht="13.5" customHeight="1">
      <c r="V482" s="265"/>
    </row>
    <row r="483" ht="13.5" customHeight="1">
      <c r="V483" s="265"/>
    </row>
    <row r="484" ht="13.5" customHeight="1">
      <c r="V484" s="265"/>
    </row>
    <row r="485" ht="13.5" customHeight="1">
      <c r="V485" s="265"/>
    </row>
    <row r="486" ht="13.5" customHeight="1">
      <c r="V486" s="265"/>
    </row>
    <row r="487" ht="13.5" customHeight="1">
      <c r="V487" s="265"/>
    </row>
    <row r="488" ht="13.5" customHeight="1">
      <c r="V488" s="265"/>
    </row>
    <row r="489" ht="13.5" customHeight="1">
      <c r="V489" s="265"/>
    </row>
    <row r="490" ht="13.5" customHeight="1">
      <c r="V490" s="265"/>
    </row>
    <row r="491" ht="13.5" customHeight="1">
      <c r="V491" s="265"/>
    </row>
    <row r="492" ht="13.5" customHeight="1">
      <c r="V492" s="265"/>
    </row>
    <row r="493" ht="13.5" customHeight="1">
      <c r="V493" s="265"/>
    </row>
    <row r="494" ht="13.5" customHeight="1">
      <c r="V494" s="265"/>
    </row>
    <row r="495" ht="13.5" customHeight="1">
      <c r="V495" s="265"/>
    </row>
    <row r="496" ht="13.5" customHeight="1">
      <c r="V496" s="265"/>
    </row>
    <row r="497" ht="13.5" customHeight="1">
      <c r="V497" s="265"/>
    </row>
    <row r="498" ht="13.5" customHeight="1">
      <c r="V498" s="265"/>
    </row>
    <row r="499" ht="13.5" customHeight="1">
      <c r="V499" s="265"/>
    </row>
    <row r="500" ht="13.5" customHeight="1">
      <c r="V500" s="265"/>
    </row>
    <row r="501" ht="13.5" customHeight="1">
      <c r="V501" s="265"/>
    </row>
    <row r="502" ht="13.5" customHeight="1">
      <c r="V502" s="265"/>
    </row>
    <row r="503" ht="13.5" customHeight="1">
      <c r="V503" s="265"/>
    </row>
    <row r="504" ht="13.5" customHeight="1">
      <c r="V504" s="265"/>
    </row>
    <row r="505" ht="13.5" customHeight="1">
      <c r="V505" s="265"/>
    </row>
    <row r="506" ht="13.5" customHeight="1">
      <c r="V506" s="265"/>
    </row>
    <row r="507" ht="13.5" customHeight="1">
      <c r="V507" s="265"/>
    </row>
    <row r="508" ht="13.5" customHeight="1">
      <c r="V508" s="265"/>
    </row>
    <row r="509" ht="13.5" customHeight="1">
      <c r="V509" s="265"/>
    </row>
    <row r="510" ht="13.5" customHeight="1">
      <c r="V510" s="265"/>
    </row>
    <row r="511" ht="13.5" customHeight="1">
      <c r="V511" s="265"/>
    </row>
    <row r="512" ht="13.5" customHeight="1">
      <c r="V512" s="265"/>
    </row>
    <row r="513" ht="13.5" customHeight="1">
      <c r="V513" s="265"/>
    </row>
    <row r="514" ht="13.5" customHeight="1">
      <c r="V514" s="265"/>
    </row>
    <row r="515" ht="13.5" customHeight="1">
      <c r="V515" s="265"/>
    </row>
    <row r="516" ht="13.5" customHeight="1">
      <c r="V516" s="265"/>
    </row>
    <row r="517" ht="13.5" customHeight="1">
      <c r="V517" s="265"/>
    </row>
    <row r="518" ht="13.5" customHeight="1">
      <c r="V518" s="265"/>
    </row>
    <row r="519" ht="13.5" customHeight="1">
      <c r="V519" s="265"/>
    </row>
    <row r="520" ht="13.5" customHeight="1">
      <c r="V520" s="265"/>
    </row>
    <row r="521" ht="13.5" customHeight="1">
      <c r="V521" s="265"/>
    </row>
    <row r="522" ht="13.5" customHeight="1">
      <c r="V522" s="265"/>
    </row>
    <row r="523" ht="13.5" customHeight="1">
      <c r="V523" s="265"/>
    </row>
    <row r="524" ht="13.5" customHeight="1">
      <c r="V524" s="265"/>
    </row>
    <row r="525" ht="13.5" customHeight="1">
      <c r="V525" s="265"/>
    </row>
    <row r="526" ht="13.5" customHeight="1">
      <c r="V526" s="265"/>
    </row>
    <row r="527" ht="13.5" customHeight="1">
      <c r="V527" s="265"/>
    </row>
    <row r="528" ht="13.5" customHeight="1">
      <c r="V528" s="265"/>
    </row>
    <row r="529" ht="13.5" customHeight="1">
      <c r="V529" s="265"/>
    </row>
    <row r="530" ht="13.5" customHeight="1">
      <c r="V530" s="265"/>
    </row>
    <row r="531" ht="13.5" customHeight="1">
      <c r="V531" s="265"/>
    </row>
    <row r="532" ht="13.5" customHeight="1">
      <c r="V532" s="265"/>
    </row>
    <row r="533" ht="13.5" customHeight="1">
      <c r="V533" s="265"/>
    </row>
    <row r="534" ht="13.5" customHeight="1">
      <c r="V534" s="265"/>
    </row>
    <row r="535" ht="13.5" customHeight="1">
      <c r="V535" s="265"/>
    </row>
    <row r="536" ht="13.5" customHeight="1">
      <c r="V536" s="265"/>
    </row>
    <row r="537" ht="13.5" customHeight="1">
      <c r="V537" s="265"/>
    </row>
    <row r="538" ht="13.5" customHeight="1">
      <c r="V538" s="265"/>
    </row>
    <row r="539" ht="13.5" customHeight="1">
      <c r="V539" s="265"/>
    </row>
    <row r="540" ht="13.5" customHeight="1">
      <c r="V540" s="265"/>
    </row>
    <row r="541" ht="13.5" customHeight="1">
      <c r="V541" s="265"/>
    </row>
    <row r="542" ht="13.5" customHeight="1">
      <c r="V542" s="265"/>
    </row>
    <row r="543" ht="13.5" customHeight="1">
      <c r="V543" s="265"/>
    </row>
    <row r="544" ht="13.5" customHeight="1">
      <c r="V544" s="265"/>
    </row>
    <row r="545" ht="13.5" customHeight="1">
      <c r="V545" s="265"/>
    </row>
    <row r="546" ht="13.5" customHeight="1">
      <c r="V546" s="265"/>
    </row>
    <row r="547" ht="13.5" customHeight="1">
      <c r="V547" s="265"/>
    </row>
    <row r="548" ht="13.5" customHeight="1">
      <c r="V548" s="265"/>
    </row>
    <row r="549" ht="13.5" customHeight="1">
      <c r="V549" s="265"/>
    </row>
    <row r="550" ht="13.5" customHeight="1">
      <c r="V550" s="265"/>
    </row>
    <row r="551" ht="13.5" customHeight="1">
      <c r="V551" s="265"/>
    </row>
    <row r="552" ht="13.5" customHeight="1">
      <c r="V552" s="265"/>
    </row>
    <row r="553" ht="13.5" customHeight="1">
      <c r="V553" s="265"/>
    </row>
    <row r="554" ht="13.5" customHeight="1">
      <c r="V554" s="265"/>
    </row>
    <row r="555" ht="13.5" customHeight="1">
      <c r="V555" s="265"/>
    </row>
    <row r="556" ht="13.5" customHeight="1">
      <c r="V556" s="265"/>
    </row>
    <row r="557" ht="13.5" customHeight="1">
      <c r="V557" s="265"/>
    </row>
    <row r="558" ht="13.5" customHeight="1">
      <c r="V558" s="265"/>
    </row>
    <row r="559" ht="13.5" customHeight="1">
      <c r="V559" s="265"/>
    </row>
    <row r="560" ht="13.5" customHeight="1">
      <c r="V560" s="265"/>
    </row>
    <row r="561" ht="13.5" customHeight="1">
      <c r="V561" s="265"/>
    </row>
    <row r="562" ht="13.5" customHeight="1">
      <c r="V562" s="265"/>
    </row>
    <row r="563" ht="13.5" customHeight="1">
      <c r="V563" s="265"/>
    </row>
    <row r="564" ht="13.5" customHeight="1">
      <c r="V564" s="265"/>
    </row>
    <row r="565" ht="13.5" customHeight="1">
      <c r="V565" s="265"/>
    </row>
    <row r="566" ht="13.5" customHeight="1">
      <c r="V566" s="265"/>
    </row>
    <row r="567" ht="13.5" customHeight="1">
      <c r="V567" s="265"/>
    </row>
    <row r="568" ht="13.5" customHeight="1">
      <c r="V568" s="265"/>
    </row>
    <row r="569" ht="13.5" customHeight="1">
      <c r="V569" s="265"/>
    </row>
    <row r="570" ht="13.5" customHeight="1">
      <c r="V570" s="265"/>
    </row>
    <row r="571" ht="13.5" customHeight="1">
      <c r="V571" s="265"/>
    </row>
    <row r="572" ht="13.5" customHeight="1">
      <c r="V572" s="265"/>
    </row>
    <row r="573" ht="13.5" customHeight="1">
      <c r="V573" s="265"/>
    </row>
    <row r="574" ht="13.5" customHeight="1">
      <c r="V574" s="265"/>
    </row>
    <row r="575" ht="13.5" customHeight="1">
      <c r="V575" s="265"/>
    </row>
    <row r="576" ht="13.5" customHeight="1">
      <c r="V576" s="265"/>
    </row>
    <row r="577" ht="13.5" customHeight="1">
      <c r="V577" s="265"/>
    </row>
    <row r="578" ht="13.5" customHeight="1">
      <c r="V578" s="265"/>
    </row>
    <row r="579" ht="13.5" customHeight="1">
      <c r="V579" s="265"/>
    </row>
    <row r="580" ht="13.5" customHeight="1">
      <c r="V580" s="265"/>
    </row>
    <row r="581" ht="13.5" customHeight="1">
      <c r="V581" s="265"/>
    </row>
    <row r="582" ht="13.5" customHeight="1">
      <c r="V582" s="265"/>
    </row>
    <row r="583" ht="13.5" customHeight="1">
      <c r="V583" s="265"/>
    </row>
    <row r="584" ht="13.5" customHeight="1">
      <c r="V584" s="265"/>
    </row>
    <row r="585" ht="13.5" customHeight="1">
      <c r="V585" s="265"/>
    </row>
    <row r="586" ht="13.5" customHeight="1">
      <c r="V586" s="265"/>
    </row>
    <row r="587" ht="13.5" customHeight="1">
      <c r="V587" s="265"/>
    </row>
    <row r="588" ht="13.5" customHeight="1">
      <c r="V588" s="265"/>
    </row>
    <row r="589" ht="13.5" customHeight="1">
      <c r="V589" s="265"/>
    </row>
    <row r="590" ht="13.5" customHeight="1">
      <c r="V590" s="265"/>
    </row>
    <row r="591" ht="13.5" customHeight="1">
      <c r="V591" s="265"/>
    </row>
    <row r="592" ht="13.5" customHeight="1">
      <c r="V592" s="265"/>
    </row>
    <row r="593" ht="13.5" customHeight="1">
      <c r="V593" s="265"/>
    </row>
    <row r="594" ht="13.5" customHeight="1">
      <c r="V594" s="265"/>
    </row>
    <row r="595" ht="13.5" customHeight="1">
      <c r="V595" s="265"/>
    </row>
    <row r="596" ht="13.5" customHeight="1">
      <c r="V596" s="265"/>
    </row>
    <row r="597" ht="13.5" customHeight="1">
      <c r="V597" s="265"/>
    </row>
    <row r="598" ht="13.5" customHeight="1">
      <c r="V598" s="265"/>
    </row>
    <row r="599" ht="13.5" customHeight="1">
      <c r="V599" s="265"/>
    </row>
    <row r="600" ht="13.5" customHeight="1">
      <c r="V600" s="265"/>
    </row>
    <row r="601" ht="13.5" customHeight="1">
      <c r="V601" s="265"/>
    </row>
    <row r="602" ht="13.5" customHeight="1">
      <c r="V602" s="265"/>
    </row>
    <row r="603" ht="13.5" customHeight="1">
      <c r="V603" s="265"/>
    </row>
    <row r="604" ht="13.5" customHeight="1">
      <c r="V604" s="265"/>
    </row>
    <row r="605" ht="13.5" customHeight="1">
      <c r="V605" s="265"/>
    </row>
    <row r="606" ht="13.5" customHeight="1">
      <c r="V606" s="265"/>
    </row>
    <row r="607" ht="13.5" customHeight="1">
      <c r="V607" s="265"/>
    </row>
    <row r="608" ht="13.5" customHeight="1">
      <c r="V608" s="265"/>
    </row>
    <row r="609" ht="13.5" customHeight="1">
      <c r="V609" s="265"/>
    </row>
    <row r="610" ht="13.5" customHeight="1">
      <c r="V610" s="265"/>
    </row>
    <row r="611" ht="13.5" customHeight="1">
      <c r="V611" s="265"/>
    </row>
    <row r="612" ht="13.5" customHeight="1">
      <c r="V612" s="265"/>
    </row>
    <row r="613" ht="13.5" customHeight="1">
      <c r="V613" s="265"/>
    </row>
    <row r="614" ht="13.5" customHeight="1">
      <c r="V614" s="265"/>
    </row>
    <row r="615" ht="13.5" customHeight="1">
      <c r="V615" s="265"/>
    </row>
    <row r="616" ht="13.5" customHeight="1">
      <c r="V616" s="265"/>
    </row>
    <row r="617" ht="13.5" customHeight="1">
      <c r="V617" s="265"/>
    </row>
    <row r="618" ht="13.5" customHeight="1">
      <c r="V618" s="265"/>
    </row>
    <row r="619" ht="13.5" customHeight="1">
      <c r="V619" s="265"/>
    </row>
    <row r="620" ht="13.5" customHeight="1">
      <c r="V620" s="265"/>
    </row>
    <row r="621" ht="13.5" customHeight="1">
      <c r="V621" s="265"/>
    </row>
    <row r="622" ht="13.5" customHeight="1">
      <c r="V622" s="265"/>
    </row>
    <row r="623" ht="13.5" customHeight="1">
      <c r="V623" s="265"/>
    </row>
    <row r="624" ht="13.5" customHeight="1">
      <c r="V624" s="265"/>
    </row>
    <row r="625" ht="13.5" customHeight="1">
      <c r="V625" s="265"/>
    </row>
    <row r="626" ht="13.5" customHeight="1">
      <c r="V626" s="265"/>
    </row>
    <row r="627" ht="13.5" customHeight="1">
      <c r="V627" s="265"/>
    </row>
    <row r="628" ht="13.5" customHeight="1">
      <c r="V628" s="265"/>
    </row>
    <row r="629" ht="13.5" customHeight="1">
      <c r="V629" s="265"/>
    </row>
    <row r="630" ht="13.5" customHeight="1">
      <c r="V630" s="265"/>
    </row>
    <row r="631" ht="13.5" customHeight="1">
      <c r="V631" s="265"/>
    </row>
    <row r="632" ht="13.5" customHeight="1">
      <c r="V632" s="265"/>
    </row>
    <row r="633" ht="13.5" customHeight="1">
      <c r="V633" s="265"/>
    </row>
    <row r="634" ht="13.5" customHeight="1">
      <c r="V634" s="265"/>
    </row>
    <row r="635" ht="13.5" customHeight="1">
      <c r="V635" s="265"/>
    </row>
    <row r="636" ht="13.5" customHeight="1">
      <c r="V636" s="265"/>
    </row>
    <row r="637" ht="13.5" customHeight="1">
      <c r="V637" s="265"/>
    </row>
    <row r="638" ht="13.5" customHeight="1">
      <c r="V638" s="265"/>
    </row>
    <row r="639" ht="13.5" customHeight="1">
      <c r="V639" s="265"/>
    </row>
    <row r="640" ht="13.5" customHeight="1">
      <c r="V640" s="265"/>
    </row>
    <row r="641" ht="13.5" customHeight="1">
      <c r="V641" s="265"/>
    </row>
    <row r="642" ht="13.5" customHeight="1">
      <c r="V642" s="265"/>
    </row>
    <row r="643" ht="13.5" customHeight="1">
      <c r="V643" s="265"/>
    </row>
    <row r="644" ht="13.5" customHeight="1">
      <c r="V644" s="265"/>
    </row>
    <row r="645" ht="13.5" customHeight="1">
      <c r="V645" s="265"/>
    </row>
    <row r="646" ht="13.5" customHeight="1">
      <c r="V646" s="265"/>
    </row>
    <row r="647" ht="13.5" customHeight="1">
      <c r="V647" s="265"/>
    </row>
    <row r="648" ht="13.5" customHeight="1">
      <c r="V648" s="265"/>
    </row>
    <row r="649" ht="13.5" customHeight="1">
      <c r="V649" s="265"/>
    </row>
    <row r="650" ht="13.5" customHeight="1">
      <c r="V650" s="265"/>
    </row>
    <row r="651" ht="13.5" customHeight="1">
      <c r="V651" s="265"/>
    </row>
    <row r="652" ht="13.5" customHeight="1">
      <c r="V652" s="265"/>
    </row>
    <row r="653" ht="13.5" customHeight="1">
      <c r="V653" s="265"/>
    </row>
    <row r="654" ht="13.5" customHeight="1">
      <c r="V654" s="265"/>
    </row>
    <row r="655" ht="13.5" customHeight="1">
      <c r="V655" s="265"/>
    </row>
    <row r="656" ht="13.5" customHeight="1">
      <c r="V656" s="265"/>
    </row>
    <row r="657" ht="13.5" customHeight="1">
      <c r="V657" s="265"/>
    </row>
    <row r="658" ht="13.5" customHeight="1">
      <c r="V658" s="265"/>
    </row>
    <row r="659" ht="13.5" customHeight="1">
      <c r="V659" s="265"/>
    </row>
    <row r="660" ht="13.5" customHeight="1">
      <c r="V660" s="265"/>
    </row>
    <row r="661" ht="13.5" customHeight="1">
      <c r="V661" s="265"/>
    </row>
    <row r="662" ht="13.5" customHeight="1">
      <c r="V662" s="265"/>
    </row>
    <row r="663" ht="13.5" customHeight="1">
      <c r="V663" s="265"/>
    </row>
    <row r="664" ht="13.5" customHeight="1">
      <c r="V664" s="265"/>
    </row>
    <row r="665" ht="13.5" customHeight="1">
      <c r="V665" s="265"/>
    </row>
    <row r="666" ht="13.5" customHeight="1">
      <c r="V666" s="265"/>
    </row>
    <row r="667" ht="13.5" customHeight="1">
      <c r="V667" s="265"/>
    </row>
    <row r="668" ht="13.5" customHeight="1">
      <c r="V668" s="265"/>
    </row>
    <row r="669" ht="13.5" customHeight="1">
      <c r="V669" s="265"/>
    </row>
    <row r="670" ht="13.5" customHeight="1">
      <c r="V670" s="265"/>
    </row>
    <row r="671" ht="13.5" customHeight="1">
      <c r="V671" s="265"/>
    </row>
    <row r="672" ht="13.5" customHeight="1">
      <c r="V672" s="265"/>
    </row>
    <row r="673" ht="13.5" customHeight="1">
      <c r="V673" s="265"/>
    </row>
    <row r="674" ht="13.5" customHeight="1">
      <c r="V674" s="265"/>
    </row>
    <row r="675" ht="13.5" customHeight="1">
      <c r="V675" s="265"/>
    </row>
    <row r="676" ht="13.5" customHeight="1">
      <c r="V676" s="265"/>
    </row>
    <row r="677" ht="13.5" customHeight="1">
      <c r="V677" s="265"/>
    </row>
    <row r="678" ht="13.5" customHeight="1">
      <c r="V678" s="265"/>
    </row>
    <row r="679" ht="13.5" customHeight="1">
      <c r="V679" s="265"/>
    </row>
    <row r="680" ht="13.5" customHeight="1">
      <c r="V680" s="265"/>
    </row>
    <row r="681" ht="13.5" customHeight="1">
      <c r="V681" s="265"/>
    </row>
    <row r="682" ht="13.5" customHeight="1">
      <c r="V682" s="265"/>
    </row>
    <row r="683" ht="13.5" customHeight="1">
      <c r="V683" s="265"/>
    </row>
    <row r="684" ht="13.5" customHeight="1">
      <c r="V684" s="265"/>
    </row>
    <row r="685" ht="13.5" customHeight="1">
      <c r="V685" s="265"/>
    </row>
    <row r="686" ht="13.5" customHeight="1">
      <c r="V686" s="265"/>
    </row>
    <row r="687" ht="13.5" customHeight="1">
      <c r="V687" s="265"/>
    </row>
    <row r="688" ht="13.5" customHeight="1">
      <c r="V688" s="265"/>
    </row>
    <row r="689" ht="13.5" customHeight="1">
      <c r="V689" s="265"/>
    </row>
    <row r="690" ht="13.5" customHeight="1">
      <c r="V690" s="265"/>
    </row>
    <row r="691" ht="13.5" customHeight="1">
      <c r="V691" s="265"/>
    </row>
    <row r="692" ht="13.5" customHeight="1">
      <c r="V692" s="265"/>
    </row>
    <row r="693" ht="13.5" customHeight="1">
      <c r="V693" s="265"/>
    </row>
    <row r="694" ht="13.5" customHeight="1">
      <c r="V694" s="265"/>
    </row>
    <row r="695" ht="13.5" customHeight="1">
      <c r="V695" s="265"/>
    </row>
    <row r="696" ht="13.5" customHeight="1">
      <c r="V696" s="265"/>
    </row>
    <row r="697" ht="13.5" customHeight="1">
      <c r="V697" s="265"/>
    </row>
    <row r="698" ht="13.5" customHeight="1">
      <c r="V698" s="265"/>
    </row>
    <row r="699" ht="13.5" customHeight="1">
      <c r="V699" s="265"/>
    </row>
    <row r="700" ht="13.5" customHeight="1">
      <c r="V700" s="265"/>
    </row>
    <row r="701" ht="13.5" customHeight="1">
      <c r="V701" s="265"/>
    </row>
    <row r="702" ht="13.5" customHeight="1">
      <c r="V702" s="265"/>
    </row>
    <row r="703" ht="13.5" customHeight="1">
      <c r="V703" s="265"/>
    </row>
    <row r="704" ht="13.5" customHeight="1">
      <c r="V704" s="265"/>
    </row>
    <row r="705" ht="13.5" customHeight="1">
      <c r="V705" s="265"/>
    </row>
    <row r="706" ht="13.5" customHeight="1">
      <c r="V706" s="265"/>
    </row>
    <row r="707" ht="13.5" customHeight="1">
      <c r="V707" s="265"/>
    </row>
    <row r="708" ht="13.5" customHeight="1">
      <c r="V708" s="265"/>
    </row>
    <row r="709" ht="13.5" customHeight="1">
      <c r="V709" s="265"/>
    </row>
    <row r="710" ht="13.5" customHeight="1">
      <c r="V710" s="265"/>
    </row>
    <row r="711" ht="13.5" customHeight="1">
      <c r="V711" s="265"/>
    </row>
    <row r="712" ht="13.5" customHeight="1">
      <c r="V712" s="265"/>
    </row>
    <row r="713" ht="13.5" customHeight="1">
      <c r="V713" s="265"/>
    </row>
    <row r="714" ht="13.5" customHeight="1">
      <c r="V714" s="265"/>
    </row>
    <row r="715" ht="13.5" customHeight="1">
      <c r="V715" s="265"/>
    </row>
    <row r="716" ht="13.5" customHeight="1">
      <c r="V716" s="265"/>
    </row>
    <row r="717" ht="13.5" customHeight="1">
      <c r="V717" s="265"/>
    </row>
    <row r="718" ht="13.5" customHeight="1">
      <c r="V718" s="265"/>
    </row>
    <row r="719" ht="13.5" customHeight="1">
      <c r="V719" s="265"/>
    </row>
    <row r="720" ht="13.5" customHeight="1">
      <c r="V720" s="265"/>
    </row>
    <row r="721" ht="13.5" customHeight="1">
      <c r="V721" s="265"/>
    </row>
    <row r="722" ht="13.5" customHeight="1">
      <c r="V722" s="265"/>
    </row>
    <row r="723" ht="13.5" customHeight="1">
      <c r="V723" s="265"/>
    </row>
    <row r="724" ht="13.5" customHeight="1">
      <c r="V724" s="265"/>
    </row>
    <row r="725" ht="13.5" customHeight="1">
      <c r="V725" s="265"/>
    </row>
    <row r="726" ht="13.5" customHeight="1">
      <c r="V726" s="265"/>
    </row>
    <row r="727" ht="13.5" customHeight="1">
      <c r="V727" s="265"/>
    </row>
    <row r="728" ht="13.5" customHeight="1">
      <c r="V728" s="265"/>
    </row>
    <row r="729" ht="13.5" customHeight="1">
      <c r="V729" s="265"/>
    </row>
    <row r="730" ht="13.5" customHeight="1">
      <c r="V730" s="265"/>
    </row>
    <row r="731" ht="13.5" customHeight="1">
      <c r="V731" s="265"/>
    </row>
    <row r="732" ht="13.5" customHeight="1">
      <c r="V732" s="265"/>
    </row>
    <row r="733" ht="13.5" customHeight="1">
      <c r="V733" s="265"/>
    </row>
    <row r="734" ht="13.5" customHeight="1">
      <c r="V734" s="265"/>
    </row>
    <row r="735" ht="13.5" customHeight="1">
      <c r="V735" s="265"/>
    </row>
    <row r="736" ht="13.5" customHeight="1">
      <c r="V736" s="265"/>
    </row>
    <row r="737" ht="13.5" customHeight="1">
      <c r="V737" s="265"/>
    </row>
    <row r="738" ht="13.5" customHeight="1">
      <c r="V738" s="265"/>
    </row>
    <row r="739" ht="13.5" customHeight="1">
      <c r="V739" s="265"/>
    </row>
    <row r="740" ht="13.5" customHeight="1">
      <c r="V740" s="265"/>
    </row>
    <row r="741" ht="13.5" customHeight="1">
      <c r="V741" s="265"/>
    </row>
    <row r="742" ht="13.5" customHeight="1">
      <c r="V742" s="265"/>
    </row>
    <row r="743" ht="13.5" customHeight="1">
      <c r="V743" s="265"/>
    </row>
    <row r="744" ht="13.5" customHeight="1">
      <c r="V744" s="265"/>
    </row>
    <row r="745" ht="13.5" customHeight="1">
      <c r="V745" s="265"/>
    </row>
    <row r="746" ht="13.5" customHeight="1">
      <c r="V746" s="265"/>
    </row>
    <row r="747" ht="13.5" customHeight="1">
      <c r="V747" s="265"/>
    </row>
    <row r="748" ht="13.5" customHeight="1">
      <c r="V748" s="265"/>
    </row>
    <row r="749" ht="13.5" customHeight="1">
      <c r="V749" s="265"/>
    </row>
    <row r="750" ht="13.5" customHeight="1">
      <c r="V750" s="265"/>
    </row>
    <row r="751" ht="13.5" customHeight="1">
      <c r="V751" s="265"/>
    </row>
    <row r="752" ht="13.5" customHeight="1">
      <c r="V752" s="265"/>
    </row>
    <row r="753" ht="13.5" customHeight="1">
      <c r="V753" s="265"/>
    </row>
    <row r="754" ht="13.5" customHeight="1">
      <c r="V754" s="265"/>
    </row>
    <row r="755" ht="13.5" customHeight="1">
      <c r="V755" s="265"/>
    </row>
    <row r="756" ht="13.5" customHeight="1">
      <c r="V756" s="265"/>
    </row>
    <row r="757" ht="13.5" customHeight="1">
      <c r="V757" s="265"/>
    </row>
    <row r="758" ht="13.5" customHeight="1">
      <c r="V758" s="265"/>
    </row>
    <row r="759" ht="13.5" customHeight="1">
      <c r="V759" s="265"/>
    </row>
    <row r="760" ht="13.5" customHeight="1">
      <c r="V760" s="265"/>
    </row>
    <row r="761" ht="13.5" customHeight="1">
      <c r="V761" s="265"/>
    </row>
    <row r="762" ht="13.5" customHeight="1">
      <c r="V762" s="265"/>
    </row>
    <row r="763" ht="13.5" customHeight="1">
      <c r="V763" s="265"/>
    </row>
    <row r="764" ht="13.5" customHeight="1">
      <c r="V764" s="265"/>
    </row>
    <row r="765" ht="13.5" customHeight="1">
      <c r="V765" s="265"/>
    </row>
    <row r="766" ht="13.5" customHeight="1">
      <c r="V766" s="265"/>
    </row>
    <row r="767" ht="13.5" customHeight="1">
      <c r="V767" s="265"/>
    </row>
    <row r="768" ht="13.5" customHeight="1">
      <c r="V768" s="265"/>
    </row>
    <row r="769" ht="13.5" customHeight="1">
      <c r="V769" s="265"/>
    </row>
    <row r="770" ht="13.5" customHeight="1">
      <c r="V770" s="265"/>
    </row>
    <row r="771" ht="13.5" customHeight="1">
      <c r="V771" s="265"/>
    </row>
    <row r="772" ht="13.5" customHeight="1">
      <c r="V772" s="265"/>
    </row>
    <row r="773" ht="13.5" customHeight="1">
      <c r="V773" s="265"/>
    </row>
    <row r="774" ht="13.5" customHeight="1">
      <c r="V774" s="265"/>
    </row>
    <row r="775" ht="13.5" customHeight="1">
      <c r="V775" s="265"/>
    </row>
    <row r="776" ht="13.5" customHeight="1">
      <c r="V776" s="265"/>
    </row>
    <row r="777" ht="13.5" customHeight="1">
      <c r="V777" s="265"/>
    </row>
    <row r="778" ht="13.5" customHeight="1">
      <c r="V778" s="265"/>
    </row>
    <row r="779" ht="13.5" customHeight="1">
      <c r="V779" s="265"/>
    </row>
    <row r="780" ht="13.5" customHeight="1">
      <c r="V780" s="265"/>
    </row>
    <row r="781" ht="13.5" customHeight="1">
      <c r="V781" s="265"/>
    </row>
    <row r="782" ht="13.5" customHeight="1">
      <c r="V782" s="265"/>
    </row>
    <row r="783" ht="13.5" customHeight="1">
      <c r="V783" s="265"/>
    </row>
    <row r="784" ht="13.5" customHeight="1">
      <c r="V784" s="265"/>
    </row>
    <row r="785" ht="13.5" customHeight="1">
      <c r="V785" s="265"/>
    </row>
    <row r="786" ht="13.5" customHeight="1">
      <c r="V786" s="265"/>
    </row>
    <row r="787" ht="13.5" customHeight="1">
      <c r="V787" s="265"/>
    </row>
    <row r="788" ht="13.5" customHeight="1">
      <c r="V788" s="265"/>
    </row>
    <row r="789" ht="13.5" customHeight="1">
      <c r="V789" s="265"/>
    </row>
    <row r="790" ht="13.5" customHeight="1">
      <c r="V790" s="265"/>
    </row>
    <row r="791" ht="13.5" customHeight="1">
      <c r="V791" s="265"/>
    </row>
    <row r="792" ht="13.5" customHeight="1">
      <c r="V792" s="265"/>
    </row>
    <row r="793" ht="13.5" customHeight="1">
      <c r="V793" s="265"/>
    </row>
    <row r="794" ht="13.5" customHeight="1">
      <c r="V794" s="265"/>
    </row>
    <row r="795" ht="13.5" customHeight="1">
      <c r="V795" s="265"/>
    </row>
    <row r="796" ht="13.5" customHeight="1">
      <c r="V796" s="265"/>
    </row>
    <row r="797" ht="13.5" customHeight="1">
      <c r="V797" s="265"/>
    </row>
    <row r="798" ht="13.5" customHeight="1">
      <c r="V798" s="265"/>
    </row>
    <row r="799" ht="13.5" customHeight="1">
      <c r="V799" s="265"/>
    </row>
    <row r="800" ht="13.5" customHeight="1">
      <c r="V800" s="265"/>
    </row>
    <row r="801" ht="13.5" customHeight="1">
      <c r="V801" s="265"/>
    </row>
    <row r="802" ht="13.5" customHeight="1">
      <c r="V802" s="265"/>
    </row>
    <row r="803" ht="13.5" customHeight="1">
      <c r="V803" s="265"/>
    </row>
    <row r="804" ht="13.5" customHeight="1">
      <c r="V804" s="265"/>
    </row>
    <row r="805" ht="13.5" customHeight="1">
      <c r="V805" s="265"/>
    </row>
    <row r="806" ht="13.5" customHeight="1">
      <c r="V806" s="265"/>
    </row>
    <row r="807" ht="13.5" customHeight="1">
      <c r="V807" s="265"/>
    </row>
    <row r="808" ht="13.5" customHeight="1">
      <c r="V808" s="265"/>
    </row>
    <row r="809" ht="13.5" customHeight="1">
      <c r="V809" s="265"/>
    </row>
    <row r="810" ht="13.5" customHeight="1">
      <c r="V810" s="265"/>
    </row>
    <row r="811" ht="13.5" customHeight="1">
      <c r="V811" s="265"/>
    </row>
    <row r="812" ht="13.5" customHeight="1">
      <c r="V812" s="265"/>
    </row>
    <row r="813" ht="13.5" customHeight="1">
      <c r="V813" s="265"/>
    </row>
    <row r="814" ht="13.5" customHeight="1">
      <c r="V814" s="265"/>
    </row>
    <row r="815" ht="13.5" customHeight="1">
      <c r="V815" s="265"/>
    </row>
    <row r="816" ht="13.5" customHeight="1">
      <c r="V816" s="265"/>
    </row>
    <row r="817" ht="13.5" customHeight="1">
      <c r="V817" s="265"/>
    </row>
    <row r="818" ht="13.5" customHeight="1">
      <c r="V818" s="265"/>
    </row>
    <row r="819" ht="13.5" customHeight="1">
      <c r="V819" s="265"/>
    </row>
    <row r="820" ht="13.5" customHeight="1">
      <c r="V820" s="265"/>
    </row>
    <row r="821" ht="13.5" customHeight="1">
      <c r="V821" s="265"/>
    </row>
    <row r="822" ht="13.5" customHeight="1">
      <c r="V822" s="265"/>
    </row>
    <row r="823" ht="13.5" customHeight="1">
      <c r="V823" s="265"/>
    </row>
    <row r="824" ht="13.5" customHeight="1">
      <c r="V824" s="265"/>
    </row>
    <row r="825" ht="13.5" customHeight="1">
      <c r="V825" s="265"/>
    </row>
    <row r="826" ht="13.5" customHeight="1">
      <c r="V826" s="265"/>
    </row>
    <row r="827" ht="13.5" customHeight="1">
      <c r="V827" s="265"/>
    </row>
    <row r="828" ht="13.5" customHeight="1">
      <c r="V828" s="265"/>
    </row>
    <row r="829" ht="13.5" customHeight="1">
      <c r="V829" s="265"/>
    </row>
    <row r="830" ht="13.5" customHeight="1">
      <c r="V830" s="265"/>
    </row>
    <row r="831" ht="13.5" customHeight="1">
      <c r="V831" s="265"/>
    </row>
    <row r="832" ht="13.5" customHeight="1">
      <c r="V832" s="265"/>
    </row>
    <row r="833" ht="13.5" customHeight="1">
      <c r="V833" s="265"/>
    </row>
    <row r="834" ht="13.5" customHeight="1">
      <c r="V834" s="265"/>
    </row>
    <row r="835" ht="13.5" customHeight="1">
      <c r="V835" s="265"/>
    </row>
    <row r="836" ht="13.5" customHeight="1">
      <c r="V836" s="265"/>
    </row>
    <row r="837" ht="13.5" customHeight="1">
      <c r="V837" s="265"/>
    </row>
    <row r="838" ht="13.5" customHeight="1">
      <c r="V838" s="265"/>
    </row>
    <row r="839" ht="13.5" customHeight="1">
      <c r="V839" s="265"/>
    </row>
    <row r="840" ht="13.5" customHeight="1">
      <c r="V840" s="265"/>
    </row>
    <row r="841" ht="13.5" customHeight="1">
      <c r="V841" s="265"/>
    </row>
    <row r="842" ht="13.5" customHeight="1">
      <c r="V842" s="265"/>
    </row>
    <row r="843" ht="13.5" customHeight="1">
      <c r="V843" s="265"/>
    </row>
    <row r="844" ht="13.5" customHeight="1">
      <c r="V844" s="265"/>
    </row>
    <row r="845" ht="13.5" customHeight="1">
      <c r="V845" s="265"/>
    </row>
    <row r="846" ht="13.5" customHeight="1">
      <c r="V846" s="265"/>
    </row>
    <row r="847" ht="13.5" customHeight="1">
      <c r="V847" s="265"/>
    </row>
    <row r="848" ht="13.5" customHeight="1">
      <c r="V848" s="265"/>
    </row>
    <row r="849" ht="13.5" customHeight="1">
      <c r="V849" s="265"/>
    </row>
    <row r="850" ht="13.5" customHeight="1">
      <c r="V850" s="265"/>
    </row>
    <row r="851" ht="13.5" customHeight="1">
      <c r="V851" s="265"/>
    </row>
    <row r="852" ht="13.5" customHeight="1">
      <c r="V852" s="265"/>
    </row>
    <row r="853" ht="13.5" customHeight="1">
      <c r="V853" s="265"/>
    </row>
    <row r="854" ht="13.5" customHeight="1">
      <c r="V854" s="265"/>
    </row>
    <row r="855" ht="13.5" customHeight="1">
      <c r="V855" s="265"/>
    </row>
    <row r="856" ht="13.5" customHeight="1">
      <c r="V856" s="265"/>
    </row>
    <row r="857" ht="13.5" customHeight="1">
      <c r="V857" s="265"/>
    </row>
    <row r="858" ht="13.5" customHeight="1">
      <c r="V858" s="265"/>
    </row>
    <row r="859" ht="13.5" customHeight="1">
      <c r="V859" s="265"/>
    </row>
    <row r="860" ht="13.5" customHeight="1">
      <c r="V860" s="265"/>
    </row>
    <row r="861" ht="13.5" customHeight="1">
      <c r="V861" s="265"/>
    </row>
    <row r="862" ht="13.5" customHeight="1">
      <c r="V862" s="265"/>
    </row>
    <row r="863" ht="13.5" customHeight="1">
      <c r="V863" s="265"/>
    </row>
    <row r="864" ht="13.5" customHeight="1">
      <c r="V864" s="265"/>
    </row>
    <row r="865" ht="13.5" customHeight="1">
      <c r="V865" s="265"/>
    </row>
    <row r="866" ht="13.5" customHeight="1">
      <c r="V866" s="265"/>
    </row>
    <row r="867" ht="13.5" customHeight="1">
      <c r="V867" s="265"/>
    </row>
    <row r="868" ht="13.5" customHeight="1">
      <c r="V868" s="265"/>
    </row>
    <row r="869" ht="13.5" customHeight="1">
      <c r="V869" s="265"/>
    </row>
    <row r="870" ht="13.5" customHeight="1">
      <c r="V870" s="265"/>
    </row>
    <row r="871" ht="13.5" customHeight="1">
      <c r="V871" s="265"/>
    </row>
    <row r="872" ht="13.5" customHeight="1">
      <c r="V872" s="265"/>
    </row>
    <row r="873" ht="13.5" customHeight="1">
      <c r="V873" s="265"/>
    </row>
    <row r="874" ht="13.5" customHeight="1">
      <c r="V874" s="265"/>
    </row>
    <row r="875" ht="13.5" customHeight="1">
      <c r="V875" s="265"/>
    </row>
    <row r="876" ht="13.5" customHeight="1">
      <c r="V876" s="265"/>
    </row>
    <row r="877" ht="13.5" customHeight="1">
      <c r="V877" s="265"/>
    </row>
    <row r="878" ht="13.5" customHeight="1">
      <c r="V878" s="265"/>
    </row>
    <row r="879" ht="13.5" customHeight="1">
      <c r="V879" s="265"/>
    </row>
    <row r="880" ht="13.5" customHeight="1">
      <c r="V880" s="265"/>
    </row>
    <row r="881" ht="13.5" customHeight="1">
      <c r="V881" s="265"/>
    </row>
    <row r="882" ht="13.5" customHeight="1">
      <c r="V882" s="265"/>
    </row>
    <row r="883" ht="13.5" customHeight="1">
      <c r="V883" s="265"/>
    </row>
    <row r="884" ht="13.5" customHeight="1">
      <c r="V884" s="265"/>
    </row>
    <row r="885" ht="13.5" customHeight="1">
      <c r="V885" s="265"/>
    </row>
    <row r="886" ht="13.5" customHeight="1">
      <c r="V886" s="265"/>
    </row>
    <row r="887" ht="13.5" customHeight="1">
      <c r="V887" s="265"/>
    </row>
    <row r="888" ht="13.5" customHeight="1">
      <c r="V888" s="265"/>
    </row>
    <row r="889" ht="13.5" customHeight="1">
      <c r="V889" s="265"/>
    </row>
    <row r="890" ht="13.5" customHeight="1">
      <c r="V890" s="265"/>
    </row>
    <row r="891" ht="13.5" customHeight="1">
      <c r="V891" s="265"/>
    </row>
    <row r="892" ht="13.5" customHeight="1">
      <c r="V892" s="265"/>
    </row>
    <row r="893" ht="13.5" customHeight="1">
      <c r="V893" s="265"/>
    </row>
    <row r="894" ht="13.5" customHeight="1">
      <c r="V894" s="265"/>
    </row>
    <row r="895" ht="13.5" customHeight="1">
      <c r="V895" s="265"/>
    </row>
    <row r="896" ht="13.5" customHeight="1">
      <c r="V896" s="265"/>
    </row>
    <row r="897" ht="13.5" customHeight="1">
      <c r="V897" s="265"/>
    </row>
    <row r="898" ht="13.5" customHeight="1">
      <c r="V898" s="265"/>
    </row>
    <row r="899" ht="13.5" customHeight="1">
      <c r="V899" s="265"/>
    </row>
    <row r="900" ht="13.5" customHeight="1">
      <c r="V900" s="265"/>
    </row>
    <row r="901" ht="13.5" customHeight="1">
      <c r="V901" s="265"/>
    </row>
    <row r="902" ht="13.5" customHeight="1">
      <c r="V902" s="265"/>
    </row>
    <row r="903" ht="13.5" customHeight="1">
      <c r="V903" s="265"/>
    </row>
    <row r="904" ht="13.5" customHeight="1">
      <c r="V904" s="265"/>
    </row>
    <row r="905" ht="13.5" customHeight="1">
      <c r="V905" s="265"/>
    </row>
    <row r="906" ht="13.5" customHeight="1">
      <c r="V906" s="265"/>
    </row>
    <row r="907" ht="13.5" customHeight="1">
      <c r="V907" s="265"/>
    </row>
    <row r="908" ht="13.5" customHeight="1">
      <c r="V908" s="265"/>
    </row>
    <row r="909" ht="13.5" customHeight="1">
      <c r="V909" s="265"/>
    </row>
    <row r="910" ht="13.5" customHeight="1">
      <c r="V910" s="265"/>
    </row>
    <row r="911" ht="13.5" customHeight="1">
      <c r="V911" s="265"/>
    </row>
    <row r="912" ht="13.5" customHeight="1">
      <c r="V912" s="265"/>
    </row>
    <row r="913" ht="13.5" customHeight="1">
      <c r="V913" s="265"/>
    </row>
    <row r="914" ht="13.5" customHeight="1">
      <c r="V914" s="265"/>
    </row>
    <row r="915" ht="13.5" customHeight="1">
      <c r="V915" s="265"/>
    </row>
    <row r="916" ht="13.5" customHeight="1">
      <c r="V916" s="265"/>
    </row>
    <row r="917" ht="13.5" customHeight="1">
      <c r="V917" s="265"/>
    </row>
    <row r="918" ht="13.5" customHeight="1">
      <c r="V918" s="265"/>
    </row>
    <row r="919" ht="13.5" customHeight="1">
      <c r="V919" s="265"/>
    </row>
    <row r="920" ht="13.5" customHeight="1">
      <c r="V920" s="265"/>
    </row>
    <row r="921" ht="13.5" customHeight="1">
      <c r="V921" s="265"/>
    </row>
    <row r="922" ht="13.5" customHeight="1">
      <c r="V922" s="265"/>
    </row>
    <row r="923" ht="13.5" customHeight="1">
      <c r="V923" s="265"/>
    </row>
    <row r="924" ht="13.5" customHeight="1">
      <c r="V924" s="265"/>
    </row>
    <row r="925" ht="13.5" customHeight="1">
      <c r="V925" s="265"/>
    </row>
    <row r="926" ht="13.5" customHeight="1">
      <c r="V926" s="265"/>
    </row>
    <row r="927" ht="13.5" customHeight="1">
      <c r="V927" s="265"/>
    </row>
    <row r="928" ht="13.5" customHeight="1">
      <c r="V928" s="265"/>
    </row>
    <row r="929" ht="13.5" customHeight="1">
      <c r="V929" s="265"/>
    </row>
    <row r="930" ht="13.5" customHeight="1">
      <c r="V930" s="265"/>
    </row>
    <row r="931" ht="13.5" customHeight="1">
      <c r="V931" s="265"/>
    </row>
    <row r="932" ht="13.5" customHeight="1">
      <c r="V932" s="265"/>
    </row>
    <row r="933" ht="13.5" customHeight="1">
      <c r="V933" s="265"/>
    </row>
    <row r="934" ht="13.5" customHeight="1">
      <c r="V934" s="265"/>
    </row>
    <row r="935" ht="13.5" customHeight="1">
      <c r="V935" s="265"/>
    </row>
    <row r="936" ht="13.5" customHeight="1">
      <c r="V936" s="265"/>
    </row>
    <row r="937" ht="13.5" customHeight="1">
      <c r="V937" s="265"/>
    </row>
    <row r="938" ht="13.5" customHeight="1">
      <c r="V938" s="265"/>
    </row>
    <row r="939" ht="13.5" customHeight="1">
      <c r="V939" s="265"/>
    </row>
    <row r="940" ht="13.5" customHeight="1">
      <c r="V940" s="265"/>
    </row>
    <row r="941" ht="13.5" customHeight="1">
      <c r="V941" s="265"/>
    </row>
    <row r="942" ht="13.5" customHeight="1">
      <c r="V942" s="265"/>
    </row>
    <row r="943" ht="13.5" customHeight="1">
      <c r="V943" s="265"/>
    </row>
    <row r="944" ht="13.5" customHeight="1">
      <c r="V944" s="265"/>
    </row>
    <row r="945" ht="13.5" customHeight="1">
      <c r="V945" s="265"/>
    </row>
    <row r="946" ht="13.5" customHeight="1">
      <c r="V946" s="265"/>
    </row>
    <row r="947" ht="13.5" customHeight="1">
      <c r="V947" s="265"/>
    </row>
    <row r="948" ht="13.5" customHeight="1">
      <c r="V948" s="265"/>
    </row>
    <row r="949" ht="13.5" customHeight="1">
      <c r="V949" s="265"/>
    </row>
    <row r="950" ht="13.5" customHeight="1">
      <c r="V950" s="265"/>
    </row>
    <row r="951" ht="13.5" customHeight="1">
      <c r="V951" s="265"/>
    </row>
    <row r="952" ht="13.5" customHeight="1">
      <c r="V952" s="265"/>
    </row>
    <row r="953" ht="13.5" customHeight="1">
      <c r="V953" s="265"/>
    </row>
    <row r="954" ht="13.5" customHeight="1">
      <c r="V954" s="265"/>
    </row>
    <row r="955" ht="13.5" customHeight="1">
      <c r="V955" s="265"/>
    </row>
    <row r="956" ht="13.5" customHeight="1">
      <c r="V956" s="265"/>
    </row>
    <row r="957" ht="13.5" customHeight="1">
      <c r="V957" s="265"/>
    </row>
    <row r="958" ht="13.5" customHeight="1">
      <c r="V958" s="265"/>
    </row>
    <row r="959" ht="13.5" customHeight="1">
      <c r="V959" s="265"/>
    </row>
    <row r="960" ht="13.5" customHeight="1">
      <c r="V960" s="265"/>
    </row>
    <row r="961" ht="13.5" customHeight="1">
      <c r="V961" s="265"/>
    </row>
    <row r="962" ht="13.5" customHeight="1">
      <c r="V962" s="265"/>
    </row>
    <row r="963" ht="13.5" customHeight="1">
      <c r="V963" s="265"/>
    </row>
    <row r="964" ht="13.5" customHeight="1">
      <c r="V964" s="265"/>
    </row>
    <row r="965" ht="13.5" customHeight="1">
      <c r="V965" s="265"/>
    </row>
    <row r="966" ht="13.5" customHeight="1">
      <c r="V966" s="265"/>
    </row>
    <row r="967" ht="13.5" customHeight="1">
      <c r="V967" s="265"/>
    </row>
    <row r="968" ht="13.5" customHeight="1">
      <c r="V968" s="265"/>
    </row>
    <row r="969" ht="13.5" customHeight="1">
      <c r="V969" s="265"/>
    </row>
    <row r="970" ht="13.5" customHeight="1">
      <c r="V970" s="265"/>
    </row>
    <row r="971" ht="13.5" customHeight="1">
      <c r="V971" s="265"/>
    </row>
    <row r="972" ht="13.5" customHeight="1">
      <c r="V972" s="265"/>
    </row>
    <row r="973" ht="13.5" customHeight="1">
      <c r="V973" s="265"/>
    </row>
    <row r="974" ht="13.5" customHeight="1">
      <c r="V974" s="265"/>
    </row>
    <row r="975" ht="13.5" customHeight="1">
      <c r="V975" s="265"/>
    </row>
    <row r="976" ht="13.5" customHeight="1">
      <c r="V976" s="265"/>
    </row>
    <row r="977" ht="13.5" customHeight="1">
      <c r="V977" s="265"/>
    </row>
    <row r="978" ht="13.5" customHeight="1">
      <c r="V978" s="265"/>
    </row>
    <row r="979" ht="13.5" customHeight="1">
      <c r="V979" s="265"/>
    </row>
    <row r="980" ht="13.5" customHeight="1">
      <c r="V980" s="265"/>
    </row>
    <row r="981" ht="13.5" customHeight="1">
      <c r="V981" s="265"/>
    </row>
    <row r="982" ht="13.5" customHeight="1">
      <c r="V982" s="265"/>
    </row>
    <row r="983" ht="13.5" customHeight="1">
      <c r="V983" s="265"/>
    </row>
    <row r="984" ht="13.5" customHeight="1">
      <c r="V984" s="265"/>
    </row>
    <row r="985" ht="13.5" customHeight="1">
      <c r="V985" s="265"/>
    </row>
    <row r="986" ht="13.5" customHeight="1">
      <c r="V986" s="265"/>
    </row>
    <row r="987" ht="13.5" customHeight="1">
      <c r="V987" s="265"/>
    </row>
    <row r="988" ht="13.5" customHeight="1">
      <c r="V988" s="265"/>
    </row>
    <row r="989" ht="13.5" customHeight="1">
      <c r="V989" s="265"/>
    </row>
    <row r="990" ht="13.5" customHeight="1">
      <c r="V990" s="265"/>
    </row>
    <row r="991" ht="13.5" customHeight="1">
      <c r="V991" s="265"/>
    </row>
    <row r="992" ht="13.5" customHeight="1">
      <c r="V992" s="265"/>
    </row>
    <row r="993" ht="13.5" customHeight="1">
      <c r="V993" s="265"/>
    </row>
    <row r="994" ht="13.5" customHeight="1">
      <c r="V994" s="265"/>
    </row>
    <row r="995" ht="13.5" customHeight="1">
      <c r="V995" s="265"/>
    </row>
    <row r="996" ht="13.5" customHeight="1">
      <c r="V996" s="265"/>
    </row>
    <row r="997" ht="13.5" customHeight="1">
      <c r="V997" s="265"/>
    </row>
    <row r="998" ht="13.5" customHeight="1">
      <c r="V998" s="265"/>
    </row>
    <row r="999" ht="13.5" customHeight="1">
      <c r="V999" s="265"/>
    </row>
    <row r="1000" ht="13.5" customHeight="1">
      <c r="V1000" s="265"/>
    </row>
  </sheetData>
  <mergeCells count="30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 outlineLevelRow="1"/>
  <cols>
    <col customWidth="1" min="1" max="1" width="8.63"/>
    <col customWidth="1" min="2" max="2" width="19.38"/>
    <col customWidth="1" min="3" max="3" width="28.13"/>
    <col customWidth="1" min="4" max="4" width="20.0"/>
    <col customWidth="1" min="5" max="5" width="14.13"/>
    <col customWidth="1" min="6" max="6" width="8.63"/>
    <col customWidth="1" min="7" max="7" width="13.63"/>
    <col customWidth="1" min="8" max="8" width="15.25"/>
    <col customWidth="1" min="9" max="9" width="16.63"/>
    <col customWidth="1" min="10" max="10" width="12.38"/>
    <col customWidth="1" min="11" max="11" width="12.88"/>
    <col customWidth="1" min="12" max="12" width="13.13"/>
    <col customWidth="1" min="13" max="13" width="12.38"/>
    <col customWidth="1" min="14" max="14" width="6.13"/>
    <col customWidth="1" min="15" max="15" width="5.0"/>
    <col customWidth="1" min="16" max="16" width="4.88"/>
    <col customWidth="1" min="17" max="19" width="8.63"/>
    <col customWidth="1" min="20" max="20" width="13.63"/>
    <col customWidth="1" min="21" max="21" width="10.38"/>
    <col customWidth="1" min="22" max="22" width="18.3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 outlineLevel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 outlineLevel="1">
      <c r="A2" s="6" t="s">
        <v>1</v>
      </c>
      <c r="B2" s="5"/>
      <c r="C2" s="7" t="s">
        <v>2825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 outlineLevel="1">
      <c r="A3" s="6" t="s">
        <v>3</v>
      </c>
      <c r="B3" s="5"/>
      <c r="C3" s="7" t="s">
        <v>2826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 outlineLevel="1">
      <c r="A4" s="12" t="s">
        <v>5</v>
      </c>
      <c r="B4" s="5"/>
      <c r="C4" s="7" t="s">
        <v>2827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269" t="s">
        <v>2828</v>
      </c>
      <c r="C7" s="269" t="s">
        <v>1884</v>
      </c>
      <c r="D7" s="269" t="s">
        <v>2829</v>
      </c>
      <c r="E7" s="270" t="s">
        <v>338</v>
      </c>
      <c r="F7" s="271">
        <v>47.0</v>
      </c>
      <c r="G7" s="271" t="s">
        <v>339</v>
      </c>
      <c r="H7" s="271" t="s">
        <v>349</v>
      </c>
      <c r="I7" s="271">
        <v>9.458319995E9</v>
      </c>
      <c r="J7" s="54">
        <v>0.0</v>
      </c>
      <c r="K7" s="55">
        <v>0.0</v>
      </c>
      <c r="L7" s="55">
        <v>0.0</v>
      </c>
      <c r="M7" s="55">
        <v>0.0</v>
      </c>
      <c r="N7" s="43">
        <f t="shared" ref="N7:N47" si="1">SUM(L7,M7)</f>
        <v>0</v>
      </c>
      <c r="O7" s="55">
        <v>32.0</v>
      </c>
      <c r="P7" s="55">
        <v>0.0</v>
      </c>
      <c r="Q7" s="43">
        <f t="shared" ref="Q7:Q85" si="2">SUM(N7,O7,P7)</f>
        <v>32</v>
      </c>
      <c r="R7" s="43"/>
      <c r="S7" s="55" t="s">
        <v>74</v>
      </c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269" t="s">
        <v>2830</v>
      </c>
      <c r="C8" s="269" t="s">
        <v>2831</v>
      </c>
      <c r="D8" s="269" t="s">
        <v>2832</v>
      </c>
      <c r="E8" s="270" t="s">
        <v>338</v>
      </c>
      <c r="F8" s="271">
        <v>49.0</v>
      </c>
      <c r="G8" s="271" t="s">
        <v>339</v>
      </c>
      <c r="H8" s="271" t="s">
        <v>349</v>
      </c>
      <c r="I8" s="271">
        <v>9.088852761E9</v>
      </c>
      <c r="J8" s="54">
        <v>15.0</v>
      </c>
      <c r="K8" s="55">
        <v>10.0</v>
      </c>
      <c r="L8" s="55">
        <v>0.0</v>
      </c>
      <c r="M8" s="55">
        <v>1.0</v>
      </c>
      <c r="N8" s="43">
        <f t="shared" si="1"/>
        <v>1</v>
      </c>
      <c r="O8" s="55">
        <v>17.0</v>
      </c>
      <c r="P8" s="55">
        <v>4.0</v>
      </c>
      <c r="Q8" s="43">
        <f t="shared" si="2"/>
        <v>22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272" t="s">
        <v>981</v>
      </c>
      <c r="C9" s="269" t="s">
        <v>2833</v>
      </c>
      <c r="D9" s="269" t="s">
        <v>1863</v>
      </c>
      <c r="E9" s="270" t="s">
        <v>338</v>
      </c>
      <c r="F9" s="271">
        <v>47.0</v>
      </c>
      <c r="G9" s="271" t="s">
        <v>476</v>
      </c>
      <c r="H9" s="271" t="s">
        <v>484</v>
      </c>
      <c r="I9" s="271">
        <v>9.190031232E9</v>
      </c>
      <c r="J9" s="54">
        <v>26.0</v>
      </c>
      <c r="K9" s="55">
        <v>21.0</v>
      </c>
      <c r="L9" s="55">
        <v>0.0</v>
      </c>
      <c r="M9" s="55">
        <v>0.0</v>
      </c>
      <c r="N9" s="43">
        <f t="shared" si="1"/>
        <v>0</v>
      </c>
      <c r="O9" s="55">
        <v>6.0</v>
      </c>
      <c r="P9" s="55">
        <v>5.0</v>
      </c>
      <c r="Q9" s="43">
        <f t="shared" si="2"/>
        <v>11</v>
      </c>
      <c r="R9" s="43"/>
      <c r="S9" s="43"/>
      <c r="T9" s="43"/>
      <c r="U9" s="43"/>
      <c r="V9" s="55" t="s">
        <v>2834</v>
      </c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272" t="s">
        <v>2835</v>
      </c>
      <c r="C10" s="269" t="s">
        <v>2836</v>
      </c>
      <c r="D10" s="269" t="s">
        <v>2837</v>
      </c>
      <c r="E10" s="270" t="s">
        <v>338</v>
      </c>
      <c r="F10" s="271">
        <v>38.0</v>
      </c>
      <c r="G10" s="271" t="s">
        <v>476</v>
      </c>
      <c r="H10" s="271" t="s">
        <v>2658</v>
      </c>
      <c r="I10" s="271">
        <v>9.151375037E9</v>
      </c>
      <c r="J10" s="54">
        <v>24.0</v>
      </c>
      <c r="K10" s="55">
        <v>20.0</v>
      </c>
      <c r="L10" s="55">
        <v>0.0</v>
      </c>
      <c r="M10" s="55">
        <v>4.0</v>
      </c>
      <c r="N10" s="43">
        <f t="shared" si="1"/>
        <v>4</v>
      </c>
      <c r="O10" s="55">
        <v>8.0</v>
      </c>
      <c r="P10" s="55">
        <v>0.0</v>
      </c>
      <c r="Q10" s="43">
        <f t="shared" si="2"/>
        <v>12</v>
      </c>
      <c r="R10" s="43"/>
      <c r="S10" s="55" t="s">
        <v>88</v>
      </c>
      <c r="T10" s="43"/>
      <c r="U10" s="43"/>
      <c r="V10" s="55" t="s">
        <v>2838</v>
      </c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269" t="s">
        <v>2839</v>
      </c>
      <c r="C11" s="269" t="s">
        <v>752</v>
      </c>
      <c r="D11" s="269" t="s">
        <v>2840</v>
      </c>
      <c r="E11" s="270" t="s">
        <v>338</v>
      </c>
      <c r="F11" s="271">
        <v>54.0</v>
      </c>
      <c r="G11" s="271" t="s">
        <v>476</v>
      </c>
      <c r="H11" s="271" t="s">
        <v>2672</v>
      </c>
      <c r="I11" s="273" t="s">
        <v>2841</v>
      </c>
      <c r="J11" s="54">
        <v>20.0</v>
      </c>
      <c r="K11" s="55">
        <v>17.0</v>
      </c>
      <c r="L11" s="55">
        <v>0.0</v>
      </c>
      <c r="M11" s="55">
        <v>0.0</v>
      </c>
      <c r="N11" s="43">
        <f t="shared" si="1"/>
        <v>0</v>
      </c>
      <c r="O11" s="55">
        <v>12.0</v>
      </c>
      <c r="P11" s="55">
        <v>3.0</v>
      </c>
      <c r="Q11" s="43">
        <f t="shared" si="2"/>
        <v>15</v>
      </c>
      <c r="R11" s="43"/>
      <c r="S11" s="55" t="s">
        <v>88</v>
      </c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269" t="s">
        <v>2842</v>
      </c>
      <c r="C12" s="269" t="s">
        <v>2320</v>
      </c>
      <c r="D12" s="269" t="s">
        <v>2843</v>
      </c>
      <c r="E12" s="270" t="s">
        <v>338</v>
      </c>
      <c r="F12" s="271">
        <v>38.0</v>
      </c>
      <c r="G12" s="271" t="s">
        <v>339</v>
      </c>
      <c r="H12" s="271" t="s">
        <v>480</v>
      </c>
      <c r="I12" s="273" t="s">
        <v>2844</v>
      </c>
      <c r="J12" s="54">
        <v>22.0</v>
      </c>
      <c r="K12" s="55">
        <v>14.0</v>
      </c>
      <c r="L12" s="55">
        <v>1.0</v>
      </c>
      <c r="M12" s="55">
        <v>2.0</v>
      </c>
      <c r="N12" s="43">
        <f t="shared" si="1"/>
        <v>3</v>
      </c>
      <c r="O12" s="55">
        <v>10.0</v>
      </c>
      <c r="P12" s="55">
        <v>5.0</v>
      </c>
      <c r="Q12" s="43">
        <f t="shared" si="2"/>
        <v>18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70</v>
      </c>
    </row>
    <row r="13" ht="13.5" customHeight="1">
      <c r="A13" s="28">
        <v>7.0</v>
      </c>
      <c r="B13" s="269" t="s">
        <v>2845</v>
      </c>
      <c r="C13" s="269" t="s">
        <v>1786</v>
      </c>
      <c r="D13" s="269" t="s">
        <v>2846</v>
      </c>
      <c r="E13" s="270" t="s">
        <v>338</v>
      </c>
      <c r="F13" s="271">
        <v>42.0</v>
      </c>
      <c r="G13" s="271" t="s">
        <v>339</v>
      </c>
      <c r="H13" s="271" t="s">
        <v>349</v>
      </c>
      <c r="I13" s="271">
        <v>9.605314313E9</v>
      </c>
      <c r="J13" s="54">
        <v>28.0</v>
      </c>
      <c r="K13" s="55">
        <v>25.0</v>
      </c>
      <c r="L13" s="55">
        <v>1.0</v>
      </c>
      <c r="M13" s="55">
        <v>2.0</v>
      </c>
      <c r="N13" s="43">
        <f t="shared" si="1"/>
        <v>3</v>
      </c>
      <c r="O13" s="55">
        <v>2.0</v>
      </c>
      <c r="P13" s="55">
        <v>0.0</v>
      </c>
      <c r="Q13" s="43">
        <f t="shared" si="2"/>
        <v>5</v>
      </c>
      <c r="R13" s="43"/>
      <c r="S13" s="43"/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269" t="s">
        <v>1162</v>
      </c>
      <c r="C14" s="269" t="s">
        <v>2847</v>
      </c>
      <c r="D14" s="269" t="s">
        <v>32</v>
      </c>
      <c r="E14" s="270" t="s">
        <v>338</v>
      </c>
      <c r="F14" s="271">
        <v>61.0</v>
      </c>
      <c r="G14" s="271" t="s">
        <v>339</v>
      </c>
      <c r="H14" s="271" t="s">
        <v>469</v>
      </c>
      <c r="I14" s="271">
        <v>9.073632153E9</v>
      </c>
      <c r="J14" s="54">
        <v>20.0</v>
      </c>
      <c r="K14" s="55">
        <v>0.0</v>
      </c>
      <c r="L14" s="55">
        <v>11.0</v>
      </c>
      <c r="M14" s="55">
        <v>2.0</v>
      </c>
      <c r="N14" s="43">
        <f t="shared" si="1"/>
        <v>13</v>
      </c>
      <c r="O14" s="55">
        <v>12.0</v>
      </c>
      <c r="P14" s="55">
        <v>7.0</v>
      </c>
      <c r="Q14" s="43">
        <f t="shared" si="2"/>
        <v>32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272" t="s">
        <v>2848</v>
      </c>
      <c r="C15" s="269" t="s">
        <v>1650</v>
      </c>
      <c r="D15" s="269" t="s">
        <v>2849</v>
      </c>
      <c r="E15" s="270" t="s">
        <v>338</v>
      </c>
      <c r="F15" s="271">
        <v>55.0</v>
      </c>
      <c r="G15" s="271" t="s">
        <v>476</v>
      </c>
      <c r="H15" s="271" t="s">
        <v>480</v>
      </c>
      <c r="I15" s="271">
        <v>9.068761307E9</v>
      </c>
      <c r="J15" s="54">
        <v>23.0</v>
      </c>
      <c r="K15" s="55">
        <v>7.0</v>
      </c>
      <c r="L15" s="55">
        <v>2.0</v>
      </c>
      <c r="M15" s="55">
        <v>2.0</v>
      </c>
      <c r="N15" s="43">
        <f t="shared" si="1"/>
        <v>4</v>
      </c>
      <c r="O15" s="55">
        <v>9.0</v>
      </c>
      <c r="P15" s="55">
        <v>12.0</v>
      </c>
      <c r="Q15" s="43">
        <f t="shared" si="2"/>
        <v>25</v>
      </c>
      <c r="R15" s="43"/>
      <c r="S15" s="55" t="s">
        <v>88</v>
      </c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3</v>
      </c>
      <c r="AC15" s="62"/>
      <c r="AD15" s="62"/>
    </row>
    <row r="16" ht="13.5" customHeight="1">
      <c r="A16" s="28">
        <v>10.0</v>
      </c>
      <c r="B16" s="272" t="s">
        <v>488</v>
      </c>
      <c r="C16" s="269" t="s">
        <v>1429</v>
      </c>
      <c r="D16" s="269" t="s">
        <v>2850</v>
      </c>
      <c r="E16" s="270" t="s">
        <v>338</v>
      </c>
      <c r="F16" s="271">
        <v>47.0</v>
      </c>
      <c r="G16" s="271" t="s">
        <v>476</v>
      </c>
      <c r="H16" s="271" t="s">
        <v>480</v>
      </c>
      <c r="I16" s="271">
        <v>9.254457469E9</v>
      </c>
      <c r="J16" s="54">
        <v>24.0</v>
      </c>
      <c r="K16" s="55">
        <v>22.0</v>
      </c>
      <c r="L16" s="55">
        <v>0.0</v>
      </c>
      <c r="M16" s="55">
        <v>0.0</v>
      </c>
      <c r="N16" s="43">
        <f t="shared" si="1"/>
        <v>0</v>
      </c>
      <c r="O16" s="55">
        <v>8.0</v>
      </c>
      <c r="P16" s="55">
        <v>2.0</v>
      </c>
      <c r="Q16" s="43">
        <f t="shared" si="2"/>
        <v>10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269" t="s">
        <v>1478</v>
      </c>
      <c r="C17" s="269" t="s">
        <v>2851</v>
      </c>
      <c r="D17" s="269" t="s">
        <v>1729</v>
      </c>
      <c r="E17" s="270" t="s">
        <v>338</v>
      </c>
      <c r="F17" s="271">
        <v>49.0</v>
      </c>
      <c r="G17" s="271" t="s">
        <v>339</v>
      </c>
      <c r="H17" s="271" t="s">
        <v>484</v>
      </c>
      <c r="I17" s="271">
        <v>9.190076359E9</v>
      </c>
      <c r="J17" s="54">
        <v>30.0</v>
      </c>
      <c r="K17" s="55">
        <v>24.0</v>
      </c>
      <c r="L17" s="55">
        <v>0.0</v>
      </c>
      <c r="M17" s="55">
        <v>2.0</v>
      </c>
      <c r="N17" s="43">
        <f t="shared" si="1"/>
        <v>2</v>
      </c>
      <c r="O17" s="55">
        <v>1.0</v>
      </c>
      <c r="P17" s="55">
        <v>4.0</v>
      </c>
      <c r="Q17" s="43">
        <f t="shared" si="2"/>
        <v>7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269" t="s">
        <v>2852</v>
      </c>
      <c r="C18" s="269" t="s">
        <v>876</v>
      </c>
      <c r="D18" s="269" t="s">
        <v>2261</v>
      </c>
      <c r="E18" s="270" t="s">
        <v>338</v>
      </c>
      <c r="F18" s="271">
        <v>44.0</v>
      </c>
      <c r="G18" s="271" t="s">
        <v>339</v>
      </c>
      <c r="H18" s="271" t="s">
        <v>349</v>
      </c>
      <c r="I18" s="271">
        <v>9.6053106E9</v>
      </c>
      <c r="J18" s="54">
        <v>31.0</v>
      </c>
      <c r="K18" s="55">
        <v>16.0</v>
      </c>
      <c r="L18" s="55">
        <v>5.0</v>
      </c>
      <c r="M18" s="55">
        <v>10.0</v>
      </c>
      <c r="N18" s="43">
        <f t="shared" si="1"/>
        <v>15</v>
      </c>
      <c r="O18" s="55">
        <v>1.0</v>
      </c>
      <c r="P18" s="55">
        <v>0.0</v>
      </c>
      <c r="Q18" s="43">
        <f t="shared" si="2"/>
        <v>16</v>
      </c>
      <c r="R18" s="43"/>
      <c r="S18" s="43"/>
      <c r="T18" s="55" t="s">
        <v>140</v>
      </c>
      <c r="U18" s="43"/>
      <c r="V18" s="43"/>
      <c r="W18" s="56" t="s">
        <v>46</v>
      </c>
      <c r="Z18" s="34"/>
      <c r="AA18" s="61" t="s">
        <v>88</v>
      </c>
      <c r="AB18" s="66">
        <f>COUNTIF(S7:S157, "RPDU")</f>
        <v>12</v>
      </c>
      <c r="AC18" s="34"/>
      <c r="AD18" s="34"/>
    </row>
    <row r="19" ht="13.5" customHeight="1">
      <c r="A19" s="28">
        <v>13.0</v>
      </c>
      <c r="B19" s="272" t="s">
        <v>2853</v>
      </c>
      <c r="C19" s="269" t="s">
        <v>2854</v>
      </c>
      <c r="D19" s="269" t="s">
        <v>250</v>
      </c>
      <c r="E19" s="270" t="s">
        <v>338</v>
      </c>
      <c r="F19" s="271">
        <v>39.0</v>
      </c>
      <c r="G19" s="271" t="s">
        <v>476</v>
      </c>
      <c r="H19" s="271" t="s">
        <v>480</v>
      </c>
      <c r="I19" s="271">
        <v>9.062699939E9</v>
      </c>
      <c r="J19" s="54">
        <v>29.0</v>
      </c>
      <c r="K19" s="55">
        <v>28.0</v>
      </c>
      <c r="L19" s="55">
        <v>0.0</v>
      </c>
      <c r="M19" s="55">
        <v>1.0</v>
      </c>
      <c r="N19" s="43">
        <f t="shared" si="1"/>
        <v>1</v>
      </c>
      <c r="O19" s="55">
        <v>3.0</v>
      </c>
      <c r="P19" s="55">
        <v>1.0</v>
      </c>
      <c r="Q19" s="43">
        <f t="shared" si="2"/>
        <v>5</v>
      </c>
      <c r="R19" s="43"/>
      <c r="S19" s="43"/>
      <c r="T19" s="55" t="s">
        <v>145</v>
      </c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269" t="s">
        <v>2855</v>
      </c>
      <c r="C20" s="269" t="s">
        <v>2256</v>
      </c>
      <c r="D20" s="269" t="s">
        <v>2856</v>
      </c>
      <c r="E20" s="270" t="s">
        <v>338</v>
      </c>
      <c r="F20" s="271">
        <v>55.0</v>
      </c>
      <c r="G20" s="271" t="s">
        <v>339</v>
      </c>
      <c r="H20" s="271" t="s">
        <v>349</v>
      </c>
      <c r="I20" s="273" t="s">
        <v>2857</v>
      </c>
      <c r="J20" s="54">
        <v>16.0</v>
      </c>
      <c r="K20" s="55">
        <v>14.0</v>
      </c>
      <c r="L20" s="55">
        <v>0.0</v>
      </c>
      <c r="M20" s="55">
        <v>0.0</v>
      </c>
      <c r="N20" s="43">
        <f t="shared" si="1"/>
        <v>0</v>
      </c>
      <c r="O20" s="55">
        <v>16.0</v>
      </c>
      <c r="P20" s="55">
        <v>0.0</v>
      </c>
      <c r="Q20" s="43">
        <f t="shared" si="2"/>
        <v>16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2</v>
      </c>
      <c r="AC20" s="34"/>
      <c r="AD20" s="34"/>
    </row>
    <row r="21" ht="13.5" customHeight="1">
      <c r="A21" s="28">
        <v>15.0</v>
      </c>
      <c r="B21" s="272" t="s">
        <v>2858</v>
      </c>
      <c r="C21" s="269" t="s">
        <v>2859</v>
      </c>
      <c r="D21" s="269" t="s">
        <v>2860</v>
      </c>
      <c r="E21" s="270" t="s">
        <v>338</v>
      </c>
      <c r="F21" s="271">
        <v>27.0</v>
      </c>
      <c r="G21" s="271" t="s">
        <v>476</v>
      </c>
      <c r="H21" s="271" t="s">
        <v>480</v>
      </c>
      <c r="I21" s="271">
        <v>9.065797382E9</v>
      </c>
      <c r="J21" s="54">
        <v>28.0</v>
      </c>
      <c r="K21" s="55">
        <v>22.0</v>
      </c>
      <c r="L21" s="55">
        <v>2.0</v>
      </c>
      <c r="M21" s="55">
        <v>4.0</v>
      </c>
      <c r="N21" s="43">
        <f t="shared" si="1"/>
        <v>6</v>
      </c>
      <c r="O21" s="55">
        <v>4.0</v>
      </c>
      <c r="P21" s="55">
        <v>0.0</v>
      </c>
      <c r="Q21" s="43">
        <f t="shared" si="2"/>
        <v>10</v>
      </c>
      <c r="R21" s="43"/>
      <c r="S21" s="43"/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1</v>
      </c>
      <c r="AC21" s="34"/>
      <c r="AD21" s="34"/>
    </row>
    <row r="22" ht="13.5" customHeight="1">
      <c r="A22" s="28">
        <v>16.0</v>
      </c>
      <c r="B22" s="269" t="s">
        <v>2861</v>
      </c>
      <c r="C22" s="269" t="s">
        <v>2862</v>
      </c>
      <c r="D22" s="269" t="s">
        <v>2863</v>
      </c>
      <c r="E22" s="270" t="s">
        <v>338</v>
      </c>
      <c r="F22" s="271">
        <v>45.0</v>
      </c>
      <c r="G22" s="271" t="s">
        <v>339</v>
      </c>
      <c r="H22" s="271" t="s">
        <v>469</v>
      </c>
      <c r="I22" s="273" t="s">
        <v>2864</v>
      </c>
      <c r="J22" s="54">
        <v>22.0</v>
      </c>
      <c r="K22" s="55">
        <v>17.0</v>
      </c>
      <c r="L22" s="55">
        <v>0.0</v>
      </c>
      <c r="M22" s="55">
        <v>5.0</v>
      </c>
      <c r="N22" s="43">
        <f t="shared" si="1"/>
        <v>5</v>
      </c>
      <c r="O22" s="55">
        <v>10.0</v>
      </c>
      <c r="P22" s="55">
        <v>0.0</v>
      </c>
      <c r="Q22" s="43">
        <f t="shared" si="2"/>
        <v>15</v>
      </c>
      <c r="R22" s="43"/>
      <c r="S22" s="55" t="s">
        <v>88</v>
      </c>
      <c r="T22" s="55" t="s">
        <v>140</v>
      </c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269" t="s">
        <v>2865</v>
      </c>
      <c r="C23" s="269" t="s">
        <v>2090</v>
      </c>
      <c r="D23" s="269" t="s">
        <v>202</v>
      </c>
      <c r="E23" s="270" t="s">
        <v>338</v>
      </c>
      <c r="F23" s="271">
        <v>50.0</v>
      </c>
      <c r="G23" s="271" t="s">
        <v>339</v>
      </c>
      <c r="H23" s="271" t="s">
        <v>343</v>
      </c>
      <c r="I23" s="271">
        <v>9.369064995E9</v>
      </c>
      <c r="J23" s="54">
        <v>18.0</v>
      </c>
      <c r="K23" s="55">
        <v>16.0</v>
      </c>
      <c r="L23" s="55">
        <v>0.0</v>
      </c>
      <c r="M23" s="55">
        <v>1.0</v>
      </c>
      <c r="N23" s="43">
        <f t="shared" si="1"/>
        <v>1</v>
      </c>
      <c r="O23" s="55">
        <v>14.0</v>
      </c>
      <c r="P23" s="55">
        <v>1.0</v>
      </c>
      <c r="Q23" s="43">
        <f t="shared" si="2"/>
        <v>16</v>
      </c>
      <c r="R23" s="43"/>
      <c r="S23" s="43"/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7</v>
      </c>
      <c r="AC23" s="34"/>
      <c r="AD23" s="34"/>
    </row>
    <row r="24" ht="13.5" customHeight="1">
      <c r="A24" s="28">
        <v>18.0</v>
      </c>
      <c r="B24" s="269" t="s">
        <v>2866</v>
      </c>
      <c r="C24" s="269" t="s">
        <v>2867</v>
      </c>
      <c r="D24" s="269" t="s">
        <v>2868</v>
      </c>
      <c r="E24" s="270" t="s">
        <v>338</v>
      </c>
      <c r="F24" s="271">
        <v>27.0</v>
      </c>
      <c r="G24" s="271" t="s">
        <v>339</v>
      </c>
      <c r="H24" s="271" t="s">
        <v>480</v>
      </c>
      <c r="I24" s="273" t="s">
        <v>2869</v>
      </c>
      <c r="J24" s="54">
        <v>23.0</v>
      </c>
      <c r="K24" s="55">
        <v>16.0</v>
      </c>
      <c r="L24" s="55">
        <v>0.0</v>
      </c>
      <c r="M24" s="55">
        <v>2.0</v>
      </c>
      <c r="N24" s="43">
        <f t="shared" si="1"/>
        <v>2</v>
      </c>
      <c r="O24" s="55">
        <v>9.0</v>
      </c>
      <c r="P24" s="55">
        <v>5.0</v>
      </c>
      <c r="Q24" s="43">
        <f t="shared" si="2"/>
        <v>16</v>
      </c>
      <c r="R24" s="43"/>
      <c r="S24" s="55" t="s">
        <v>277</v>
      </c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269" t="s">
        <v>2870</v>
      </c>
      <c r="C25" s="269" t="s">
        <v>459</v>
      </c>
      <c r="D25" s="269" t="s">
        <v>2871</v>
      </c>
      <c r="E25" s="270" t="s">
        <v>338</v>
      </c>
      <c r="F25" s="271">
        <v>49.0</v>
      </c>
      <c r="G25" s="271" t="s">
        <v>339</v>
      </c>
      <c r="H25" s="271" t="s">
        <v>343</v>
      </c>
      <c r="I25" s="271">
        <v>9.21679443E9</v>
      </c>
      <c r="J25" s="54">
        <v>22.0</v>
      </c>
      <c r="K25" s="55">
        <v>15.0</v>
      </c>
      <c r="L25" s="55">
        <v>0.0</v>
      </c>
      <c r="M25" s="55">
        <v>4.0</v>
      </c>
      <c r="N25" s="43">
        <f t="shared" si="1"/>
        <v>4</v>
      </c>
      <c r="O25" s="55">
        <v>10.0</v>
      </c>
      <c r="P25" s="55">
        <v>3.0</v>
      </c>
      <c r="Q25" s="43">
        <f t="shared" si="2"/>
        <v>17</v>
      </c>
      <c r="R25" s="43"/>
      <c r="S25" s="55" t="s">
        <v>88</v>
      </c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274" t="s">
        <v>2872</v>
      </c>
      <c r="C26" s="274" t="s">
        <v>2873</v>
      </c>
      <c r="D26" s="274" t="s">
        <v>2874</v>
      </c>
      <c r="E26" s="275" t="s">
        <v>338</v>
      </c>
      <c r="F26" s="276">
        <v>39.0</v>
      </c>
      <c r="G26" s="276" t="s">
        <v>476</v>
      </c>
      <c r="H26" s="276" t="s">
        <v>480</v>
      </c>
      <c r="I26" s="276">
        <v>9.451633382E9</v>
      </c>
      <c r="J26" s="54">
        <v>28.0</v>
      </c>
      <c r="K26" s="55">
        <v>25.0</v>
      </c>
      <c r="L26" s="55">
        <v>0.0</v>
      </c>
      <c r="M26" s="55">
        <v>3.0</v>
      </c>
      <c r="N26" s="43">
        <f t="shared" si="1"/>
        <v>3</v>
      </c>
      <c r="O26" s="55">
        <v>4.0</v>
      </c>
      <c r="P26" s="55">
        <v>0.0</v>
      </c>
      <c r="Q26" s="43">
        <f t="shared" si="2"/>
        <v>7</v>
      </c>
      <c r="R26" s="43"/>
      <c r="S26" s="55" t="s">
        <v>88</v>
      </c>
      <c r="T26" s="43"/>
      <c r="U26" s="43"/>
      <c r="V26" s="55" t="s">
        <v>2875</v>
      </c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269" t="s">
        <v>2876</v>
      </c>
      <c r="C27" s="269" t="s">
        <v>2877</v>
      </c>
      <c r="D27" s="269" t="s">
        <v>2845</v>
      </c>
      <c r="E27" s="270" t="s">
        <v>338</v>
      </c>
      <c r="F27" s="271">
        <v>46.0</v>
      </c>
      <c r="G27" s="271" t="s">
        <v>339</v>
      </c>
      <c r="H27" s="271" t="s">
        <v>343</v>
      </c>
      <c r="I27" s="273" t="s">
        <v>2878</v>
      </c>
      <c r="J27" s="54">
        <v>24.0</v>
      </c>
      <c r="K27" s="55">
        <v>22.0</v>
      </c>
      <c r="L27" s="55">
        <v>0.0</v>
      </c>
      <c r="M27" s="55">
        <v>2.0</v>
      </c>
      <c r="N27" s="43">
        <f t="shared" si="1"/>
        <v>2</v>
      </c>
      <c r="O27" s="55">
        <v>8.0</v>
      </c>
      <c r="P27" s="55">
        <v>0.0</v>
      </c>
      <c r="Q27" s="43">
        <f t="shared" si="2"/>
        <v>10</v>
      </c>
      <c r="R27" s="43"/>
      <c r="S27" s="55" t="s">
        <v>237</v>
      </c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269" t="s">
        <v>2879</v>
      </c>
      <c r="C28" s="269" t="s">
        <v>2880</v>
      </c>
      <c r="D28" s="269" t="s">
        <v>2881</v>
      </c>
      <c r="E28" s="270" t="s">
        <v>338</v>
      </c>
      <c r="F28" s="271">
        <v>37.0</v>
      </c>
      <c r="G28" s="271" t="s">
        <v>339</v>
      </c>
      <c r="H28" s="271" t="s">
        <v>343</v>
      </c>
      <c r="I28" s="271">
        <v>9.068748102E9</v>
      </c>
      <c r="J28" s="54">
        <v>24.0</v>
      </c>
      <c r="K28" s="55">
        <v>16.0</v>
      </c>
      <c r="L28" s="55">
        <v>1.0</v>
      </c>
      <c r="M28" s="55">
        <v>1.0</v>
      </c>
      <c r="N28" s="43">
        <f t="shared" si="1"/>
        <v>2</v>
      </c>
      <c r="O28" s="55">
        <v>8.0</v>
      </c>
      <c r="P28" s="55">
        <v>6.0</v>
      </c>
      <c r="Q28" s="43">
        <f t="shared" si="2"/>
        <v>16</v>
      </c>
      <c r="R28" s="43"/>
      <c r="S28" s="55" t="s">
        <v>101</v>
      </c>
      <c r="T28" s="43"/>
      <c r="U28" s="43"/>
      <c r="V28" s="55" t="s">
        <v>2882</v>
      </c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269" t="s">
        <v>2009</v>
      </c>
      <c r="C29" s="269" t="s">
        <v>1395</v>
      </c>
      <c r="D29" s="269" t="s">
        <v>2727</v>
      </c>
      <c r="E29" s="270" t="s">
        <v>338</v>
      </c>
      <c r="F29" s="271">
        <v>46.0</v>
      </c>
      <c r="G29" s="271" t="s">
        <v>339</v>
      </c>
      <c r="H29" s="271" t="s">
        <v>343</v>
      </c>
      <c r="I29" s="271">
        <v>9.621468776E9</v>
      </c>
      <c r="J29" s="54">
        <v>27.0</v>
      </c>
      <c r="K29" s="55">
        <v>15.0</v>
      </c>
      <c r="L29" s="55">
        <v>0.0</v>
      </c>
      <c r="M29" s="55">
        <v>2.0</v>
      </c>
      <c r="N29" s="43">
        <f t="shared" si="1"/>
        <v>2</v>
      </c>
      <c r="O29" s="55">
        <v>3.0</v>
      </c>
      <c r="P29" s="55">
        <v>10.0</v>
      </c>
      <c r="Q29" s="43">
        <f t="shared" si="2"/>
        <v>15</v>
      </c>
      <c r="R29" s="43"/>
      <c r="S29" s="55" t="s">
        <v>277</v>
      </c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269" t="s">
        <v>2883</v>
      </c>
      <c r="C30" s="269" t="s">
        <v>2884</v>
      </c>
      <c r="D30" s="269" t="s">
        <v>2885</v>
      </c>
      <c r="E30" s="270" t="s">
        <v>338</v>
      </c>
      <c r="F30" s="271">
        <v>56.0</v>
      </c>
      <c r="G30" s="271" t="s">
        <v>476</v>
      </c>
      <c r="H30" s="271" t="s">
        <v>480</v>
      </c>
      <c r="I30" s="273" t="s">
        <v>2886</v>
      </c>
      <c r="J30" s="54">
        <v>24.0</v>
      </c>
      <c r="K30" s="55">
        <v>21.0</v>
      </c>
      <c r="L30" s="55">
        <v>2.0</v>
      </c>
      <c r="M30" s="55">
        <v>1.0</v>
      </c>
      <c r="N30" s="43">
        <f t="shared" si="1"/>
        <v>3</v>
      </c>
      <c r="O30" s="55">
        <v>8.0</v>
      </c>
      <c r="P30" s="55">
        <v>0.0</v>
      </c>
      <c r="Q30" s="43">
        <f t="shared" si="2"/>
        <v>11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269" t="s">
        <v>2507</v>
      </c>
      <c r="C31" s="269" t="s">
        <v>2160</v>
      </c>
      <c r="D31" s="269" t="s">
        <v>2887</v>
      </c>
      <c r="E31" s="270" t="s">
        <v>338</v>
      </c>
      <c r="F31" s="271">
        <v>53.0</v>
      </c>
      <c r="G31" s="271" t="s">
        <v>339</v>
      </c>
      <c r="H31" s="271" t="s">
        <v>349</v>
      </c>
      <c r="I31" s="273" t="s">
        <v>2888</v>
      </c>
      <c r="J31" s="54">
        <v>25.0</v>
      </c>
      <c r="K31" s="55">
        <v>17.0</v>
      </c>
      <c r="L31" s="55">
        <v>0.0</v>
      </c>
      <c r="M31" s="55">
        <v>1.0</v>
      </c>
      <c r="N31" s="43">
        <f t="shared" si="1"/>
        <v>1</v>
      </c>
      <c r="O31" s="55">
        <v>7.0</v>
      </c>
      <c r="P31" s="55">
        <v>7.0</v>
      </c>
      <c r="Q31" s="43">
        <f t="shared" si="2"/>
        <v>15</v>
      </c>
      <c r="R31" s="43"/>
      <c r="S31" s="55" t="s">
        <v>101</v>
      </c>
      <c r="T31" s="43"/>
      <c r="U31" s="43"/>
      <c r="V31" s="55" t="s">
        <v>2889</v>
      </c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269" t="s">
        <v>2890</v>
      </c>
      <c r="C32" s="269" t="s">
        <v>2891</v>
      </c>
      <c r="D32" s="269" t="s">
        <v>2892</v>
      </c>
      <c r="E32" s="270" t="s">
        <v>338</v>
      </c>
      <c r="F32" s="271">
        <v>37.0</v>
      </c>
      <c r="G32" s="271" t="s">
        <v>476</v>
      </c>
      <c r="H32" s="271" t="s">
        <v>480</v>
      </c>
      <c r="I32" s="273" t="s">
        <v>2893</v>
      </c>
      <c r="J32" s="54">
        <v>25.0</v>
      </c>
      <c r="K32" s="55">
        <v>21.0</v>
      </c>
      <c r="L32" s="55">
        <v>1.0</v>
      </c>
      <c r="M32" s="55">
        <v>2.0</v>
      </c>
      <c r="N32" s="43">
        <f t="shared" si="1"/>
        <v>3</v>
      </c>
      <c r="O32" s="55">
        <v>5.0</v>
      </c>
      <c r="P32" s="55">
        <v>1.0</v>
      </c>
      <c r="Q32" s="43">
        <f t="shared" si="2"/>
        <v>9</v>
      </c>
      <c r="R32" s="43"/>
      <c r="S32" s="55" t="s">
        <v>277</v>
      </c>
      <c r="T32" s="43"/>
      <c r="U32" s="43"/>
      <c r="V32" s="43"/>
      <c r="W32" s="56" t="s">
        <v>46</v>
      </c>
      <c r="Z32" s="61" t="s">
        <v>139</v>
      </c>
      <c r="AA32" s="61" t="s">
        <v>140</v>
      </c>
      <c r="AB32" s="66">
        <f>COUNTIF(T7:T157, "G")</f>
        <v>3</v>
      </c>
      <c r="AC32" s="34"/>
      <c r="AD32" s="34"/>
    </row>
    <row r="33" ht="13.5" customHeight="1">
      <c r="A33" s="28">
        <v>27.0</v>
      </c>
      <c r="B33" s="269" t="s">
        <v>2894</v>
      </c>
      <c r="C33" s="269" t="s">
        <v>2895</v>
      </c>
      <c r="D33" s="269" t="s">
        <v>2896</v>
      </c>
      <c r="E33" s="270" t="s">
        <v>338</v>
      </c>
      <c r="F33" s="271">
        <v>48.0</v>
      </c>
      <c r="G33" s="271" t="s">
        <v>476</v>
      </c>
      <c r="H33" s="271" t="s">
        <v>2658</v>
      </c>
      <c r="I33" s="273" t="s">
        <v>2897</v>
      </c>
      <c r="J33" s="54">
        <v>27.0</v>
      </c>
      <c r="K33" s="55">
        <v>24.0</v>
      </c>
      <c r="L33" s="55">
        <v>0.0</v>
      </c>
      <c r="M33" s="55">
        <v>2.0</v>
      </c>
      <c r="N33" s="43">
        <f t="shared" si="1"/>
        <v>2</v>
      </c>
      <c r="O33" s="55">
        <v>8.0</v>
      </c>
      <c r="P33" s="55">
        <v>1.0</v>
      </c>
      <c r="Q33" s="43">
        <f t="shared" si="2"/>
        <v>11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69" t="s">
        <v>1188</v>
      </c>
      <c r="C34" s="269" t="s">
        <v>2898</v>
      </c>
      <c r="D34" s="269" t="s">
        <v>1863</v>
      </c>
      <c r="E34" s="270" t="s">
        <v>338</v>
      </c>
      <c r="F34" s="271">
        <v>28.0</v>
      </c>
      <c r="G34" s="271" t="s">
        <v>339</v>
      </c>
      <c r="H34" s="271" t="s">
        <v>2658</v>
      </c>
      <c r="I34" s="273" t="s">
        <v>2899</v>
      </c>
      <c r="J34" s="42"/>
      <c r="K34" s="43"/>
      <c r="L34" s="43"/>
      <c r="M34" s="43"/>
      <c r="N34" s="43">
        <f t="shared" si="1"/>
        <v>0</v>
      </c>
      <c r="O34" s="43"/>
      <c r="P34" s="43"/>
      <c r="Q34" s="43">
        <f t="shared" si="2"/>
        <v>0</v>
      </c>
      <c r="R34" s="43"/>
      <c r="S34" s="43"/>
      <c r="T34" s="43"/>
      <c r="U34" s="43"/>
      <c r="V34" s="43"/>
      <c r="W34" s="44"/>
      <c r="Z34" s="61"/>
      <c r="AA34" s="61"/>
      <c r="AB34" s="66"/>
      <c r="AC34" s="34"/>
      <c r="AD34" s="34"/>
    </row>
    <row r="35" ht="13.5" customHeight="1">
      <c r="A35" s="28">
        <v>29.0</v>
      </c>
      <c r="B35" s="269" t="s">
        <v>301</v>
      </c>
      <c r="C35" s="269" t="s">
        <v>393</v>
      </c>
      <c r="D35" s="269" t="s">
        <v>2900</v>
      </c>
      <c r="E35" s="270" t="s">
        <v>338</v>
      </c>
      <c r="F35" s="271">
        <v>36.0</v>
      </c>
      <c r="G35" s="271" t="s">
        <v>339</v>
      </c>
      <c r="H35" s="271" t="s">
        <v>343</v>
      </c>
      <c r="I35" s="271">
        <v>9.465201167E9</v>
      </c>
      <c r="J35" s="161">
        <v>32.0</v>
      </c>
      <c r="K35" s="55">
        <v>30.0</v>
      </c>
      <c r="L35" s="55">
        <v>0.0</v>
      </c>
      <c r="M35" s="55">
        <v>0.0</v>
      </c>
      <c r="N35" s="43">
        <f t="shared" si="1"/>
        <v>0</v>
      </c>
      <c r="O35" s="55">
        <v>0.0</v>
      </c>
      <c r="P35" s="55">
        <v>2.0</v>
      </c>
      <c r="Q35" s="43">
        <f t="shared" si="2"/>
        <v>2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269" t="s">
        <v>2901</v>
      </c>
      <c r="C36" s="269" t="s">
        <v>2902</v>
      </c>
      <c r="D36" s="269" t="s">
        <v>2903</v>
      </c>
      <c r="E36" s="270" t="s">
        <v>338</v>
      </c>
      <c r="F36" s="271">
        <v>42.0</v>
      </c>
      <c r="G36" s="271" t="s">
        <v>339</v>
      </c>
      <c r="H36" s="271" t="s">
        <v>480</v>
      </c>
      <c r="I36" s="273" t="s">
        <v>2904</v>
      </c>
      <c r="J36" s="87">
        <v>29.0</v>
      </c>
      <c r="K36" s="55">
        <v>27.0</v>
      </c>
      <c r="L36" s="55">
        <v>0.0</v>
      </c>
      <c r="M36" s="55">
        <v>2.0</v>
      </c>
      <c r="N36" s="43">
        <f t="shared" si="1"/>
        <v>2</v>
      </c>
      <c r="O36" s="55">
        <v>3.0</v>
      </c>
      <c r="P36" s="55">
        <v>0.0</v>
      </c>
      <c r="Q36" s="43">
        <f t="shared" si="2"/>
        <v>5</v>
      </c>
      <c r="R36" s="43"/>
      <c r="S36" s="43"/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269" t="s">
        <v>2905</v>
      </c>
      <c r="C37" s="269" t="s">
        <v>2906</v>
      </c>
      <c r="D37" s="269" t="s">
        <v>2907</v>
      </c>
      <c r="E37" s="270" t="s">
        <v>338</v>
      </c>
      <c r="F37" s="271">
        <v>42.0</v>
      </c>
      <c r="G37" s="271" t="s">
        <v>476</v>
      </c>
      <c r="H37" s="271" t="s">
        <v>2658</v>
      </c>
      <c r="I37" s="271">
        <v>9.493990311E9</v>
      </c>
      <c r="J37" s="87">
        <v>26.0</v>
      </c>
      <c r="K37" s="55">
        <v>20.0</v>
      </c>
      <c r="L37" s="55">
        <v>0.0</v>
      </c>
      <c r="M37" s="55">
        <v>1.0</v>
      </c>
      <c r="N37" s="43">
        <f t="shared" si="1"/>
        <v>1</v>
      </c>
      <c r="O37" s="55">
        <v>3.0</v>
      </c>
      <c r="P37" s="55">
        <v>5.0</v>
      </c>
      <c r="Q37" s="43">
        <f t="shared" si="2"/>
        <v>9</v>
      </c>
      <c r="R37" s="43"/>
      <c r="S37" s="43"/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269" t="s">
        <v>2908</v>
      </c>
      <c r="C38" s="269" t="s">
        <v>1692</v>
      </c>
      <c r="D38" s="269" t="s">
        <v>2909</v>
      </c>
      <c r="E38" s="270" t="s">
        <v>338</v>
      </c>
      <c r="F38" s="271">
        <v>38.0</v>
      </c>
      <c r="G38" s="271" t="s">
        <v>339</v>
      </c>
      <c r="H38" s="271" t="s">
        <v>343</v>
      </c>
      <c r="I38" s="271">
        <v>9.092369348E9</v>
      </c>
      <c r="J38" s="87">
        <v>27.0</v>
      </c>
      <c r="K38" s="55">
        <v>23.0</v>
      </c>
      <c r="L38" s="55">
        <v>0.0</v>
      </c>
      <c r="M38" s="55">
        <v>2.0</v>
      </c>
      <c r="N38" s="43">
        <f t="shared" si="1"/>
        <v>2</v>
      </c>
      <c r="O38" s="55">
        <v>7.0</v>
      </c>
      <c r="P38" s="55">
        <v>0.0</v>
      </c>
      <c r="Q38" s="43">
        <f t="shared" si="2"/>
        <v>9</v>
      </c>
      <c r="R38" s="43"/>
      <c r="S38" s="55" t="s">
        <v>277</v>
      </c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272" t="s">
        <v>2072</v>
      </c>
      <c r="C39" s="269" t="s">
        <v>2910</v>
      </c>
      <c r="D39" s="269" t="s">
        <v>365</v>
      </c>
      <c r="E39" s="270" t="s">
        <v>338</v>
      </c>
      <c r="F39" s="271">
        <v>59.0</v>
      </c>
      <c r="G39" s="271" t="s">
        <v>476</v>
      </c>
      <c r="H39" s="271" t="s">
        <v>2672</v>
      </c>
      <c r="I39" s="271">
        <v>9.081946509E9</v>
      </c>
      <c r="J39" s="87">
        <v>0.0</v>
      </c>
      <c r="K39" s="55">
        <v>0.0</v>
      </c>
      <c r="L39" s="55">
        <v>0.0</v>
      </c>
      <c r="M39" s="55">
        <v>0.0</v>
      </c>
      <c r="N39" s="43">
        <f t="shared" si="1"/>
        <v>0</v>
      </c>
      <c r="O39" s="55">
        <v>32.0</v>
      </c>
      <c r="P39" s="55">
        <v>0.0</v>
      </c>
      <c r="Q39" s="43">
        <f t="shared" si="2"/>
        <v>32</v>
      </c>
      <c r="R39" s="43"/>
      <c r="S39" s="55" t="s">
        <v>74</v>
      </c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272" t="s">
        <v>202</v>
      </c>
      <c r="C40" s="269" t="s">
        <v>2911</v>
      </c>
      <c r="D40" s="269" t="s">
        <v>2912</v>
      </c>
      <c r="E40" s="270" t="s">
        <v>338</v>
      </c>
      <c r="F40" s="271">
        <v>39.0</v>
      </c>
      <c r="G40" s="271" t="s">
        <v>476</v>
      </c>
      <c r="H40" s="271" t="s">
        <v>2658</v>
      </c>
      <c r="I40" s="271">
        <v>9.060971353E9</v>
      </c>
      <c r="J40" s="87">
        <v>29.0</v>
      </c>
      <c r="K40" s="55">
        <v>21.0</v>
      </c>
      <c r="L40" s="55">
        <v>0.0</v>
      </c>
      <c r="M40" s="55">
        <v>0.0</v>
      </c>
      <c r="N40" s="43">
        <f t="shared" si="1"/>
        <v>0</v>
      </c>
      <c r="O40" s="55">
        <v>3.0</v>
      </c>
      <c r="P40" s="55">
        <v>8.0</v>
      </c>
      <c r="Q40" s="43">
        <f t="shared" si="2"/>
        <v>11</v>
      </c>
      <c r="R40" s="43"/>
      <c r="S40" s="43"/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269" t="s">
        <v>1889</v>
      </c>
      <c r="C41" s="269" t="s">
        <v>2913</v>
      </c>
      <c r="D41" s="269" t="s">
        <v>2912</v>
      </c>
      <c r="E41" s="270" t="s">
        <v>338</v>
      </c>
      <c r="F41" s="271">
        <v>36.0</v>
      </c>
      <c r="G41" s="271" t="s">
        <v>2914</v>
      </c>
      <c r="H41" s="271" t="s">
        <v>349</v>
      </c>
      <c r="I41" s="273" t="s">
        <v>2915</v>
      </c>
      <c r="J41" s="87">
        <v>29.0</v>
      </c>
      <c r="K41" s="55">
        <v>23.0</v>
      </c>
      <c r="L41" s="55">
        <v>0.0</v>
      </c>
      <c r="M41" s="55">
        <v>0.0</v>
      </c>
      <c r="N41" s="43">
        <f t="shared" si="1"/>
        <v>0</v>
      </c>
      <c r="O41" s="55">
        <v>3.0</v>
      </c>
      <c r="P41" s="55">
        <v>6.0</v>
      </c>
      <c r="Q41" s="43">
        <f t="shared" si="2"/>
        <v>9</v>
      </c>
      <c r="R41" s="43"/>
      <c r="S41" s="43"/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269" t="s">
        <v>1889</v>
      </c>
      <c r="C42" s="269" t="s">
        <v>1434</v>
      </c>
      <c r="D42" s="269" t="s">
        <v>1480</v>
      </c>
      <c r="E42" s="270" t="s">
        <v>338</v>
      </c>
      <c r="F42" s="271">
        <v>51.0</v>
      </c>
      <c r="G42" s="271" t="s">
        <v>339</v>
      </c>
      <c r="H42" s="271" t="s">
        <v>469</v>
      </c>
      <c r="I42" s="273" t="s">
        <v>2916</v>
      </c>
      <c r="J42" s="87">
        <v>10.0</v>
      </c>
      <c r="K42" s="55">
        <v>8.0</v>
      </c>
      <c r="L42" s="55">
        <v>0.0</v>
      </c>
      <c r="M42" s="55">
        <v>0.0</v>
      </c>
      <c r="N42" s="43">
        <f t="shared" si="1"/>
        <v>0</v>
      </c>
      <c r="O42" s="55">
        <v>22.0</v>
      </c>
      <c r="P42" s="55">
        <v>2.0</v>
      </c>
      <c r="Q42" s="43">
        <f t="shared" si="2"/>
        <v>24</v>
      </c>
      <c r="R42" s="43"/>
      <c r="S42" s="55" t="s">
        <v>237</v>
      </c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269" t="s">
        <v>1652</v>
      </c>
      <c r="C43" s="269" t="s">
        <v>2403</v>
      </c>
      <c r="D43" s="269" t="s">
        <v>202</v>
      </c>
      <c r="E43" s="270" t="s">
        <v>338</v>
      </c>
      <c r="F43" s="271">
        <v>39.0</v>
      </c>
      <c r="G43" s="271" t="s">
        <v>339</v>
      </c>
      <c r="H43" s="271" t="s">
        <v>349</v>
      </c>
      <c r="I43" s="271">
        <v>9.128487456E9</v>
      </c>
      <c r="J43" s="87">
        <v>29.0</v>
      </c>
      <c r="K43" s="55">
        <v>29.0</v>
      </c>
      <c r="L43" s="55">
        <v>0.0</v>
      </c>
      <c r="M43" s="55">
        <v>0.0</v>
      </c>
      <c r="N43" s="43">
        <f t="shared" si="1"/>
        <v>0</v>
      </c>
      <c r="O43" s="55">
        <v>3.0</v>
      </c>
      <c r="P43" s="55">
        <v>0.0</v>
      </c>
      <c r="Q43" s="43">
        <f t="shared" si="2"/>
        <v>3</v>
      </c>
      <c r="R43" s="43"/>
      <c r="S43" s="43"/>
      <c r="T43" s="55" t="s">
        <v>140</v>
      </c>
      <c r="U43" s="43"/>
      <c r="V43" s="43"/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269" t="s">
        <v>893</v>
      </c>
      <c r="C44" s="269" t="s">
        <v>2295</v>
      </c>
      <c r="D44" s="269" t="s">
        <v>202</v>
      </c>
      <c r="E44" s="270" t="s">
        <v>338</v>
      </c>
      <c r="F44" s="271">
        <v>44.0</v>
      </c>
      <c r="G44" s="271" t="s">
        <v>339</v>
      </c>
      <c r="H44" s="271" t="s">
        <v>2658</v>
      </c>
      <c r="I44" s="273" t="s">
        <v>2917</v>
      </c>
      <c r="J44" s="87">
        <v>22.0</v>
      </c>
      <c r="K44" s="55">
        <v>18.0</v>
      </c>
      <c r="L44" s="55">
        <v>0.0</v>
      </c>
      <c r="M44" s="55">
        <v>0.0</v>
      </c>
      <c r="N44" s="43">
        <f t="shared" si="1"/>
        <v>0</v>
      </c>
      <c r="O44" s="55">
        <v>10.0</v>
      </c>
      <c r="P44" s="55">
        <v>4.0</v>
      </c>
      <c r="Q44" s="43">
        <f t="shared" si="2"/>
        <v>14</v>
      </c>
      <c r="R44" s="43"/>
      <c r="S44" s="43"/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269" t="s">
        <v>893</v>
      </c>
      <c r="C45" s="269" t="s">
        <v>2918</v>
      </c>
      <c r="D45" s="269" t="s">
        <v>855</v>
      </c>
      <c r="E45" s="270" t="s">
        <v>338</v>
      </c>
      <c r="F45" s="271">
        <v>37.0</v>
      </c>
      <c r="G45" s="271" t="s">
        <v>339</v>
      </c>
      <c r="H45" s="271" t="s">
        <v>480</v>
      </c>
      <c r="I45" s="273" t="s">
        <v>2919</v>
      </c>
      <c r="J45" s="87">
        <v>15.0</v>
      </c>
      <c r="K45" s="55">
        <v>5.0</v>
      </c>
      <c r="L45" s="55">
        <v>0.0</v>
      </c>
      <c r="M45" s="55">
        <v>7.0</v>
      </c>
      <c r="N45" s="43">
        <f t="shared" si="1"/>
        <v>7</v>
      </c>
      <c r="O45" s="55">
        <v>17.0</v>
      </c>
      <c r="P45" s="55">
        <v>3.0</v>
      </c>
      <c r="Q45" s="43">
        <f t="shared" si="2"/>
        <v>27</v>
      </c>
      <c r="R45" s="43"/>
      <c r="S45" s="55" t="s">
        <v>88</v>
      </c>
      <c r="T45" s="43"/>
      <c r="U45" s="43"/>
      <c r="V45" s="43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269" t="s">
        <v>2920</v>
      </c>
      <c r="C46" s="269" t="s">
        <v>2285</v>
      </c>
      <c r="D46" s="269" t="s">
        <v>2921</v>
      </c>
      <c r="E46" s="270" t="s">
        <v>338</v>
      </c>
      <c r="F46" s="271">
        <v>43.0</v>
      </c>
      <c r="G46" s="271" t="s">
        <v>339</v>
      </c>
      <c r="H46" s="271" t="s">
        <v>343</v>
      </c>
      <c r="I46" s="273" t="s">
        <v>2922</v>
      </c>
      <c r="J46" s="87">
        <v>25.0</v>
      </c>
      <c r="K46" s="55">
        <v>20.0</v>
      </c>
      <c r="L46" s="55">
        <v>0.0</v>
      </c>
      <c r="M46" s="55">
        <v>3.0</v>
      </c>
      <c r="N46" s="43">
        <f t="shared" si="1"/>
        <v>3</v>
      </c>
      <c r="O46" s="55">
        <v>5.0</v>
      </c>
      <c r="P46" s="55">
        <v>2.0</v>
      </c>
      <c r="Q46" s="43">
        <f t="shared" si="2"/>
        <v>10</v>
      </c>
      <c r="R46" s="43"/>
      <c r="S46" s="55" t="s">
        <v>277</v>
      </c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269" t="s">
        <v>441</v>
      </c>
      <c r="C47" s="269" t="s">
        <v>2923</v>
      </c>
      <c r="D47" s="269" t="s">
        <v>178</v>
      </c>
      <c r="E47" s="270" t="s">
        <v>338</v>
      </c>
      <c r="F47" s="271">
        <v>32.0</v>
      </c>
      <c r="G47" s="271" t="s">
        <v>1690</v>
      </c>
      <c r="H47" s="271" t="s">
        <v>87</v>
      </c>
      <c r="I47" s="271">
        <v>9.178714405E9</v>
      </c>
      <c r="J47" s="87">
        <v>30.0</v>
      </c>
      <c r="K47" s="55">
        <v>27.0</v>
      </c>
      <c r="L47" s="55">
        <v>0.0</v>
      </c>
      <c r="M47" s="55">
        <v>1.0</v>
      </c>
      <c r="N47" s="43">
        <f t="shared" si="1"/>
        <v>1</v>
      </c>
      <c r="O47" s="55">
        <v>2.0</v>
      </c>
      <c r="P47" s="55">
        <v>2.0</v>
      </c>
      <c r="Q47" s="43">
        <f t="shared" si="2"/>
        <v>5</v>
      </c>
      <c r="R47" s="43"/>
      <c r="S47" s="43"/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269" t="s">
        <v>2924</v>
      </c>
      <c r="C48" s="269" t="s">
        <v>2925</v>
      </c>
      <c r="D48" s="269" t="s">
        <v>2926</v>
      </c>
      <c r="E48" s="270" t="s">
        <v>338</v>
      </c>
      <c r="F48" s="271">
        <v>42.0</v>
      </c>
      <c r="G48" s="271" t="s">
        <v>476</v>
      </c>
      <c r="H48" s="271" t="s">
        <v>480</v>
      </c>
      <c r="I48" s="273" t="s">
        <v>2927</v>
      </c>
      <c r="J48" s="87">
        <v>0.0</v>
      </c>
      <c r="K48" s="55">
        <v>0.0</v>
      </c>
      <c r="L48" s="55">
        <v>0.0</v>
      </c>
      <c r="M48" s="55">
        <v>0.0</v>
      </c>
      <c r="N48" s="55">
        <v>0.0</v>
      </c>
      <c r="O48" s="55">
        <v>32.0</v>
      </c>
      <c r="P48" s="55">
        <v>0.0</v>
      </c>
      <c r="Q48" s="43">
        <f t="shared" si="2"/>
        <v>32</v>
      </c>
      <c r="R48" s="43"/>
      <c r="S48" s="55" t="s">
        <v>74</v>
      </c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277" t="s">
        <v>2928</v>
      </c>
      <c r="C49" s="278" t="s">
        <v>2929</v>
      </c>
      <c r="D49" s="269" t="s">
        <v>2930</v>
      </c>
      <c r="E49" s="270" t="s">
        <v>338</v>
      </c>
      <c r="F49" s="271">
        <v>33.0</v>
      </c>
      <c r="G49" s="271" t="s">
        <v>476</v>
      </c>
      <c r="H49" s="271" t="s">
        <v>480</v>
      </c>
      <c r="I49" s="271">
        <v>9.468894895E9</v>
      </c>
      <c r="J49" s="87">
        <v>30.0</v>
      </c>
      <c r="K49" s="55">
        <v>26.0</v>
      </c>
      <c r="L49" s="55">
        <v>0.0</v>
      </c>
      <c r="M49" s="55">
        <v>4.0</v>
      </c>
      <c r="N49" s="43">
        <f t="shared" ref="N49:N63" si="3">SUM(L49,M49)</f>
        <v>4</v>
      </c>
      <c r="O49" s="55">
        <v>2.0</v>
      </c>
      <c r="P49" s="55">
        <v>0.0</v>
      </c>
      <c r="Q49" s="43">
        <f t="shared" si="2"/>
        <v>6</v>
      </c>
      <c r="R49" s="43"/>
      <c r="S49" s="43"/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279" t="s">
        <v>2931</v>
      </c>
      <c r="C50" s="278" t="s">
        <v>2932</v>
      </c>
      <c r="D50" s="269" t="s">
        <v>620</v>
      </c>
      <c r="E50" s="270" t="s">
        <v>338</v>
      </c>
      <c r="F50" s="271">
        <v>43.0</v>
      </c>
      <c r="G50" s="271" t="s">
        <v>476</v>
      </c>
      <c r="H50" s="271" t="s">
        <v>2658</v>
      </c>
      <c r="I50" s="271">
        <v>9.508218363E9</v>
      </c>
      <c r="J50" s="87">
        <v>24.0</v>
      </c>
      <c r="K50" s="55">
        <v>17.0</v>
      </c>
      <c r="L50" s="55">
        <v>0.0</v>
      </c>
      <c r="M50" s="55">
        <v>1.0</v>
      </c>
      <c r="N50" s="43">
        <f t="shared" si="3"/>
        <v>1</v>
      </c>
      <c r="O50" s="55">
        <v>6.0</v>
      </c>
      <c r="P50" s="55">
        <v>6.0</v>
      </c>
      <c r="Q50" s="43">
        <f t="shared" si="2"/>
        <v>13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279" t="s">
        <v>2933</v>
      </c>
      <c r="C51" s="278" t="s">
        <v>2177</v>
      </c>
      <c r="D51" s="269" t="s">
        <v>881</v>
      </c>
      <c r="E51" s="270" t="s">
        <v>338</v>
      </c>
      <c r="F51" s="271">
        <v>42.0</v>
      </c>
      <c r="G51" s="271" t="s">
        <v>385</v>
      </c>
      <c r="H51" s="271" t="s">
        <v>349</v>
      </c>
      <c r="I51" s="271">
        <v>9.950813496E9</v>
      </c>
      <c r="J51" s="87">
        <v>27.0</v>
      </c>
      <c r="K51" s="55">
        <v>24.0</v>
      </c>
      <c r="L51" s="55">
        <v>0.0</v>
      </c>
      <c r="M51" s="55">
        <v>1.0</v>
      </c>
      <c r="N51" s="43">
        <f t="shared" si="3"/>
        <v>1</v>
      </c>
      <c r="O51" s="55">
        <v>5.0</v>
      </c>
      <c r="P51" s="55">
        <v>1.0</v>
      </c>
      <c r="Q51" s="43">
        <f t="shared" si="2"/>
        <v>7</v>
      </c>
      <c r="R51" s="43"/>
      <c r="S51" s="43"/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279" t="s">
        <v>2934</v>
      </c>
      <c r="C52" s="278" t="s">
        <v>2935</v>
      </c>
      <c r="D52" s="269" t="s">
        <v>1272</v>
      </c>
      <c r="E52" s="270" t="s">
        <v>338</v>
      </c>
      <c r="F52" s="271">
        <v>36.0</v>
      </c>
      <c r="G52" s="271" t="s">
        <v>2914</v>
      </c>
      <c r="H52" s="271" t="s">
        <v>484</v>
      </c>
      <c r="I52" s="271" t="s">
        <v>2936</v>
      </c>
      <c r="J52" s="87">
        <v>28.0</v>
      </c>
      <c r="K52" s="55">
        <v>23.0</v>
      </c>
      <c r="L52" s="55">
        <v>3.0</v>
      </c>
      <c r="M52" s="55">
        <v>2.0</v>
      </c>
      <c r="N52" s="43">
        <f t="shared" si="3"/>
        <v>5</v>
      </c>
      <c r="O52" s="55">
        <v>4.0</v>
      </c>
      <c r="P52" s="55">
        <v>0.0</v>
      </c>
      <c r="Q52" s="43">
        <f t="shared" si="2"/>
        <v>9</v>
      </c>
      <c r="R52" s="43"/>
      <c r="S52" s="43"/>
      <c r="T52" s="43"/>
      <c r="U52" s="43"/>
      <c r="V52" s="43"/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47.0</v>
      </c>
      <c r="B53" s="279" t="s">
        <v>1930</v>
      </c>
      <c r="C53" s="278" t="s">
        <v>2937</v>
      </c>
      <c r="D53" s="269" t="s">
        <v>2938</v>
      </c>
      <c r="E53" s="270" t="s">
        <v>338</v>
      </c>
      <c r="F53" s="271">
        <v>59.0</v>
      </c>
      <c r="G53" s="271" t="s">
        <v>385</v>
      </c>
      <c r="H53" s="271" t="s">
        <v>343</v>
      </c>
      <c r="I53" s="271">
        <v>9.237308407E9</v>
      </c>
      <c r="J53" s="87">
        <v>22.0</v>
      </c>
      <c r="K53" s="55">
        <v>21.0</v>
      </c>
      <c r="L53" s="55">
        <v>0.0</v>
      </c>
      <c r="M53" s="55">
        <v>0.0</v>
      </c>
      <c r="N53" s="43">
        <f t="shared" si="3"/>
        <v>0</v>
      </c>
      <c r="O53" s="55">
        <v>10.0</v>
      </c>
      <c r="P53" s="55">
        <v>1.0</v>
      </c>
      <c r="Q53" s="43">
        <f t="shared" si="2"/>
        <v>11</v>
      </c>
      <c r="R53" s="43"/>
      <c r="S53" s="43"/>
      <c r="T53" s="55" t="s">
        <v>145</v>
      </c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279" t="s">
        <v>2939</v>
      </c>
      <c r="C54" s="278" t="s">
        <v>2940</v>
      </c>
      <c r="D54" s="269" t="s">
        <v>2941</v>
      </c>
      <c r="E54" s="270" t="s">
        <v>338</v>
      </c>
      <c r="F54" s="271">
        <v>26.0</v>
      </c>
      <c r="G54" s="271" t="s">
        <v>1690</v>
      </c>
      <c r="H54" s="271" t="s">
        <v>480</v>
      </c>
      <c r="I54" s="271">
        <v>9.605314314E9</v>
      </c>
      <c r="J54" s="87">
        <v>30.0</v>
      </c>
      <c r="K54" s="55">
        <v>21.0</v>
      </c>
      <c r="L54" s="55">
        <v>0.0</v>
      </c>
      <c r="M54" s="55">
        <v>3.0</v>
      </c>
      <c r="N54" s="43">
        <f t="shared" si="3"/>
        <v>3</v>
      </c>
      <c r="O54" s="55">
        <v>2.0</v>
      </c>
      <c r="P54" s="55">
        <v>6.0</v>
      </c>
      <c r="Q54" s="43">
        <f t="shared" si="2"/>
        <v>11</v>
      </c>
      <c r="R54" s="43"/>
      <c r="S54" s="55" t="s">
        <v>277</v>
      </c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279" t="s">
        <v>2942</v>
      </c>
      <c r="C55" s="278" t="s">
        <v>2943</v>
      </c>
      <c r="D55" s="269" t="s">
        <v>593</v>
      </c>
      <c r="E55" s="270" t="s">
        <v>338</v>
      </c>
      <c r="F55" s="271">
        <v>46.0</v>
      </c>
      <c r="G55" s="271" t="s">
        <v>476</v>
      </c>
      <c r="H55" s="271" t="s">
        <v>480</v>
      </c>
      <c r="I55" s="273" t="s">
        <v>2944</v>
      </c>
      <c r="J55" s="87">
        <v>14.0</v>
      </c>
      <c r="K55" s="55">
        <v>10.0</v>
      </c>
      <c r="L55" s="55">
        <v>0.0</v>
      </c>
      <c r="M55" s="55">
        <v>3.0</v>
      </c>
      <c r="N55" s="43">
        <f t="shared" si="3"/>
        <v>3</v>
      </c>
      <c r="O55" s="55">
        <v>18.0</v>
      </c>
      <c r="P55" s="55">
        <v>1.0</v>
      </c>
      <c r="Q55" s="43">
        <f t="shared" si="2"/>
        <v>22</v>
      </c>
      <c r="R55" s="43"/>
      <c r="S55" s="55" t="s">
        <v>88</v>
      </c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279" t="s">
        <v>2945</v>
      </c>
      <c r="C56" s="278" t="s">
        <v>2946</v>
      </c>
      <c r="D56" s="269" t="s">
        <v>2947</v>
      </c>
      <c r="E56" s="270" t="s">
        <v>338</v>
      </c>
      <c r="F56" s="271">
        <v>32.0</v>
      </c>
      <c r="G56" s="271" t="s">
        <v>385</v>
      </c>
      <c r="H56" s="271" t="s">
        <v>349</v>
      </c>
      <c r="I56" s="271">
        <v>9.924303812E9</v>
      </c>
      <c r="J56" s="87">
        <v>31.0</v>
      </c>
      <c r="K56" s="55">
        <v>26.0</v>
      </c>
      <c r="L56" s="55">
        <v>0.0</v>
      </c>
      <c r="M56" s="55">
        <v>0.0</v>
      </c>
      <c r="N56" s="43">
        <f t="shared" si="3"/>
        <v>0</v>
      </c>
      <c r="O56" s="55">
        <v>1.0</v>
      </c>
      <c r="P56" s="55">
        <v>5.0</v>
      </c>
      <c r="Q56" s="43">
        <f t="shared" si="2"/>
        <v>6</v>
      </c>
      <c r="R56" s="43"/>
      <c r="S56" s="43"/>
      <c r="T56" s="43"/>
      <c r="U56" s="43"/>
      <c r="V56" s="43"/>
      <c r="W56" s="56" t="s">
        <v>46</v>
      </c>
      <c r="Z56" s="61"/>
      <c r="AA56" s="61"/>
      <c r="AB56" s="66"/>
      <c r="AC56" s="34"/>
      <c r="AD56" s="34"/>
    </row>
    <row r="57" ht="13.5" customHeight="1">
      <c r="A57" s="28">
        <v>51.0</v>
      </c>
      <c r="B57" s="279" t="s">
        <v>2948</v>
      </c>
      <c r="C57" s="278" t="s">
        <v>2949</v>
      </c>
      <c r="D57" s="269" t="s">
        <v>2950</v>
      </c>
      <c r="E57" s="270" t="s">
        <v>338</v>
      </c>
      <c r="F57" s="271">
        <v>33.0</v>
      </c>
      <c r="G57" s="271" t="s">
        <v>339</v>
      </c>
      <c r="H57" s="271" t="s">
        <v>349</v>
      </c>
      <c r="I57" s="271">
        <v>9.923992373E9</v>
      </c>
      <c r="J57" s="87">
        <v>28.0</v>
      </c>
      <c r="K57" s="55">
        <v>22.0</v>
      </c>
      <c r="L57" s="55">
        <v>0.0</v>
      </c>
      <c r="M57" s="55">
        <v>1.0</v>
      </c>
      <c r="N57" s="43">
        <f t="shared" si="3"/>
        <v>1</v>
      </c>
      <c r="O57" s="55">
        <v>1.0</v>
      </c>
      <c r="P57" s="55">
        <v>5.0</v>
      </c>
      <c r="Q57" s="43">
        <f t="shared" si="2"/>
        <v>7</v>
      </c>
      <c r="R57" s="43"/>
      <c r="S57" s="43"/>
      <c r="T57" s="43"/>
      <c r="U57" s="43"/>
      <c r="V57" s="43"/>
      <c r="W57" s="56" t="s">
        <v>46</v>
      </c>
      <c r="Z57" s="61"/>
      <c r="AA57" s="61"/>
      <c r="AB57" s="66"/>
      <c r="AC57" s="34"/>
      <c r="AD57" s="34"/>
    </row>
    <row r="58" ht="13.5" customHeight="1">
      <c r="A58" s="28">
        <v>52.0</v>
      </c>
      <c r="B58" s="279" t="s">
        <v>2951</v>
      </c>
      <c r="C58" s="278" t="s">
        <v>2952</v>
      </c>
      <c r="D58" s="269" t="s">
        <v>795</v>
      </c>
      <c r="E58" s="270" t="s">
        <v>338</v>
      </c>
      <c r="F58" s="271">
        <v>36.0</v>
      </c>
      <c r="G58" s="271" t="s">
        <v>476</v>
      </c>
      <c r="H58" s="271" t="s">
        <v>480</v>
      </c>
      <c r="I58" s="271">
        <v>9.30157266E9</v>
      </c>
      <c r="J58" s="87">
        <v>27.0</v>
      </c>
      <c r="K58" s="55">
        <v>18.0</v>
      </c>
      <c r="L58" s="55">
        <v>0.0</v>
      </c>
      <c r="M58" s="55">
        <v>2.0</v>
      </c>
      <c r="N58" s="43">
        <f t="shared" si="3"/>
        <v>2</v>
      </c>
      <c r="O58" s="55">
        <v>5.0</v>
      </c>
      <c r="P58" s="55">
        <v>7.0</v>
      </c>
      <c r="Q58" s="43">
        <f t="shared" si="2"/>
        <v>14</v>
      </c>
      <c r="R58" s="43"/>
      <c r="S58" s="43"/>
      <c r="T58" s="43"/>
      <c r="U58" s="55" t="s">
        <v>101</v>
      </c>
      <c r="V58" s="55" t="s">
        <v>2953</v>
      </c>
      <c r="W58" s="56" t="s">
        <v>46</v>
      </c>
      <c r="Z58" s="61"/>
      <c r="AA58" s="61"/>
      <c r="AB58" s="66"/>
      <c r="AC58" s="34"/>
      <c r="AD58" s="34"/>
    </row>
    <row r="59" ht="13.5" customHeight="1">
      <c r="A59" s="28">
        <v>53.0</v>
      </c>
      <c r="B59" s="269" t="s">
        <v>2234</v>
      </c>
      <c r="C59" s="269" t="s">
        <v>2954</v>
      </c>
      <c r="D59" s="269" t="s">
        <v>2955</v>
      </c>
      <c r="E59" s="270" t="s">
        <v>338</v>
      </c>
      <c r="F59" s="271">
        <v>51.0</v>
      </c>
      <c r="G59" s="271" t="s">
        <v>385</v>
      </c>
      <c r="H59" s="271" t="s">
        <v>484</v>
      </c>
      <c r="I59" s="271">
        <v>9.218982879E9</v>
      </c>
      <c r="J59" s="87">
        <v>25.0</v>
      </c>
      <c r="K59" s="55">
        <v>21.0</v>
      </c>
      <c r="L59" s="55">
        <v>0.0</v>
      </c>
      <c r="M59" s="55">
        <v>4.0</v>
      </c>
      <c r="N59" s="43">
        <f t="shared" si="3"/>
        <v>4</v>
      </c>
      <c r="O59" s="55">
        <v>7.0</v>
      </c>
      <c r="P59" s="55">
        <v>0.0</v>
      </c>
      <c r="Q59" s="43">
        <f t="shared" si="2"/>
        <v>11</v>
      </c>
      <c r="R59" s="43"/>
      <c r="S59" s="43"/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269" t="s">
        <v>2956</v>
      </c>
      <c r="C60" s="269" t="s">
        <v>2403</v>
      </c>
      <c r="D60" s="269" t="s">
        <v>2957</v>
      </c>
      <c r="E60" s="270" t="s">
        <v>338</v>
      </c>
      <c r="F60" s="271">
        <v>31.0</v>
      </c>
      <c r="G60" s="271" t="s">
        <v>339</v>
      </c>
      <c r="H60" s="271" t="s">
        <v>480</v>
      </c>
      <c r="I60" s="273" t="s">
        <v>2958</v>
      </c>
      <c r="J60" s="87">
        <v>27.0</v>
      </c>
      <c r="K60" s="55">
        <v>24.0</v>
      </c>
      <c r="L60" s="55">
        <v>0.0</v>
      </c>
      <c r="M60" s="55">
        <v>3.0</v>
      </c>
      <c r="N60" s="43">
        <f t="shared" si="3"/>
        <v>3</v>
      </c>
      <c r="O60" s="55">
        <v>5.0</v>
      </c>
      <c r="P60" s="55">
        <v>0.0</v>
      </c>
      <c r="Q60" s="43">
        <f t="shared" si="2"/>
        <v>8</v>
      </c>
      <c r="R60" s="43"/>
      <c r="S60" s="43"/>
      <c r="T60" s="43"/>
      <c r="U60" s="43"/>
      <c r="V60" s="43"/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269" t="s">
        <v>1444</v>
      </c>
      <c r="C61" s="269" t="s">
        <v>1395</v>
      </c>
      <c r="D61" s="269" t="s">
        <v>866</v>
      </c>
      <c r="E61" s="270" t="s">
        <v>338</v>
      </c>
      <c r="F61" s="271">
        <v>45.0</v>
      </c>
      <c r="G61" s="271" t="s">
        <v>339</v>
      </c>
      <c r="H61" s="271" t="s">
        <v>404</v>
      </c>
      <c r="I61" s="273" t="s">
        <v>2959</v>
      </c>
      <c r="J61" s="87">
        <v>21.0</v>
      </c>
      <c r="K61" s="55">
        <v>19.0</v>
      </c>
      <c r="L61" s="55">
        <v>0.0</v>
      </c>
      <c r="M61" s="55">
        <v>1.0</v>
      </c>
      <c r="N61" s="43">
        <f t="shared" si="3"/>
        <v>1</v>
      </c>
      <c r="O61" s="55">
        <v>11.0</v>
      </c>
      <c r="P61" s="55">
        <v>1.0</v>
      </c>
      <c r="Q61" s="43">
        <f t="shared" si="2"/>
        <v>13</v>
      </c>
      <c r="R61" s="43"/>
      <c r="S61" s="43"/>
      <c r="T61" s="43"/>
      <c r="U61" s="43"/>
      <c r="V61" s="43"/>
      <c r="W61" s="56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269" t="s">
        <v>2960</v>
      </c>
      <c r="C62" s="269" t="s">
        <v>2961</v>
      </c>
      <c r="D62" s="269" t="s">
        <v>2962</v>
      </c>
      <c r="E62" s="270" t="s">
        <v>338</v>
      </c>
      <c r="F62" s="271">
        <v>42.0</v>
      </c>
      <c r="G62" s="271" t="s">
        <v>339</v>
      </c>
      <c r="H62" s="271" t="s">
        <v>2658</v>
      </c>
      <c r="I62" s="273" t="s">
        <v>2963</v>
      </c>
      <c r="J62" s="87">
        <v>29.0</v>
      </c>
      <c r="K62" s="55">
        <v>20.0</v>
      </c>
      <c r="L62" s="55">
        <v>0.0</v>
      </c>
      <c r="M62" s="55">
        <v>6.0</v>
      </c>
      <c r="N62" s="43">
        <f t="shared" si="3"/>
        <v>6</v>
      </c>
      <c r="O62" s="55">
        <v>3.0</v>
      </c>
      <c r="P62" s="55">
        <v>3.0</v>
      </c>
      <c r="Q62" s="43">
        <f t="shared" si="2"/>
        <v>12</v>
      </c>
      <c r="R62" s="43"/>
      <c r="S62" s="43"/>
      <c r="T62" s="43"/>
      <c r="U62" s="43"/>
      <c r="V62" s="43"/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269" t="s">
        <v>1866</v>
      </c>
      <c r="C63" s="269" t="s">
        <v>76</v>
      </c>
      <c r="D63" s="269" t="s">
        <v>893</v>
      </c>
      <c r="E63" s="270" t="s">
        <v>338</v>
      </c>
      <c r="F63" s="271">
        <v>45.0</v>
      </c>
      <c r="G63" s="271" t="s">
        <v>362</v>
      </c>
      <c r="H63" s="271" t="s">
        <v>469</v>
      </c>
      <c r="I63" s="273" t="s">
        <v>2964</v>
      </c>
      <c r="J63" s="87">
        <v>30.0</v>
      </c>
      <c r="K63" s="55">
        <v>18.0</v>
      </c>
      <c r="L63" s="55">
        <v>0.0</v>
      </c>
      <c r="M63" s="55">
        <v>1.0</v>
      </c>
      <c r="N63" s="43">
        <f t="shared" si="3"/>
        <v>1</v>
      </c>
      <c r="O63" s="55">
        <v>1.0</v>
      </c>
      <c r="P63" s="55">
        <v>11.0</v>
      </c>
      <c r="Q63" s="43">
        <f t="shared" si="2"/>
        <v>13</v>
      </c>
      <c r="R63" s="43"/>
      <c r="S63" s="55" t="s">
        <v>277</v>
      </c>
      <c r="T63" s="43"/>
      <c r="U63" s="43"/>
      <c r="V63" s="43"/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269" t="s">
        <v>651</v>
      </c>
      <c r="C64" s="269" t="s">
        <v>2965</v>
      </c>
      <c r="D64" s="269" t="s">
        <v>2966</v>
      </c>
      <c r="E64" s="270" t="s">
        <v>338</v>
      </c>
      <c r="F64" s="271">
        <v>45.0</v>
      </c>
      <c r="G64" s="271" t="s">
        <v>476</v>
      </c>
      <c r="H64" s="271" t="s">
        <v>480</v>
      </c>
      <c r="I64" s="271">
        <v>9.479663012E9</v>
      </c>
      <c r="J64" s="87">
        <v>24.0</v>
      </c>
      <c r="K64" s="55">
        <v>16.0</v>
      </c>
      <c r="L64" s="55">
        <v>0.0</v>
      </c>
      <c r="M64" s="55">
        <v>8.0</v>
      </c>
      <c r="N64" s="55">
        <v>8.0</v>
      </c>
      <c r="O64" s="55">
        <v>8.0</v>
      </c>
      <c r="P64" s="55">
        <v>0.0</v>
      </c>
      <c r="Q64" s="43">
        <f t="shared" si="2"/>
        <v>16</v>
      </c>
      <c r="R64" s="43"/>
      <c r="S64" s="43"/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269" t="s">
        <v>2967</v>
      </c>
      <c r="C65" s="269" t="s">
        <v>2968</v>
      </c>
      <c r="D65" s="269" t="s">
        <v>1921</v>
      </c>
      <c r="E65" s="270" t="s">
        <v>338</v>
      </c>
      <c r="F65" s="271">
        <v>47.0</v>
      </c>
      <c r="G65" s="271" t="s">
        <v>339</v>
      </c>
      <c r="H65" s="271" t="s">
        <v>340</v>
      </c>
      <c r="I65" s="271">
        <v>9.295097066E9</v>
      </c>
      <c r="J65" s="87">
        <v>16.0</v>
      </c>
      <c r="K65" s="55">
        <v>11.0</v>
      </c>
      <c r="L65" s="55">
        <v>2.0</v>
      </c>
      <c r="M65" s="55">
        <v>1.0</v>
      </c>
      <c r="N65" s="43">
        <f t="shared" ref="N65:N68" si="4">SUM(L65,M65)</f>
        <v>3</v>
      </c>
      <c r="O65" s="55">
        <v>16.0</v>
      </c>
      <c r="P65" s="55">
        <v>2.0</v>
      </c>
      <c r="Q65" s="43">
        <f t="shared" si="2"/>
        <v>21</v>
      </c>
      <c r="R65" s="43"/>
      <c r="S65" s="55" t="s">
        <v>88</v>
      </c>
      <c r="T65" s="43"/>
      <c r="U65" s="43"/>
      <c r="V65" s="43"/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269" t="s">
        <v>2969</v>
      </c>
      <c r="C66" s="269" t="s">
        <v>2970</v>
      </c>
      <c r="D66" s="269" t="s">
        <v>2971</v>
      </c>
      <c r="E66" s="270" t="s">
        <v>338</v>
      </c>
      <c r="F66" s="271">
        <v>43.0</v>
      </c>
      <c r="G66" s="271" t="s">
        <v>339</v>
      </c>
      <c r="H66" s="271" t="s">
        <v>349</v>
      </c>
      <c r="I66" s="273" t="s">
        <v>2972</v>
      </c>
      <c r="J66" s="87">
        <v>24.0</v>
      </c>
      <c r="K66" s="55">
        <v>15.0</v>
      </c>
      <c r="L66" s="55">
        <v>0.0</v>
      </c>
      <c r="M66" s="55">
        <v>4.0</v>
      </c>
      <c r="N66" s="43">
        <f t="shared" si="4"/>
        <v>4</v>
      </c>
      <c r="O66" s="55">
        <v>6.0</v>
      </c>
      <c r="P66" s="55">
        <v>5.0</v>
      </c>
      <c r="Q66" s="43">
        <f t="shared" si="2"/>
        <v>15</v>
      </c>
      <c r="R66" s="43"/>
      <c r="S66" s="43"/>
      <c r="T66" s="43"/>
      <c r="U66" s="43"/>
      <c r="V66" s="43"/>
      <c r="W66" s="56" t="s">
        <v>46</v>
      </c>
      <c r="Z66" s="61"/>
      <c r="AA66" s="61"/>
      <c r="AB66" s="66"/>
      <c r="AC66" s="34"/>
      <c r="AD66" s="34"/>
    </row>
    <row r="67" ht="13.5" customHeight="1">
      <c r="A67" s="28">
        <v>61.0</v>
      </c>
      <c r="B67" s="269" t="s">
        <v>2973</v>
      </c>
      <c r="C67" s="269" t="s">
        <v>2974</v>
      </c>
      <c r="D67" s="269" t="s">
        <v>2975</v>
      </c>
      <c r="E67" s="270" t="s">
        <v>338</v>
      </c>
      <c r="F67" s="271">
        <v>39.0</v>
      </c>
      <c r="G67" s="271" t="s">
        <v>476</v>
      </c>
      <c r="H67" s="271" t="s">
        <v>480</v>
      </c>
      <c r="I67" s="273" t="s">
        <v>2976</v>
      </c>
      <c r="J67" s="87">
        <v>30.0</v>
      </c>
      <c r="K67" s="55">
        <v>22.0</v>
      </c>
      <c r="L67" s="55">
        <v>1.0</v>
      </c>
      <c r="M67" s="55">
        <v>6.0</v>
      </c>
      <c r="N67" s="43">
        <f t="shared" si="4"/>
        <v>7</v>
      </c>
      <c r="O67" s="55">
        <v>2.0</v>
      </c>
      <c r="P67" s="55">
        <v>1.0</v>
      </c>
      <c r="Q67" s="43">
        <f t="shared" si="2"/>
        <v>10</v>
      </c>
      <c r="R67" s="43"/>
      <c r="S67" s="43"/>
      <c r="T67" s="43"/>
      <c r="U67" s="43"/>
      <c r="V67" s="43"/>
      <c r="W67" s="56" t="s">
        <v>116</v>
      </c>
      <c r="Z67" s="61"/>
      <c r="AA67" s="61"/>
      <c r="AB67" s="66"/>
      <c r="AC67" s="34"/>
      <c r="AD67" s="34"/>
    </row>
    <row r="68" ht="13.5" customHeight="1">
      <c r="A68" s="28">
        <v>62.0</v>
      </c>
      <c r="B68" s="269" t="s">
        <v>2977</v>
      </c>
      <c r="C68" s="269" t="s">
        <v>2978</v>
      </c>
      <c r="D68" s="269" t="s">
        <v>2979</v>
      </c>
      <c r="E68" s="270" t="s">
        <v>338</v>
      </c>
      <c r="F68" s="271">
        <v>42.0</v>
      </c>
      <c r="G68" s="271" t="s">
        <v>339</v>
      </c>
      <c r="H68" s="271" t="s">
        <v>480</v>
      </c>
      <c r="I68" s="273" t="s">
        <v>2980</v>
      </c>
      <c r="J68" s="87">
        <v>27.0</v>
      </c>
      <c r="K68" s="55">
        <v>22.0</v>
      </c>
      <c r="L68" s="55">
        <v>0.0</v>
      </c>
      <c r="M68" s="55">
        <v>1.0</v>
      </c>
      <c r="N68" s="43">
        <f t="shared" si="4"/>
        <v>1</v>
      </c>
      <c r="O68" s="55">
        <v>3.0</v>
      </c>
      <c r="P68" s="55">
        <v>4.0</v>
      </c>
      <c r="Q68" s="43">
        <f t="shared" si="2"/>
        <v>8</v>
      </c>
      <c r="R68" s="43"/>
      <c r="S68" s="55" t="s">
        <v>88</v>
      </c>
      <c r="T68" s="43"/>
      <c r="U68" s="43"/>
      <c r="V68" s="43"/>
      <c r="W68" s="56" t="s">
        <v>46</v>
      </c>
      <c r="Z68" s="61"/>
      <c r="AA68" s="61"/>
      <c r="AB68" s="66"/>
      <c r="AC68" s="34"/>
      <c r="AD68" s="34"/>
    </row>
    <row r="69" ht="13.5" customHeight="1">
      <c r="A69" s="28">
        <v>63.0</v>
      </c>
      <c r="B69" s="269" t="s">
        <v>2981</v>
      </c>
      <c r="C69" s="269" t="s">
        <v>2982</v>
      </c>
      <c r="D69" s="269" t="s">
        <v>2983</v>
      </c>
      <c r="E69" s="270" t="s">
        <v>338</v>
      </c>
      <c r="F69" s="271">
        <v>50.0</v>
      </c>
      <c r="G69" s="271" t="s">
        <v>476</v>
      </c>
      <c r="H69" s="271" t="s">
        <v>404</v>
      </c>
      <c r="I69" s="273" t="s">
        <v>2984</v>
      </c>
      <c r="J69" s="87">
        <v>24.0</v>
      </c>
      <c r="K69" s="55">
        <v>17.0</v>
      </c>
      <c r="L69" s="55">
        <v>0.0</v>
      </c>
      <c r="M69" s="55">
        <v>2.0</v>
      </c>
      <c r="N69" s="55">
        <v>0.0</v>
      </c>
      <c r="O69" s="55">
        <v>8.0</v>
      </c>
      <c r="P69" s="55">
        <v>5.0</v>
      </c>
      <c r="Q69" s="43">
        <f t="shared" si="2"/>
        <v>13</v>
      </c>
      <c r="R69" s="43"/>
      <c r="S69" s="55" t="s">
        <v>88</v>
      </c>
      <c r="T69" s="43"/>
      <c r="U69" s="43"/>
      <c r="V69" s="43"/>
      <c r="W69" s="56" t="s">
        <v>46</v>
      </c>
      <c r="Z69" s="61"/>
      <c r="AA69" s="61"/>
      <c r="AB69" s="66"/>
      <c r="AC69" s="34"/>
      <c r="AD69" s="34"/>
    </row>
    <row r="70" ht="13.5" customHeight="1">
      <c r="A70" s="28">
        <v>64.0</v>
      </c>
      <c r="B70" s="269" t="s">
        <v>2985</v>
      </c>
      <c r="C70" s="269" t="s">
        <v>2986</v>
      </c>
      <c r="D70" s="269" t="s">
        <v>2987</v>
      </c>
      <c r="E70" s="270" t="s">
        <v>338</v>
      </c>
      <c r="F70" s="271">
        <v>27.0</v>
      </c>
      <c r="G70" s="271" t="s">
        <v>339</v>
      </c>
      <c r="H70" s="271" t="s">
        <v>349</v>
      </c>
      <c r="I70" s="271">
        <v>9.638982292E9</v>
      </c>
      <c r="J70" s="87">
        <v>31.0</v>
      </c>
      <c r="K70" s="55">
        <v>27.0</v>
      </c>
      <c r="L70" s="55">
        <v>1.0</v>
      </c>
      <c r="M70" s="55">
        <v>1.0</v>
      </c>
      <c r="N70" s="43">
        <f t="shared" ref="N70:N85" si="5">SUM(L70,M70)</f>
        <v>2</v>
      </c>
      <c r="O70" s="55">
        <v>1.0</v>
      </c>
      <c r="P70" s="55">
        <v>2.0</v>
      </c>
      <c r="Q70" s="43">
        <f t="shared" si="2"/>
        <v>5</v>
      </c>
      <c r="R70" s="43"/>
      <c r="S70" s="43"/>
      <c r="T70" s="43"/>
      <c r="U70" s="43"/>
      <c r="V70" s="43"/>
      <c r="W70" s="56" t="s">
        <v>46</v>
      </c>
      <c r="Z70" s="61"/>
      <c r="AA70" s="61"/>
      <c r="AB70" s="66"/>
      <c r="AC70" s="34"/>
      <c r="AD70" s="34"/>
    </row>
    <row r="71" ht="13.5" customHeight="1">
      <c r="A71" s="28">
        <v>65.0</v>
      </c>
      <c r="B71" s="269" t="s">
        <v>943</v>
      </c>
      <c r="C71" s="269" t="s">
        <v>2968</v>
      </c>
      <c r="D71" s="269" t="s">
        <v>2988</v>
      </c>
      <c r="E71" s="270" t="s">
        <v>338</v>
      </c>
      <c r="F71" s="271">
        <v>43.0</v>
      </c>
      <c r="G71" s="271" t="s">
        <v>339</v>
      </c>
      <c r="H71" s="271" t="s">
        <v>349</v>
      </c>
      <c r="I71" s="271">
        <v>9.153846413E9</v>
      </c>
      <c r="J71" s="87">
        <v>30.0</v>
      </c>
      <c r="K71" s="55">
        <v>29.0</v>
      </c>
      <c r="L71" s="55">
        <v>0.0</v>
      </c>
      <c r="M71" s="55">
        <v>1.0</v>
      </c>
      <c r="N71" s="43">
        <f t="shared" si="5"/>
        <v>1</v>
      </c>
      <c r="O71" s="55">
        <v>2.0</v>
      </c>
      <c r="P71" s="55">
        <v>0.0</v>
      </c>
      <c r="Q71" s="43">
        <f t="shared" si="2"/>
        <v>3</v>
      </c>
      <c r="R71" s="43"/>
      <c r="S71" s="43"/>
      <c r="T71" s="43"/>
      <c r="U71" s="43"/>
      <c r="V71" s="43"/>
      <c r="W71" s="56" t="s">
        <v>46</v>
      </c>
      <c r="Z71" s="61"/>
      <c r="AA71" s="61"/>
      <c r="AB71" s="66"/>
      <c r="AC71" s="34"/>
      <c r="AD71" s="34"/>
    </row>
    <row r="72" ht="13.5" customHeight="1">
      <c r="A72" s="28">
        <v>66.0</v>
      </c>
      <c r="B72" s="269" t="s">
        <v>50</v>
      </c>
      <c r="C72" s="269" t="s">
        <v>2989</v>
      </c>
      <c r="D72" s="269" t="s">
        <v>2990</v>
      </c>
      <c r="E72" s="270" t="s">
        <v>338</v>
      </c>
      <c r="F72" s="271">
        <v>54.0</v>
      </c>
      <c r="G72" s="271" t="s">
        <v>1690</v>
      </c>
      <c r="H72" s="271" t="s">
        <v>2991</v>
      </c>
      <c r="I72" s="271">
        <v>9.202587066E9</v>
      </c>
      <c r="J72" s="87">
        <v>25.0</v>
      </c>
      <c r="K72" s="55">
        <v>11.0</v>
      </c>
      <c r="L72" s="55">
        <v>0.0</v>
      </c>
      <c r="M72" s="55">
        <v>14.0</v>
      </c>
      <c r="N72" s="43">
        <f t="shared" si="5"/>
        <v>14</v>
      </c>
      <c r="O72" s="55">
        <v>7.0</v>
      </c>
      <c r="P72" s="55">
        <v>0.0</v>
      </c>
      <c r="Q72" s="43">
        <f t="shared" si="2"/>
        <v>21</v>
      </c>
      <c r="R72" s="43"/>
      <c r="S72" s="43"/>
      <c r="T72" s="43"/>
      <c r="U72" s="43"/>
      <c r="V72" s="43"/>
      <c r="W72" s="56" t="s">
        <v>46</v>
      </c>
      <c r="Z72" s="61"/>
      <c r="AA72" s="61"/>
      <c r="AB72" s="66"/>
      <c r="AC72" s="34"/>
      <c r="AD72" s="34"/>
    </row>
    <row r="73" ht="13.5" customHeight="1">
      <c r="A73" s="28">
        <v>67.0</v>
      </c>
      <c r="B73" s="269" t="s">
        <v>2992</v>
      </c>
      <c r="C73" s="269" t="s">
        <v>2993</v>
      </c>
      <c r="D73" s="269" t="s">
        <v>2994</v>
      </c>
      <c r="E73" s="270" t="s">
        <v>338</v>
      </c>
      <c r="F73" s="271">
        <v>45.0</v>
      </c>
      <c r="G73" s="271" t="s">
        <v>476</v>
      </c>
      <c r="H73" s="271" t="s">
        <v>480</v>
      </c>
      <c r="I73" s="273" t="s">
        <v>2995</v>
      </c>
      <c r="J73" s="87">
        <v>25.0</v>
      </c>
      <c r="K73" s="55">
        <v>20.0</v>
      </c>
      <c r="L73" s="55">
        <v>0.0</v>
      </c>
      <c r="M73" s="55">
        <v>5.0</v>
      </c>
      <c r="N73" s="43">
        <f t="shared" si="5"/>
        <v>5</v>
      </c>
      <c r="O73" s="55">
        <v>7.0</v>
      </c>
      <c r="P73" s="55">
        <v>0.0</v>
      </c>
      <c r="Q73" s="43">
        <f t="shared" si="2"/>
        <v>12</v>
      </c>
      <c r="R73" s="43"/>
      <c r="S73" s="43"/>
      <c r="T73" s="43"/>
      <c r="U73" s="43"/>
      <c r="V73" s="43"/>
      <c r="W73" s="56" t="s">
        <v>46</v>
      </c>
      <c r="Z73" s="61"/>
      <c r="AA73" s="61"/>
      <c r="AB73" s="66"/>
      <c r="AC73" s="34"/>
      <c r="AD73" s="34"/>
    </row>
    <row r="74" ht="13.5" customHeight="1">
      <c r="A74" s="28">
        <v>68.0</v>
      </c>
      <c r="B74" s="269" t="s">
        <v>2664</v>
      </c>
      <c r="C74" s="269" t="s">
        <v>2996</v>
      </c>
      <c r="D74" s="269" t="s">
        <v>171</v>
      </c>
      <c r="E74" s="270" t="s">
        <v>338</v>
      </c>
      <c r="F74" s="271">
        <v>49.0</v>
      </c>
      <c r="G74" s="271" t="s">
        <v>1690</v>
      </c>
      <c r="H74" s="271" t="s">
        <v>2997</v>
      </c>
      <c r="I74" s="271">
        <v>9.2308218E9</v>
      </c>
      <c r="J74" s="87">
        <v>18.0</v>
      </c>
      <c r="K74" s="55">
        <v>14.0</v>
      </c>
      <c r="L74" s="55">
        <v>1.0</v>
      </c>
      <c r="M74" s="55">
        <v>2.0</v>
      </c>
      <c r="N74" s="43">
        <f t="shared" si="5"/>
        <v>3</v>
      </c>
      <c r="O74" s="55">
        <v>14.0</v>
      </c>
      <c r="P74" s="55">
        <v>1.0</v>
      </c>
      <c r="Q74" s="43">
        <f t="shared" si="2"/>
        <v>18</v>
      </c>
      <c r="R74" s="43"/>
      <c r="S74" s="43"/>
      <c r="T74" s="43"/>
      <c r="U74" s="43"/>
      <c r="V74" s="43"/>
      <c r="W74" s="56" t="s">
        <v>46</v>
      </c>
      <c r="Z74" s="61"/>
      <c r="AA74" s="61"/>
      <c r="AB74" s="66"/>
      <c r="AC74" s="34"/>
      <c r="AD74" s="34"/>
    </row>
    <row r="75" ht="13.5" customHeight="1">
      <c r="A75" s="28">
        <v>69.0</v>
      </c>
      <c r="B75" s="269" t="s">
        <v>2998</v>
      </c>
      <c r="C75" s="269" t="s">
        <v>2999</v>
      </c>
      <c r="D75" s="269" t="s">
        <v>3000</v>
      </c>
      <c r="E75" s="270" t="s">
        <v>338</v>
      </c>
      <c r="F75" s="271">
        <v>33.0</v>
      </c>
      <c r="G75" s="271" t="s">
        <v>339</v>
      </c>
      <c r="H75" s="271" t="s">
        <v>484</v>
      </c>
      <c r="I75" s="271">
        <v>9.606976538E9</v>
      </c>
      <c r="J75" s="87">
        <v>30.0</v>
      </c>
      <c r="K75" s="55">
        <v>27.0</v>
      </c>
      <c r="L75" s="55">
        <v>0.0</v>
      </c>
      <c r="M75" s="55">
        <v>3.0</v>
      </c>
      <c r="N75" s="43">
        <f t="shared" si="5"/>
        <v>3</v>
      </c>
      <c r="O75" s="55">
        <v>2.0</v>
      </c>
      <c r="P75" s="55">
        <v>0.0</v>
      </c>
      <c r="Q75" s="43">
        <f t="shared" si="2"/>
        <v>5</v>
      </c>
      <c r="R75" s="43"/>
      <c r="S75" s="43"/>
      <c r="T75" s="43"/>
      <c r="U75" s="43"/>
      <c r="V75" s="43"/>
      <c r="W75" s="56" t="s">
        <v>46</v>
      </c>
      <c r="Z75" s="61"/>
      <c r="AA75" s="61"/>
      <c r="AB75" s="66"/>
      <c r="AC75" s="34"/>
      <c r="AD75" s="34"/>
    </row>
    <row r="76" ht="13.5" customHeight="1">
      <c r="A76" s="28">
        <v>70.0</v>
      </c>
      <c r="B76" s="272" t="s">
        <v>492</v>
      </c>
      <c r="C76" s="269" t="s">
        <v>3001</v>
      </c>
      <c r="D76" s="269" t="s">
        <v>3002</v>
      </c>
      <c r="E76" s="270" t="s">
        <v>338</v>
      </c>
      <c r="F76" s="271">
        <v>28.0</v>
      </c>
      <c r="G76" s="271" t="s">
        <v>476</v>
      </c>
      <c r="H76" s="271" t="s">
        <v>2672</v>
      </c>
      <c r="I76" s="271">
        <v>9.650470754E9</v>
      </c>
      <c r="J76" s="42"/>
      <c r="K76" s="43"/>
      <c r="L76" s="43"/>
      <c r="M76" s="43"/>
      <c r="N76" s="43">
        <f t="shared" si="5"/>
        <v>0</v>
      </c>
      <c r="O76" s="43"/>
      <c r="P76" s="43"/>
      <c r="Q76" s="43">
        <f t="shared" si="2"/>
        <v>0</v>
      </c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269" t="s">
        <v>3003</v>
      </c>
      <c r="C77" s="269" t="s">
        <v>3004</v>
      </c>
      <c r="D77" s="269" t="s">
        <v>3005</v>
      </c>
      <c r="E77" s="270" t="s">
        <v>338</v>
      </c>
      <c r="F77" s="271">
        <v>40.0</v>
      </c>
      <c r="G77" s="271" t="s">
        <v>339</v>
      </c>
      <c r="H77" s="271" t="s">
        <v>349</v>
      </c>
      <c r="I77" s="273" t="s">
        <v>3006</v>
      </c>
      <c r="J77" s="54">
        <v>16.0</v>
      </c>
      <c r="K77" s="55">
        <v>12.0</v>
      </c>
      <c r="L77" s="55">
        <v>1.0</v>
      </c>
      <c r="M77" s="55">
        <v>2.0</v>
      </c>
      <c r="N77" s="43">
        <f t="shared" si="5"/>
        <v>3</v>
      </c>
      <c r="O77" s="55">
        <v>16.0</v>
      </c>
      <c r="P77" s="55">
        <v>1.0</v>
      </c>
      <c r="Q77" s="43">
        <f t="shared" si="2"/>
        <v>20</v>
      </c>
      <c r="R77" s="43"/>
      <c r="S77" s="55" t="s">
        <v>88</v>
      </c>
      <c r="T77" s="43"/>
      <c r="U77" s="43"/>
      <c r="V77" s="43"/>
      <c r="W77" s="56" t="s">
        <v>46</v>
      </c>
      <c r="Z77" s="61"/>
      <c r="AA77" s="61"/>
      <c r="AB77" s="66"/>
      <c r="AC77" s="34"/>
      <c r="AD77" s="34"/>
    </row>
    <row r="78" ht="13.5" customHeight="1">
      <c r="A78" s="28">
        <v>72.0</v>
      </c>
      <c r="B78" s="269" t="s">
        <v>3007</v>
      </c>
      <c r="C78" s="269" t="s">
        <v>3008</v>
      </c>
      <c r="D78" s="269" t="s">
        <v>3009</v>
      </c>
      <c r="E78" s="270" t="s">
        <v>338</v>
      </c>
      <c r="F78" s="271">
        <v>45.0</v>
      </c>
      <c r="G78" s="271" t="s">
        <v>476</v>
      </c>
      <c r="H78" s="271" t="s">
        <v>480</v>
      </c>
      <c r="I78" s="273" t="s">
        <v>3010</v>
      </c>
      <c r="J78" s="54">
        <v>23.0</v>
      </c>
      <c r="K78" s="55">
        <v>22.0</v>
      </c>
      <c r="L78" s="55">
        <v>0.0</v>
      </c>
      <c r="M78" s="55">
        <v>0.0</v>
      </c>
      <c r="N78" s="43">
        <f t="shared" si="5"/>
        <v>0</v>
      </c>
      <c r="O78" s="55">
        <v>9.0</v>
      </c>
      <c r="P78" s="55">
        <v>1.0</v>
      </c>
      <c r="Q78" s="43">
        <f t="shared" si="2"/>
        <v>10</v>
      </c>
      <c r="R78" s="43"/>
      <c r="S78" s="43"/>
      <c r="T78" s="43"/>
      <c r="U78" s="43"/>
      <c r="V78" s="43"/>
      <c r="W78" s="56" t="s">
        <v>46</v>
      </c>
      <c r="Z78" s="61"/>
      <c r="AA78" s="61"/>
      <c r="AB78" s="66"/>
      <c r="AC78" s="34"/>
      <c r="AD78" s="34"/>
    </row>
    <row r="79" ht="13.5" customHeight="1">
      <c r="A79" s="28">
        <v>73.0</v>
      </c>
      <c r="B79" s="280" t="s">
        <v>3011</v>
      </c>
      <c r="C79" s="281" t="s">
        <v>3012</v>
      </c>
      <c r="D79" s="281" t="s">
        <v>3013</v>
      </c>
      <c r="E79" s="282" t="s">
        <v>3014</v>
      </c>
      <c r="F79" s="283">
        <v>27.0</v>
      </c>
      <c r="G79" s="283" t="s">
        <v>339</v>
      </c>
      <c r="H79" s="283" t="s">
        <v>349</v>
      </c>
      <c r="I79" s="284"/>
      <c r="J79" s="54">
        <v>28.0</v>
      </c>
      <c r="K79" s="55">
        <v>22.0</v>
      </c>
      <c r="L79" s="55">
        <v>0.0</v>
      </c>
      <c r="M79" s="55">
        <v>4.0</v>
      </c>
      <c r="N79" s="43">
        <f t="shared" si="5"/>
        <v>4</v>
      </c>
      <c r="O79" s="55">
        <v>6.0</v>
      </c>
      <c r="P79" s="55">
        <v>0.0</v>
      </c>
      <c r="Q79" s="43">
        <f t="shared" si="2"/>
        <v>10</v>
      </c>
      <c r="R79" s="43"/>
      <c r="S79" s="43"/>
      <c r="T79" s="43"/>
      <c r="U79" s="43"/>
      <c r="V79" s="43"/>
      <c r="W79" s="56" t="s">
        <v>46</v>
      </c>
      <c r="Z79" s="61"/>
      <c r="AA79" s="61"/>
      <c r="AB79" s="66"/>
      <c r="AC79" s="34"/>
      <c r="AD79" s="34"/>
    </row>
    <row r="80" ht="13.5" customHeight="1">
      <c r="A80" s="28">
        <v>74.0</v>
      </c>
      <c r="B80" s="285"/>
      <c r="C80" s="286"/>
      <c r="D80" s="286"/>
      <c r="E80" s="47"/>
      <c r="F80" s="284"/>
      <c r="G80" s="284"/>
      <c r="H80" s="284"/>
      <c r="I80" s="284"/>
      <c r="J80" s="42"/>
      <c r="K80" s="43"/>
      <c r="L80" s="43"/>
      <c r="M80" s="43"/>
      <c r="N80" s="43">
        <f t="shared" si="5"/>
        <v>0</v>
      </c>
      <c r="O80" s="43"/>
      <c r="P80" s="43"/>
      <c r="Q80" s="43">
        <f t="shared" si="2"/>
        <v>0</v>
      </c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285"/>
      <c r="C81" s="286"/>
      <c r="D81" s="286"/>
      <c r="E81" s="47"/>
      <c r="F81" s="284"/>
      <c r="G81" s="284"/>
      <c r="H81" s="284"/>
      <c r="I81" s="284"/>
      <c r="J81" s="42"/>
      <c r="K81" s="43"/>
      <c r="L81" s="43"/>
      <c r="M81" s="43"/>
      <c r="N81" s="43">
        <f t="shared" si="5"/>
        <v>0</v>
      </c>
      <c r="O81" s="43"/>
      <c r="P81" s="43"/>
      <c r="Q81" s="43">
        <f t="shared" si="2"/>
        <v>0</v>
      </c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285"/>
      <c r="C82" s="286"/>
      <c r="D82" s="286"/>
      <c r="E82" s="47"/>
      <c r="F82" s="284"/>
      <c r="G82" s="284"/>
      <c r="H82" s="284"/>
      <c r="I82" s="284"/>
      <c r="J82" s="42"/>
      <c r="K82" s="43"/>
      <c r="L82" s="43"/>
      <c r="M82" s="43"/>
      <c r="N82" s="43">
        <f t="shared" si="5"/>
        <v>0</v>
      </c>
      <c r="O82" s="43"/>
      <c r="P82" s="43"/>
      <c r="Q82" s="43">
        <f t="shared" si="2"/>
        <v>0</v>
      </c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285"/>
      <c r="C83" s="286"/>
      <c r="D83" s="286"/>
      <c r="E83" s="47"/>
      <c r="F83" s="284"/>
      <c r="G83" s="284"/>
      <c r="H83" s="284"/>
      <c r="I83" s="284"/>
      <c r="J83" s="42"/>
      <c r="K83" s="43"/>
      <c r="L83" s="43"/>
      <c r="M83" s="43"/>
      <c r="N83" s="43">
        <f t="shared" si="5"/>
        <v>0</v>
      </c>
      <c r="O83" s="43"/>
      <c r="P83" s="43"/>
      <c r="Q83" s="43">
        <f t="shared" si="2"/>
        <v>0</v>
      </c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>
        <f t="shared" si="5"/>
        <v>0</v>
      </c>
      <c r="O84" s="43"/>
      <c r="P84" s="43"/>
      <c r="Q84" s="43">
        <f t="shared" si="2"/>
        <v>0</v>
      </c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>
        <f t="shared" si="5"/>
        <v>0</v>
      </c>
      <c r="O85" s="43"/>
      <c r="P85" s="43"/>
      <c r="Q85" s="43">
        <f t="shared" si="2"/>
        <v>0</v>
      </c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8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4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6">SUM(J7:J156)</f>
        <v>1692</v>
      </c>
      <c r="K157" s="123">
        <f t="shared" si="6"/>
        <v>1313</v>
      </c>
      <c r="L157" s="123">
        <f t="shared" si="6"/>
        <v>35</v>
      </c>
      <c r="M157" s="123">
        <f t="shared" si="6"/>
        <v>158</v>
      </c>
      <c r="N157" s="123">
        <f t="shared" si="6"/>
        <v>191</v>
      </c>
      <c r="O157" s="123">
        <f t="shared" si="6"/>
        <v>565</v>
      </c>
      <c r="P157" s="123">
        <f t="shared" si="6"/>
        <v>180</v>
      </c>
      <c r="Q157" s="123">
        <f t="shared" si="6"/>
        <v>936</v>
      </c>
      <c r="R157" s="124"/>
      <c r="S157" s="124"/>
      <c r="T157" s="125"/>
      <c r="U157" s="145" t="s">
        <v>330</v>
      </c>
      <c r="V157" s="5"/>
      <c r="W157" s="126">
        <f>COUNTIF(W7:W156,"YES")</f>
        <v>70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O91 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6.13"/>
    <col customWidth="1" min="3" max="3" width="17.13"/>
    <col customWidth="1" min="4" max="4" width="15.75"/>
    <col customWidth="1" min="5" max="5" width="14.63"/>
    <col customWidth="1" min="6" max="6" width="8.63"/>
    <col customWidth="1" min="7" max="7" width="13.5"/>
    <col customWidth="1" min="8" max="8" width="15.88"/>
    <col customWidth="1" min="9" max="9" width="17.38"/>
    <col customWidth="1" min="10" max="10" width="14.38"/>
    <col customWidth="1" min="11" max="11" width="14.13"/>
    <col customWidth="1" min="12" max="12" width="12.75"/>
    <col customWidth="1" min="13" max="13" width="12.38"/>
    <col customWidth="1" min="14" max="20" width="8.63"/>
    <col customWidth="1" min="21" max="21" width="12.88"/>
    <col customWidth="1" min="22" max="22" width="18.8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7" t="s">
        <v>3015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7" t="s">
        <v>3016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7" t="s">
        <v>3017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3018</v>
      </c>
      <c r="C7" s="37" t="s">
        <v>3019</v>
      </c>
      <c r="D7" s="37" t="s">
        <v>3020</v>
      </c>
      <c r="E7" s="133" t="s">
        <v>338</v>
      </c>
      <c r="F7" s="134">
        <v>47.0</v>
      </c>
      <c r="G7" s="134" t="s">
        <v>476</v>
      </c>
      <c r="H7" s="134" t="s">
        <v>663</v>
      </c>
      <c r="I7" s="134">
        <v>9.209297292E9</v>
      </c>
      <c r="J7" s="54">
        <v>29.0</v>
      </c>
      <c r="K7" s="55">
        <v>23.0</v>
      </c>
      <c r="L7" s="55">
        <v>0.0</v>
      </c>
      <c r="M7" s="55">
        <v>3.0</v>
      </c>
      <c r="N7" s="43">
        <f t="shared" ref="N7:N31" si="1">L7+M7</f>
        <v>3</v>
      </c>
      <c r="O7" s="55">
        <v>3.0</v>
      </c>
      <c r="P7" s="55">
        <v>3.0</v>
      </c>
      <c r="Q7" s="43">
        <f t="shared" ref="Q7:Q31" si="2">N7+O7+P7</f>
        <v>9</v>
      </c>
      <c r="R7" s="43"/>
      <c r="S7" s="43"/>
      <c r="T7" s="43"/>
      <c r="U7" s="43"/>
      <c r="V7" s="149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3021</v>
      </c>
      <c r="C8" s="37" t="s">
        <v>3022</v>
      </c>
      <c r="D8" s="37" t="s">
        <v>3023</v>
      </c>
      <c r="E8" s="133" t="s">
        <v>338</v>
      </c>
      <c r="F8" s="134">
        <v>29.0</v>
      </c>
      <c r="G8" s="134" t="s">
        <v>584</v>
      </c>
      <c r="H8" s="134" t="s">
        <v>663</v>
      </c>
      <c r="I8" s="134">
        <v>9.214356724E9</v>
      </c>
      <c r="J8" s="42"/>
      <c r="K8" s="43"/>
      <c r="L8" s="43"/>
      <c r="M8" s="43"/>
      <c r="N8" s="43">
        <f t="shared" si="1"/>
        <v>0</v>
      </c>
      <c r="O8" s="43"/>
      <c r="P8" s="43"/>
      <c r="Q8" s="43">
        <f t="shared" si="2"/>
        <v>0</v>
      </c>
      <c r="R8" s="43"/>
      <c r="S8" s="43"/>
      <c r="T8" s="43"/>
      <c r="U8" s="43"/>
      <c r="V8" s="149"/>
      <c r="W8" s="44"/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151" t="s">
        <v>1287</v>
      </c>
      <c r="C9" s="37" t="s">
        <v>3024</v>
      </c>
      <c r="D9" s="37" t="s">
        <v>3025</v>
      </c>
      <c r="E9" s="133" t="s">
        <v>338</v>
      </c>
      <c r="F9" s="134">
        <v>29.0</v>
      </c>
      <c r="G9" s="134" t="s">
        <v>476</v>
      </c>
      <c r="H9" s="134" t="s">
        <v>663</v>
      </c>
      <c r="I9" s="134">
        <v>9.47250447E9</v>
      </c>
      <c r="J9" s="54">
        <v>31.0</v>
      </c>
      <c r="K9" s="55">
        <v>29.0</v>
      </c>
      <c r="L9" s="55">
        <v>0.0</v>
      </c>
      <c r="M9" s="55">
        <v>0.0</v>
      </c>
      <c r="N9" s="43">
        <f t="shared" si="1"/>
        <v>0</v>
      </c>
      <c r="O9" s="55">
        <v>0.0</v>
      </c>
      <c r="P9" s="55">
        <v>2.0</v>
      </c>
      <c r="Q9" s="43">
        <f t="shared" si="2"/>
        <v>2</v>
      </c>
      <c r="R9" s="43"/>
      <c r="S9" s="43"/>
      <c r="T9" s="43"/>
      <c r="U9" s="43"/>
      <c r="V9" s="153" t="s">
        <v>3026</v>
      </c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151" t="s">
        <v>3027</v>
      </c>
      <c r="C10" s="37" t="s">
        <v>3028</v>
      </c>
      <c r="D10" s="37" t="s">
        <v>3029</v>
      </c>
      <c r="E10" s="133" t="s">
        <v>338</v>
      </c>
      <c r="F10" s="134">
        <v>37.0</v>
      </c>
      <c r="G10" s="134" t="s">
        <v>476</v>
      </c>
      <c r="H10" s="134" t="s">
        <v>663</v>
      </c>
      <c r="I10" s="134">
        <v>9.091130936E9</v>
      </c>
      <c r="J10" s="42"/>
      <c r="K10" s="43"/>
      <c r="L10" s="43"/>
      <c r="M10" s="43"/>
      <c r="N10" s="43">
        <f t="shared" si="1"/>
        <v>0</v>
      </c>
      <c r="O10" s="43"/>
      <c r="P10" s="43"/>
      <c r="Q10" s="43">
        <f t="shared" si="2"/>
        <v>0</v>
      </c>
      <c r="R10" s="43"/>
      <c r="S10" s="43"/>
      <c r="T10" s="43"/>
      <c r="U10" s="43"/>
      <c r="V10" s="43"/>
      <c r="W10" s="44"/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151" t="s">
        <v>3030</v>
      </c>
      <c r="C11" s="37" t="s">
        <v>3031</v>
      </c>
      <c r="D11" s="37" t="s">
        <v>3032</v>
      </c>
      <c r="E11" s="133" t="s">
        <v>338</v>
      </c>
      <c r="F11" s="134">
        <v>28.0</v>
      </c>
      <c r="G11" s="134" t="s">
        <v>476</v>
      </c>
      <c r="H11" s="134" t="s">
        <v>663</v>
      </c>
      <c r="I11" s="134">
        <v>9.701712947E9</v>
      </c>
      <c r="J11" s="54">
        <v>26.0</v>
      </c>
      <c r="K11" s="55">
        <v>24.0</v>
      </c>
      <c r="L11" s="55">
        <v>0.0</v>
      </c>
      <c r="M11" s="55">
        <v>1.0</v>
      </c>
      <c r="N11" s="43">
        <f t="shared" si="1"/>
        <v>1</v>
      </c>
      <c r="O11" s="55">
        <v>3.0</v>
      </c>
      <c r="P11" s="55">
        <v>1.0</v>
      </c>
      <c r="Q11" s="43">
        <f t="shared" si="2"/>
        <v>5</v>
      </c>
      <c r="R11" s="43"/>
      <c r="S11" s="43"/>
      <c r="T11" s="43"/>
      <c r="U11" s="43"/>
      <c r="V11" s="153" t="s">
        <v>3033</v>
      </c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154" t="s">
        <v>3034</v>
      </c>
      <c r="C12" s="37" t="s">
        <v>1503</v>
      </c>
      <c r="D12" s="37" t="s">
        <v>3035</v>
      </c>
      <c r="E12" s="133" t="s">
        <v>338</v>
      </c>
      <c r="F12" s="134">
        <v>47.0</v>
      </c>
      <c r="G12" s="134" t="s">
        <v>476</v>
      </c>
      <c r="H12" s="134" t="s">
        <v>954</v>
      </c>
      <c r="I12" s="134">
        <v>9.291565505E9</v>
      </c>
      <c r="J12" s="54">
        <v>28.0</v>
      </c>
      <c r="K12" s="55">
        <v>28.0</v>
      </c>
      <c r="L12" s="55">
        <v>0.0</v>
      </c>
      <c r="M12" s="55">
        <v>0.0</v>
      </c>
      <c r="N12" s="43">
        <f t="shared" si="1"/>
        <v>0</v>
      </c>
      <c r="O12" s="55">
        <v>0.0</v>
      </c>
      <c r="P12" s="55">
        <v>0.0</v>
      </c>
      <c r="Q12" s="43">
        <f t="shared" si="2"/>
        <v>0</v>
      </c>
      <c r="R12" s="43"/>
      <c r="S12" s="43"/>
      <c r="T12" s="43"/>
      <c r="U12" s="43"/>
      <c r="V12" s="149"/>
      <c r="W12" s="56" t="s">
        <v>46</v>
      </c>
      <c r="Z12" s="34"/>
      <c r="AA12" s="60" t="s">
        <v>62</v>
      </c>
      <c r="AB12" s="58"/>
      <c r="AC12" s="58"/>
      <c r="AD12" s="46">
        <f>W157</f>
        <v>18</v>
      </c>
    </row>
    <row r="13" ht="13.5" customHeight="1">
      <c r="A13" s="28">
        <v>7.0</v>
      </c>
      <c r="B13" s="155" t="s">
        <v>3036</v>
      </c>
      <c r="C13" s="37" t="s">
        <v>3037</v>
      </c>
      <c r="D13" s="37" t="s">
        <v>68</v>
      </c>
      <c r="E13" s="133" t="s">
        <v>338</v>
      </c>
      <c r="F13" s="134">
        <v>29.0</v>
      </c>
      <c r="G13" s="134" t="s">
        <v>476</v>
      </c>
      <c r="H13" s="134" t="s">
        <v>508</v>
      </c>
      <c r="I13" s="134">
        <v>9.764183019E9</v>
      </c>
      <c r="J13" s="54">
        <v>28.0</v>
      </c>
      <c r="K13" s="55">
        <v>26.0</v>
      </c>
      <c r="L13" s="55">
        <v>0.0</v>
      </c>
      <c r="M13" s="55">
        <v>0.0</v>
      </c>
      <c r="N13" s="43">
        <f t="shared" si="1"/>
        <v>0</v>
      </c>
      <c r="O13" s="55">
        <v>4.0</v>
      </c>
      <c r="P13" s="55">
        <v>2.0</v>
      </c>
      <c r="Q13" s="43">
        <f t="shared" si="2"/>
        <v>6</v>
      </c>
      <c r="R13" s="43"/>
      <c r="S13" s="43"/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151" t="s">
        <v>3038</v>
      </c>
      <c r="C14" s="37" t="s">
        <v>3039</v>
      </c>
      <c r="D14" s="37" t="s">
        <v>3040</v>
      </c>
      <c r="E14" s="133" t="s">
        <v>338</v>
      </c>
      <c r="F14" s="134">
        <v>62.0</v>
      </c>
      <c r="G14" s="134" t="s">
        <v>476</v>
      </c>
      <c r="H14" s="134" t="s">
        <v>646</v>
      </c>
      <c r="I14" s="134">
        <v>9.102464561E9</v>
      </c>
      <c r="J14" s="54">
        <v>12.0</v>
      </c>
      <c r="K14" s="55">
        <v>12.0</v>
      </c>
      <c r="L14" s="55">
        <v>0.0</v>
      </c>
      <c r="M14" s="55">
        <v>0.0</v>
      </c>
      <c r="N14" s="43">
        <f t="shared" si="1"/>
        <v>0</v>
      </c>
      <c r="O14" s="55">
        <v>22.0</v>
      </c>
      <c r="P14" s="55">
        <v>0.0</v>
      </c>
      <c r="Q14" s="43">
        <f t="shared" si="2"/>
        <v>22</v>
      </c>
      <c r="R14" s="43"/>
      <c r="S14" s="43"/>
      <c r="T14" s="43"/>
      <c r="U14" s="43"/>
      <c r="V14" s="153" t="s">
        <v>786</v>
      </c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151" t="s">
        <v>2046</v>
      </c>
      <c r="C15" s="37" t="s">
        <v>3041</v>
      </c>
      <c r="D15" s="37" t="s">
        <v>3042</v>
      </c>
      <c r="E15" s="133" t="s">
        <v>338</v>
      </c>
      <c r="F15" s="134">
        <v>49.0</v>
      </c>
      <c r="G15" s="134" t="s">
        <v>476</v>
      </c>
      <c r="H15" s="134" t="s">
        <v>553</v>
      </c>
      <c r="I15" s="134">
        <v>9.230813053E9</v>
      </c>
      <c r="J15" s="54">
        <v>22.0</v>
      </c>
      <c r="K15" s="55">
        <v>12.0</v>
      </c>
      <c r="L15" s="55">
        <v>0.0</v>
      </c>
      <c r="M15" s="55">
        <v>0.0</v>
      </c>
      <c r="N15" s="43">
        <f t="shared" si="1"/>
        <v>0</v>
      </c>
      <c r="O15" s="55">
        <v>6.0</v>
      </c>
      <c r="P15" s="55">
        <v>10.0</v>
      </c>
      <c r="Q15" s="43">
        <f t="shared" si="2"/>
        <v>16</v>
      </c>
      <c r="R15" s="43"/>
      <c r="S15" s="43"/>
      <c r="T15" s="43"/>
      <c r="U15" s="43"/>
      <c r="V15" s="149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151" t="s">
        <v>3043</v>
      </c>
      <c r="C16" s="37" t="s">
        <v>3044</v>
      </c>
      <c r="D16" s="37" t="s">
        <v>3045</v>
      </c>
      <c r="E16" s="133" t="s">
        <v>338</v>
      </c>
      <c r="F16" s="134">
        <v>27.0</v>
      </c>
      <c r="G16" s="134" t="s">
        <v>584</v>
      </c>
      <c r="H16" s="134" t="s">
        <v>3046</v>
      </c>
      <c r="I16" s="134">
        <v>9.99103892E9</v>
      </c>
      <c r="J16" s="42"/>
      <c r="K16" s="43"/>
      <c r="L16" s="43"/>
      <c r="M16" s="43"/>
      <c r="N16" s="43">
        <f t="shared" si="1"/>
        <v>0</v>
      </c>
      <c r="O16" s="43"/>
      <c r="P16" s="43"/>
      <c r="Q16" s="43">
        <f t="shared" si="2"/>
        <v>0</v>
      </c>
      <c r="R16" s="43"/>
      <c r="S16" s="43"/>
      <c r="T16" s="43"/>
      <c r="U16" s="43"/>
      <c r="V16" s="149"/>
      <c r="W16" s="44"/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151" t="s">
        <v>3047</v>
      </c>
      <c r="C17" s="37" t="s">
        <v>1692</v>
      </c>
      <c r="D17" s="37" t="s">
        <v>3048</v>
      </c>
      <c r="E17" s="133" t="s">
        <v>338</v>
      </c>
      <c r="F17" s="134">
        <v>26.0</v>
      </c>
      <c r="G17" s="134" t="s">
        <v>476</v>
      </c>
      <c r="H17" s="134" t="s">
        <v>663</v>
      </c>
      <c r="I17" s="134">
        <v>9.605311155E9</v>
      </c>
      <c r="J17" s="42"/>
      <c r="K17" s="43"/>
      <c r="L17" s="43"/>
      <c r="M17" s="43"/>
      <c r="N17" s="43">
        <f t="shared" si="1"/>
        <v>0</v>
      </c>
      <c r="O17" s="43"/>
      <c r="P17" s="43"/>
      <c r="Q17" s="43">
        <f t="shared" si="2"/>
        <v>0</v>
      </c>
      <c r="R17" s="43"/>
      <c r="S17" s="43"/>
      <c r="T17" s="43"/>
      <c r="U17" s="43"/>
      <c r="V17" s="43"/>
      <c r="W17" s="44"/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156" t="s">
        <v>3049</v>
      </c>
      <c r="C18" s="37" t="s">
        <v>3050</v>
      </c>
      <c r="D18" s="37" t="s">
        <v>2707</v>
      </c>
      <c r="E18" s="133" t="s">
        <v>338</v>
      </c>
      <c r="F18" s="134">
        <v>52.0</v>
      </c>
      <c r="G18" s="134" t="s">
        <v>476</v>
      </c>
      <c r="H18" s="134" t="s">
        <v>663</v>
      </c>
      <c r="I18" s="134">
        <v>9.257095878E9</v>
      </c>
      <c r="J18" s="54">
        <v>19.0</v>
      </c>
      <c r="K18" s="55">
        <v>9.0</v>
      </c>
      <c r="L18" s="55">
        <v>2.0</v>
      </c>
      <c r="M18" s="55">
        <v>0.0</v>
      </c>
      <c r="N18" s="43">
        <f t="shared" si="1"/>
        <v>2</v>
      </c>
      <c r="O18" s="55">
        <v>9.0</v>
      </c>
      <c r="P18" s="55">
        <v>8.0</v>
      </c>
      <c r="Q18" s="43">
        <f t="shared" si="2"/>
        <v>19</v>
      </c>
      <c r="R18" s="43"/>
      <c r="S18" s="43"/>
      <c r="T18" s="43"/>
      <c r="U18" s="43"/>
      <c r="V18" s="149"/>
      <c r="W18" s="56" t="s">
        <v>46</v>
      </c>
      <c r="Z18" s="34"/>
      <c r="AA18" s="61" t="s">
        <v>88</v>
      </c>
      <c r="AB18" s="66">
        <f>COUNTIF(S7:S157, "RPDU")</f>
        <v>0</v>
      </c>
      <c r="AC18" s="34"/>
      <c r="AD18" s="34"/>
    </row>
    <row r="19" ht="13.5" customHeight="1">
      <c r="A19" s="28">
        <v>13.0</v>
      </c>
      <c r="B19" s="229" t="s">
        <v>1192</v>
      </c>
      <c r="C19" s="37" t="s">
        <v>3051</v>
      </c>
      <c r="D19" s="37" t="s">
        <v>3052</v>
      </c>
      <c r="E19" s="133" t="s">
        <v>338</v>
      </c>
      <c r="F19" s="134">
        <v>43.0</v>
      </c>
      <c r="G19" s="134" t="s">
        <v>476</v>
      </c>
      <c r="H19" s="134" t="s">
        <v>435</v>
      </c>
      <c r="I19" s="134">
        <v>9.154928075E9</v>
      </c>
      <c r="J19" s="42"/>
      <c r="K19" s="43"/>
      <c r="L19" s="43"/>
      <c r="M19" s="43"/>
      <c r="N19" s="43">
        <f t="shared" si="1"/>
        <v>0</v>
      </c>
      <c r="O19" s="43"/>
      <c r="P19" s="43"/>
      <c r="Q19" s="43">
        <f t="shared" si="2"/>
        <v>0</v>
      </c>
      <c r="R19" s="43"/>
      <c r="S19" s="43"/>
      <c r="T19" s="43"/>
      <c r="U19" s="43"/>
      <c r="V19" s="149"/>
      <c r="W19" s="44"/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155" t="s">
        <v>3053</v>
      </c>
      <c r="C20" s="37" t="s">
        <v>3054</v>
      </c>
      <c r="D20" s="37" t="s">
        <v>1214</v>
      </c>
      <c r="E20" s="133" t="s">
        <v>338</v>
      </c>
      <c r="F20" s="134">
        <v>30.0</v>
      </c>
      <c r="G20" s="134" t="s">
        <v>476</v>
      </c>
      <c r="H20" s="134" t="s">
        <v>663</v>
      </c>
      <c r="I20" s="134">
        <v>9.677883786E9</v>
      </c>
      <c r="J20" s="54">
        <v>31.0</v>
      </c>
      <c r="K20" s="55">
        <v>23.0</v>
      </c>
      <c r="L20" s="55">
        <v>2.0</v>
      </c>
      <c r="M20" s="55">
        <v>6.0</v>
      </c>
      <c r="N20" s="43">
        <f t="shared" si="1"/>
        <v>8</v>
      </c>
      <c r="O20" s="55">
        <v>1.0</v>
      </c>
      <c r="P20" s="55">
        <v>1.0</v>
      </c>
      <c r="Q20" s="43">
        <f t="shared" si="2"/>
        <v>10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151" t="s">
        <v>3055</v>
      </c>
      <c r="C21" s="37" t="s">
        <v>3056</v>
      </c>
      <c r="D21" s="37" t="s">
        <v>1154</v>
      </c>
      <c r="E21" s="133" t="s">
        <v>338</v>
      </c>
      <c r="F21" s="134">
        <v>40.0</v>
      </c>
      <c r="G21" s="134" t="s">
        <v>584</v>
      </c>
      <c r="H21" s="134" t="s">
        <v>435</v>
      </c>
      <c r="I21" s="134">
        <v>9.950472957E9</v>
      </c>
      <c r="J21" s="54">
        <v>28.0</v>
      </c>
      <c r="K21" s="55">
        <v>23.0</v>
      </c>
      <c r="L21" s="55">
        <v>0.0</v>
      </c>
      <c r="M21" s="55">
        <v>0.0</v>
      </c>
      <c r="N21" s="43">
        <f t="shared" si="1"/>
        <v>0</v>
      </c>
      <c r="O21" s="55">
        <v>0.0</v>
      </c>
      <c r="P21" s="55">
        <v>5.0</v>
      </c>
      <c r="Q21" s="43">
        <f t="shared" si="2"/>
        <v>5</v>
      </c>
      <c r="R21" s="43"/>
      <c r="S21" s="43"/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151" t="s">
        <v>1307</v>
      </c>
      <c r="C22" s="37" t="s">
        <v>3057</v>
      </c>
      <c r="D22" s="37" t="s">
        <v>3058</v>
      </c>
      <c r="E22" s="133" t="s">
        <v>338</v>
      </c>
      <c r="F22" s="134">
        <v>26.0</v>
      </c>
      <c r="G22" s="134" t="s">
        <v>476</v>
      </c>
      <c r="H22" s="134" t="s">
        <v>663</v>
      </c>
      <c r="I22" s="134">
        <v>9.603411499E9</v>
      </c>
      <c r="J22" s="54">
        <v>29.0</v>
      </c>
      <c r="K22" s="55">
        <v>29.0</v>
      </c>
      <c r="L22" s="55">
        <v>0.0</v>
      </c>
      <c r="M22" s="55">
        <v>0.0</v>
      </c>
      <c r="N22" s="43">
        <f t="shared" si="1"/>
        <v>0</v>
      </c>
      <c r="O22" s="55">
        <v>3.0</v>
      </c>
      <c r="P22" s="55">
        <v>0.0</v>
      </c>
      <c r="Q22" s="43">
        <f t="shared" si="2"/>
        <v>3</v>
      </c>
      <c r="R22" s="43"/>
      <c r="S22" s="43"/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151" t="s">
        <v>3059</v>
      </c>
      <c r="C23" s="37" t="s">
        <v>3060</v>
      </c>
      <c r="D23" s="37" t="s">
        <v>3061</v>
      </c>
      <c r="E23" s="133" t="s">
        <v>338</v>
      </c>
      <c r="F23" s="134">
        <v>31.0</v>
      </c>
      <c r="G23" s="134" t="s">
        <v>584</v>
      </c>
      <c r="H23" s="134" t="s">
        <v>646</v>
      </c>
      <c r="I23" s="134">
        <v>9.763032819E9</v>
      </c>
      <c r="J23" s="54">
        <v>25.0</v>
      </c>
      <c r="K23" s="55">
        <v>17.0</v>
      </c>
      <c r="L23" s="55">
        <v>0.0</v>
      </c>
      <c r="M23" s="55">
        <v>1.0</v>
      </c>
      <c r="N23" s="43">
        <f t="shared" si="1"/>
        <v>1</v>
      </c>
      <c r="O23" s="55">
        <v>7.0</v>
      </c>
      <c r="P23" s="55">
        <v>7.0</v>
      </c>
      <c r="Q23" s="43">
        <f t="shared" si="2"/>
        <v>15</v>
      </c>
      <c r="R23" s="43"/>
      <c r="S23" s="43"/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0</v>
      </c>
      <c r="AC23" s="34"/>
      <c r="AD23" s="34"/>
    </row>
    <row r="24" ht="13.5" customHeight="1">
      <c r="A24" s="28">
        <v>18.0</v>
      </c>
      <c r="B24" s="151" t="s">
        <v>3062</v>
      </c>
      <c r="C24" s="37" t="s">
        <v>1289</v>
      </c>
      <c r="D24" s="37" t="s">
        <v>492</v>
      </c>
      <c r="E24" s="133" t="s">
        <v>338</v>
      </c>
      <c r="F24" s="134">
        <v>50.0</v>
      </c>
      <c r="G24" s="134" t="s">
        <v>476</v>
      </c>
      <c r="H24" s="134" t="s">
        <v>663</v>
      </c>
      <c r="I24" s="134">
        <v>9.666491835E9</v>
      </c>
      <c r="J24" s="54">
        <v>21.0</v>
      </c>
      <c r="K24" s="55">
        <v>4.0</v>
      </c>
      <c r="L24" s="55">
        <v>0.0</v>
      </c>
      <c r="M24" s="55">
        <v>0.0</v>
      </c>
      <c r="N24" s="43">
        <f t="shared" si="1"/>
        <v>0</v>
      </c>
      <c r="O24" s="55">
        <v>17.0</v>
      </c>
      <c r="P24" s="55">
        <v>11.0</v>
      </c>
      <c r="Q24" s="43">
        <f t="shared" si="2"/>
        <v>28</v>
      </c>
      <c r="R24" s="43"/>
      <c r="S24" s="43"/>
      <c r="T24" s="43"/>
      <c r="U24" s="43"/>
      <c r="V24" s="55" t="s">
        <v>3063</v>
      </c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151" t="s">
        <v>3064</v>
      </c>
      <c r="C25" s="37" t="s">
        <v>3065</v>
      </c>
      <c r="D25" s="37" t="s">
        <v>967</v>
      </c>
      <c r="E25" s="133" t="s">
        <v>338</v>
      </c>
      <c r="F25" s="134">
        <v>56.0</v>
      </c>
      <c r="G25" s="134" t="s">
        <v>476</v>
      </c>
      <c r="H25" s="134" t="s">
        <v>3066</v>
      </c>
      <c r="I25" s="134">
        <v>9.977427767E9</v>
      </c>
      <c r="J25" s="42"/>
      <c r="K25" s="43"/>
      <c r="L25" s="43"/>
      <c r="M25" s="43"/>
      <c r="N25" s="43">
        <f t="shared" si="1"/>
        <v>0</v>
      </c>
      <c r="O25" s="43"/>
      <c r="P25" s="43"/>
      <c r="Q25" s="43">
        <f t="shared" si="2"/>
        <v>0</v>
      </c>
      <c r="R25" s="43"/>
      <c r="S25" s="43"/>
      <c r="T25" s="43"/>
      <c r="U25" s="43"/>
      <c r="V25" s="43"/>
      <c r="W25" s="44"/>
      <c r="Z25" s="34"/>
      <c r="AA25" s="34"/>
      <c r="AB25" s="34"/>
      <c r="AC25" s="34"/>
      <c r="AD25" s="34"/>
    </row>
    <row r="26" ht="13.5" customHeight="1">
      <c r="A26" s="28">
        <v>20.0</v>
      </c>
      <c r="B26" s="151" t="s">
        <v>3067</v>
      </c>
      <c r="C26" s="37" t="s">
        <v>3068</v>
      </c>
      <c r="D26" s="37" t="s">
        <v>3069</v>
      </c>
      <c r="E26" s="133" t="s">
        <v>338</v>
      </c>
      <c r="F26" s="134">
        <v>38.0</v>
      </c>
      <c r="G26" s="134" t="s">
        <v>476</v>
      </c>
      <c r="H26" s="134" t="s">
        <v>646</v>
      </c>
      <c r="I26" s="134">
        <v>9.158130307E9</v>
      </c>
      <c r="J26" s="42"/>
      <c r="K26" s="43"/>
      <c r="L26" s="43"/>
      <c r="M26" s="43"/>
      <c r="N26" s="43">
        <f t="shared" si="1"/>
        <v>0</v>
      </c>
      <c r="O26" s="43"/>
      <c r="P26" s="43"/>
      <c r="Q26" s="43">
        <f t="shared" si="2"/>
        <v>0</v>
      </c>
      <c r="R26" s="43"/>
      <c r="S26" s="43"/>
      <c r="T26" s="43"/>
      <c r="U26" s="43"/>
      <c r="V26" s="149"/>
      <c r="W26" s="44"/>
      <c r="Z26" s="34"/>
      <c r="AA26" s="34"/>
      <c r="AB26" s="34"/>
      <c r="AC26" s="34"/>
      <c r="AD26" s="34"/>
    </row>
    <row r="27" ht="13.5" customHeight="1">
      <c r="A27" s="28">
        <v>21.0</v>
      </c>
      <c r="B27" s="156" t="s">
        <v>1492</v>
      </c>
      <c r="C27" s="37" t="s">
        <v>3070</v>
      </c>
      <c r="D27" s="37" t="s">
        <v>1353</v>
      </c>
      <c r="E27" s="133" t="s">
        <v>338</v>
      </c>
      <c r="F27" s="134">
        <v>32.0</v>
      </c>
      <c r="G27" s="134" t="s">
        <v>584</v>
      </c>
      <c r="H27" s="134" t="s">
        <v>435</v>
      </c>
      <c r="I27" s="134">
        <v>9.684997894E9</v>
      </c>
      <c r="J27" s="54">
        <v>30.0</v>
      </c>
      <c r="K27" s="55">
        <v>28.0</v>
      </c>
      <c r="L27" s="55">
        <v>0.0</v>
      </c>
      <c r="M27" s="55">
        <v>5.0</v>
      </c>
      <c r="N27" s="43">
        <f t="shared" si="1"/>
        <v>5</v>
      </c>
      <c r="O27" s="55">
        <v>2.0</v>
      </c>
      <c r="P27" s="55">
        <v>0.0</v>
      </c>
      <c r="Q27" s="43">
        <f t="shared" si="2"/>
        <v>7</v>
      </c>
      <c r="R27" s="43"/>
      <c r="S27" s="43"/>
      <c r="T27" s="43"/>
      <c r="U27" s="43"/>
      <c r="V27" s="149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155" t="s">
        <v>44</v>
      </c>
      <c r="C28" s="37" t="s">
        <v>3071</v>
      </c>
      <c r="D28" s="37" t="s">
        <v>3072</v>
      </c>
      <c r="E28" s="133" t="s">
        <v>338</v>
      </c>
      <c r="F28" s="134">
        <v>55.0</v>
      </c>
      <c r="G28" s="134" t="s">
        <v>476</v>
      </c>
      <c r="H28" s="134" t="s">
        <v>663</v>
      </c>
      <c r="I28" s="134">
        <v>9.206561017E9</v>
      </c>
      <c r="J28" s="54">
        <v>8.0</v>
      </c>
      <c r="K28" s="55">
        <v>7.0</v>
      </c>
      <c r="L28" s="55">
        <v>0.0</v>
      </c>
      <c r="M28" s="55">
        <v>0.0</v>
      </c>
      <c r="N28" s="43">
        <f t="shared" si="1"/>
        <v>0</v>
      </c>
      <c r="O28" s="55">
        <v>26.0</v>
      </c>
      <c r="P28" s="55">
        <v>0.0</v>
      </c>
      <c r="Q28" s="43">
        <f t="shared" si="2"/>
        <v>26</v>
      </c>
      <c r="R28" s="43"/>
      <c r="S28" s="43"/>
      <c r="T28" s="43"/>
      <c r="U28" s="43"/>
      <c r="V28" s="153" t="s">
        <v>786</v>
      </c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151" t="s">
        <v>3073</v>
      </c>
      <c r="C29" s="37" t="s">
        <v>3074</v>
      </c>
      <c r="D29" s="37" t="s">
        <v>3075</v>
      </c>
      <c r="E29" s="133" t="s">
        <v>338</v>
      </c>
      <c r="F29" s="134">
        <v>46.0</v>
      </c>
      <c r="G29" s="134" t="s">
        <v>476</v>
      </c>
      <c r="H29" s="134" t="s">
        <v>663</v>
      </c>
      <c r="I29" s="134">
        <v>9.053844768E9</v>
      </c>
      <c r="J29" s="54">
        <v>23.0</v>
      </c>
      <c r="K29" s="55">
        <v>22.0</v>
      </c>
      <c r="L29" s="55">
        <v>0.0</v>
      </c>
      <c r="M29" s="55">
        <v>0.0</v>
      </c>
      <c r="N29" s="43">
        <f t="shared" si="1"/>
        <v>0</v>
      </c>
      <c r="O29" s="55">
        <v>12.0</v>
      </c>
      <c r="P29" s="55">
        <v>1.0</v>
      </c>
      <c r="Q29" s="43">
        <f t="shared" si="2"/>
        <v>13</v>
      </c>
      <c r="R29" s="43"/>
      <c r="S29" s="43"/>
      <c r="T29" s="43"/>
      <c r="U29" s="43"/>
      <c r="V29" s="153" t="s">
        <v>786</v>
      </c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151" t="s">
        <v>1586</v>
      </c>
      <c r="C30" s="37" t="s">
        <v>3076</v>
      </c>
      <c r="D30" s="37" t="s">
        <v>3077</v>
      </c>
      <c r="E30" s="133" t="s">
        <v>338</v>
      </c>
      <c r="F30" s="134">
        <v>30.0</v>
      </c>
      <c r="G30" s="134" t="s">
        <v>476</v>
      </c>
      <c r="H30" s="134" t="s">
        <v>663</v>
      </c>
      <c r="I30" s="134">
        <v>9.477673009E9</v>
      </c>
      <c r="J30" s="42"/>
      <c r="K30" s="43"/>
      <c r="L30" s="43"/>
      <c r="M30" s="43"/>
      <c r="N30" s="43">
        <f t="shared" si="1"/>
        <v>0</v>
      </c>
      <c r="O30" s="43"/>
      <c r="P30" s="43"/>
      <c r="Q30" s="43">
        <f t="shared" si="2"/>
        <v>0</v>
      </c>
      <c r="R30" s="43"/>
      <c r="S30" s="43"/>
      <c r="T30" s="43"/>
      <c r="U30" s="43"/>
      <c r="V30" s="149"/>
      <c r="W30" s="44"/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151" t="s">
        <v>3078</v>
      </c>
      <c r="C31" s="37" t="s">
        <v>2193</v>
      </c>
      <c r="D31" s="37" t="s">
        <v>3079</v>
      </c>
      <c r="E31" s="133" t="s">
        <v>338</v>
      </c>
      <c r="F31" s="134">
        <v>27.0</v>
      </c>
      <c r="G31" s="134" t="s">
        <v>476</v>
      </c>
      <c r="H31" s="134" t="s">
        <v>663</v>
      </c>
      <c r="I31" s="134">
        <v>9.531435731E9</v>
      </c>
      <c r="J31" s="54">
        <v>28.0</v>
      </c>
      <c r="K31" s="55">
        <v>24.0</v>
      </c>
      <c r="L31" s="55">
        <v>0.0</v>
      </c>
      <c r="M31" s="55">
        <v>1.0</v>
      </c>
      <c r="N31" s="43">
        <f t="shared" si="1"/>
        <v>1</v>
      </c>
      <c r="O31" s="55">
        <v>1.0</v>
      </c>
      <c r="P31" s="55">
        <v>3.0</v>
      </c>
      <c r="Q31" s="43">
        <f t="shared" si="2"/>
        <v>5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37" t="s">
        <v>2981</v>
      </c>
      <c r="C32" s="37" t="s">
        <v>3080</v>
      </c>
      <c r="D32" s="37" t="s">
        <v>3081</v>
      </c>
      <c r="E32" s="133" t="s">
        <v>338</v>
      </c>
      <c r="F32" s="134">
        <v>42.0</v>
      </c>
      <c r="G32" s="134" t="s">
        <v>339</v>
      </c>
      <c r="H32" s="205" t="s">
        <v>3082</v>
      </c>
      <c r="I32" s="134">
        <v>9.171541644E9</v>
      </c>
      <c r="J32" s="87">
        <v>28.0</v>
      </c>
      <c r="K32" s="55">
        <v>22.0</v>
      </c>
      <c r="L32" s="55">
        <v>0.0</v>
      </c>
      <c r="M32" s="55">
        <v>1.0</v>
      </c>
      <c r="N32" s="43">
        <f>sum(L32,M32)</f>
        <v>1</v>
      </c>
      <c r="O32" s="55">
        <v>4.0</v>
      </c>
      <c r="P32" s="55">
        <v>5.0</v>
      </c>
      <c r="Q32" s="43">
        <f>sum(N32,O32,P32)</f>
        <v>10</v>
      </c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287" t="s">
        <v>3083</v>
      </c>
      <c r="C33" s="144" t="s">
        <v>3084</v>
      </c>
      <c r="D33" s="144" t="s">
        <v>3085</v>
      </c>
      <c r="E33" s="103" t="s">
        <v>338</v>
      </c>
      <c r="F33" s="103">
        <v>56.0</v>
      </c>
      <c r="G33" s="103" t="s">
        <v>3086</v>
      </c>
      <c r="H33" s="288" t="s">
        <v>3082</v>
      </c>
      <c r="I33" s="80"/>
      <c r="J33" s="54">
        <v>18.0</v>
      </c>
      <c r="K33" s="55">
        <v>17.0</v>
      </c>
      <c r="L33" s="55">
        <v>0.0</v>
      </c>
      <c r="M33" s="55">
        <v>1.0</v>
      </c>
      <c r="N33" s="43">
        <f t="shared" ref="N33:N39" si="3">L33+M33</f>
        <v>1</v>
      </c>
      <c r="O33" s="55">
        <v>14.0</v>
      </c>
      <c r="P33" s="55">
        <v>0.0</v>
      </c>
      <c r="Q33" s="55">
        <v>15.0</v>
      </c>
      <c r="R33" s="43"/>
      <c r="S33" s="43"/>
      <c r="T33" s="43"/>
      <c r="U33" s="43"/>
      <c r="V33" s="55" t="s">
        <v>648</v>
      </c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03"/>
      <c r="C34" s="106"/>
      <c r="D34" s="106"/>
      <c r="E34" s="53"/>
      <c r="F34" s="53"/>
      <c r="G34" s="82"/>
      <c r="H34" s="53"/>
      <c r="I34" s="53"/>
      <c r="J34" s="42"/>
      <c r="K34" s="43"/>
      <c r="L34" s="43"/>
      <c r="M34" s="43"/>
      <c r="N34" s="43">
        <f t="shared" si="3"/>
        <v>0</v>
      </c>
      <c r="O34" s="43"/>
      <c r="P34" s="43"/>
      <c r="Q34" s="43"/>
      <c r="R34" s="43"/>
      <c r="S34" s="43"/>
      <c r="T34" s="43"/>
      <c r="U34" s="43"/>
      <c r="V34" s="43"/>
      <c r="W34" s="44"/>
      <c r="Z34" s="61"/>
      <c r="AA34" s="61"/>
      <c r="AB34" s="66"/>
      <c r="AC34" s="34"/>
      <c r="AD34" s="34"/>
    </row>
    <row r="35" ht="13.5" customHeight="1">
      <c r="A35" s="28">
        <v>29.0</v>
      </c>
      <c r="B35" s="203"/>
      <c r="C35" s="106"/>
      <c r="D35" s="106"/>
      <c r="E35" s="53"/>
      <c r="F35" s="53"/>
      <c r="G35" s="82"/>
      <c r="H35" s="53"/>
      <c r="I35" s="53"/>
      <c r="J35" s="81"/>
      <c r="K35" s="43"/>
      <c r="L35" s="43"/>
      <c r="M35" s="43"/>
      <c r="N35" s="43">
        <f t="shared" si="3"/>
        <v>0</v>
      </c>
      <c r="O35" s="43"/>
      <c r="P35" s="43"/>
      <c r="Q35" s="43"/>
      <c r="R35" s="43"/>
      <c r="S35" s="43"/>
      <c r="T35" s="43"/>
      <c r="U35" s="43"/>
      <c r="V35" s="43"/>
      <c r="W35" s="44"/>
      <c r="Z35" s="61"/>
      <c r="AA35" s="61"/>
      <c r="AB35" s="66"/>
      <c r="AC35" s="34"/>
      <c r="AD35" s="34"/>
    </row>
    <row r="36" ht="13.5" customHeight="1">
      <c r="A36" s="28">
        <v>30.0</v>
      </c>
      <c r="B36" s="106"/>
      <c r="C36" s="106"/>
      <c r="D36" s="106"/>
      <c r="E36" s="53"/>
      <c r="F36" s="53"/>
      <c r="G36" s="82"/>
      <c r="H36" s="53"/>
      <c r="I36" s="82"/>
      <c r="J36" s="83"/>
      <c r="K36" s="43"/>
      <c r="L36" s="43"/>
      <c r="M36" s="43"/>
      <c r="N36" s="43">
        <f t="shared" si="3"/>
        <v>0</v>
      </c>
      <c r="O36" s="43"/>
      <c r="P36" s="43"/>
      <c r="Q36" s="43"/>
      <c r="R36" s="43"/>
      <c r="S36" s="43"/>
      <c r="T36" s="43"/>
      <c r="U36" s="43"/>
      <c r="V36" s="43"/>
      <c r="W36" s="44"/>
      <c r="Z36" s="61"/>
      <c r="AA36" s="61"/>
      <c r="AB36" s="66"/>
      <c r="AC36" s="34"/>
      <c r="AD36" s="34"/>
    </row>
    <row r="37" ht="13.5" customHeight="1">
      <c r="A37" s="28">
        <v>31.0</v>
      </c>
      <c r="B37" s="106"/>
      <c r="C37" s="106"/>
      <c r="D37" s="106"/>
      <c r="E37" s="53"/>
      <c r="F37" s="53"/>
      <c r="G37" s="82"/>
      <c r="H37" s="53"/>
      <c r="I37" s="82"/>
      <c r="J37" s="83"/>
      <c r="K37" s="43"/>
      <c r="L37" s="43"/>
      <c r="M37" s="43"/>
      <c r="N37" s="43">
        <f t="shared" si="3"/>
        <v>0</v>
      </c>
      <c r="O37" s="43"/>
      <c r="P37" s="43"/>
      <c r="Q37" s="43"/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106"/>
      <c r="C38" s="106"/>
      <c r="D38" s="106"/>
      <c r="E38" s="53"/>
      <c r="F38" s="53"/>
      <c r="G38" s="82"/>
      <c r="H38" s="53"/>
      <c r="I38" s="82"/>
      <c r="J38" s="83"/>
      <c r="K38" s="43"/>
      <c r="L38" s="43"/>
      <c r="M38" s="43"/>
      <c r="N38" s="43">
        <f t="shared" si="3"/>
        <v>0</v>
      </c>
      <c r="O38" s="43"/>
      <c r="P38" s="43"/>
      <c r="Q38" s="43"/>
      <c r="R38" s="43"/>
      <c r="S38" s="43"/>
      <c r="T38" s="43"/>
      <c r="U38" s="43"/>
      <c r="V38" s="43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106"/>
      <c r="C39" s="106"/>
      <c r="D39" s="106"/>
      <c r="E39" s="53"/>
      <c r="F39" s="53"/>
      <c r="G39" s="82"/>
      <c r="H39" s="53"/>
      <c r="I39" s="88"/>
      <c r="J39" s="83"/>
      <c r="K39" s="43"/>
      <c r="L39" s="43"/>
      <c r="M39" s="43"/>
      <c r="N39" s="43">
        <f t="shared" si="3"/>
        <v>0</v>
      </c>
      <c r="O39" s="43"/>
      <c r="P39" s="43"/>
      <c r="Q39" s="43"/>
      <c r="R39" s="43"/>
      <c r="S39" s="43"/>
      <c r="T39" s="43"/>
      <c r="U39" s="43"/>
      <c r="V39" s="43"/>
      <c r="W39" s="44"/>
      <c r="Z39" s="61"/>
      <c r="AA39" s="61"/>
      <c r="AB39" s="66"/>
      <c r="AC39" s="34"/>
      <c r="AD39" s="34"/>
    </row>
    <row r="40" ht="13.5" customHeight="1">
      <c r="A40" s="28">
        <v>34.0</v>
      </c>
      <c r="B40" s="106"/>
      <c r="C40" s="106"/>
      <c r="D40" s="106"/>
      <c r="E40" s="53"/>
      <c r="F40" s="53"/>
      <c r="G40" s="82"/>
      <c r="H40" s="53"/>
      <c r="I40" s="88"/>
      <c r="J40" s="8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4"/>
      <c r="Z40" s="61"/>
      <c r="AA40" s="61"/>
      <c r="AB40" s="66"/>
      <c r="AC40" s="34"/>
      <c r="AD40" s="34"/>
    </row>
    <row r="41" ht="13.5" customHeight="1">
      <c r="A41" s="28">
        <v>35.0</v>
      </c>
      <c r="B41" s="107"/>
      <c r="C41" s="107"/>
      <c r="D41" s="107"/>
      <c r="E41" s="53"/>
      <c r="F41" s="53"/>
      <c r="G41" s="82"/>
      <c r="H41" s="53"/>
      <c r="I41" s="89"/>
      <c r="J41" s="8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106"/>
      <c r="C42" s="106"/>
      <c r="D42" s="106"/>
      <c r="E42" s="109"/>
      <c r="F42" s="53"/>
      <c r="G42" s="82"/>
      <c r="H42" s="53"/>
      <c r="I42" s="89"/>
      <c r="J42" s="8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203"/>
      <c r="C43" s="203"/>
      <c r="D43" s="203"/>
      <c r="E43" s="109"/>
      <c r="F43" s="53"/>
      <c r="G43" s="82"/>
      <c r="H43" s="53"/>
      <c r="I43" s="82"/>
      <c r="J43" s="8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06"/>
      <c r="C44" s="106"/>
      <c r="D44" s="106"/>
      <c r="E44" s="109"/>
      <c r="F44" s="53"/>
      <c r="G44" s="82"/>
      <c r="H44" s="53"/>
      <c r="I44" s="82"/>
      <c r="J44" s="8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4">SUM(J7:J156)</f>
        <v>464</v>
      </c>
      <c r="K157" s="123">
        <f t="shared" si="4"/>
        <v>379</v>
      </c>
      <c r="L157" s="123">
        <f t="shared" si="4"/>
        <v>4</v>
      </c>
      <c r="M157" s="123">
        <f t="shared" si="4"/>
        <v>19</v>
      </c>
      <c r="N157" s="123">
        <f t="shared" si="4"/>
        <v>23</v>
      </c>
      <c r="O157" s="123">
        <f t="shared" si="4"/>
        <v>134</v>
      </c>
      <c r="P157" s="123">
        <f t="shared" si="4"/>
        <v>59</v>
      </c>
      <c r="Q157" s="123">
        <f t="shared" si="4"/>
        <v>216</v>
      </c>
      <c r="R157" s="124"/>
      <c r="S157" s="124"/>
      <c r="T157" s="125"/>
      <c r="U157" s="145" t="s">
        <v>330</v>
      </c>
      <c r="V157" s="5"/>
      <c r="W157" s="126">
        <f>COUNTIF(W7:W156,"YES")</f>
        <v>18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6.88"/>
    <col customWidth="1" min="3" max="3" width="19.75"/>
    <col customWidth="1" min="4" max="4" width="16.5"/>
    <col customWidth="1" min="5" max="5" width="14.38"/>
    <col customWidth="1" min="6" max="6" width="8.63"/>
    <col customWidth="1" min="7" max="7" width="12.13"/>
    <col customWidth="1" min="8" max="8" width="21.63"/>
    <col customWidth="1" min="9" max="9" width="15.88"/>
    <col customWidth="1" min="10" max="10" width="10.13"/>
    <col customWidth="1" min="11" max="11" width="10.25"/>
    <col customWidth="1" min="12" max="12" width="11.38"/>
    <col customWidth="1" min="13" max="13" width="13.0"/>
    <col customWidth="1" min="14" max="19" width="8.63"/>
    <col customWidth="1" min="20" max="20" width="13.5"/>
    <col customWidth="1" min="21" max="21" width="9.38"/>
    <col customWidth="1" min="22" max="22" width="15.75"/>
    <col customWidth="1" min="23" max="23" width="9.63"/>
    <col customWidth="1" min="24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204" t="s">
        <v>3087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33.0" customHeight="1">
      <c r="A3" s="6" t="s">
        <v>3</v>
      </c>
      <c r="B3" s="5"/>
      <c r="C3" s="204" t="s">
        <v>3088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7" t="s">
        <v>3089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289" t="s">
        <v>523</v>
      </c>
      <c r="C7" s="289" t="s">
        <v>3090</v>
      </c>
      <c r="D7" s="289" t="s">
        <v>3091</v>
      </c>
      <c r="E7" s="290" t="s">
        <v>338</v>
      </c>
      <c r="F7" s="271">
        <v>38.0</v>
      </c>
      <c r="G7" s="271" t="s">
        <v>476</v>
      </c>
      <c r="H7" s="271" t="s">
        <v>3092</v>
      </c>
      <c r="I7" s="271">
        <v>9.107451631E9</v>
      </c>
      <c r="J7" s="42"/>
      <c r="K7" s="43"/>
      <c r="L7" s="43"/>
      <c r="M7" s="43"/>
      <c r="N7" s="43">
        <f t="shared" ref="N7:N38" si="1">SUM(L7,M7)</f>
        <v>0</v>
      </c>
      <c r="O7" s="43"/>
      <c r="P7" s="43"/>
      <c r="Q7" s="43">
        <f t="shared" ref="Q7:Q37" si="2">SUM(N7,O7,P7)</f>
        <v>0</v>
      </c>
      <c r="R7" s="43"/>
      <c r="S7" s="43"/>
      <c r="T7" s="43"/>
      <c r="U7" s="43"/>
      <c r="V7" s="149"/>
      <c r="W7" s="44"/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289" t="s">
        <v>3093</v>
      </c>
      <c r="C8" s="289" t="s">
        <v>3094</v>
      </c>
      <c r="D8" s="289" t="s">
        <v>3095</v>
      </c>
      <c r="E8" s="290" t="s">
        <v>338</v>
      </c>
      <c r="F8" s="271">
        <v>45.0</v>
      </c>
      <c r="G8" s="271" t="s">
        <v>476</v>
      </c>
      <c r="H8" s="271" t="s">
        <v>3096</v>
      </c>
      <c r="I8" s="271">
        <v>9.759359763E9</v>
      </c>
      <c r="J8" s="42"/>
      <c r="K8" s="43"/>
      <c r="L8" s="43"/>
      <c r="M8" s="43"/>
      <c r="N8" s="43">
        <f t="shared" si="1"/>
        <v>0</v>
      </c>
      <c r="O8" s="43"/>
      <c r="P8" s="43"/>
      <c r="Q8" s="43">
        <f t="shared" si="2"/>
        <v>0</v>
      </c>
      <c r="R8" s="43"/>
      <c r="S8" s="43"/>
      <c r="T8" s="43"/>
      <c r="U8" s="43"/>
      <c r="V8" s="149"/>
      <c r="W8" s="44"/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237" t="s">
        <v>3097</v>
      </c>
      <c r="C9" s="289" t="s">
        <v>3098</v>
      </c>
      <c r="D9" s="289" t="s">
        <v>3099</v>
      </c>
      <c r="E9" s="290" t="s">
        <v>338</v>
      </c>
      <c r="F9" s="271">
        <v>32.0</v>
      </c>
      <c r="G9" s="271" t="s">
        <v>476</v>
      </c>
      <c r="H9" s="271" t="s">
        <v>3096</v>
      </c>
      <c r="I9" s="271">
        <v>9.278070144E9</v>
      </c>
      <c r="J9" s="54">
        <v>30.0</v>
      </c>
      <c r="K9" s="55">
        <v>28.0</v>
      </c>
      <c r="L9" s="55">
        <v>0.0</v>
      </c>
      <c r="M9" s="55">
        <v>2.0</v>
      </c>
      <c r="N9" s="43">
        <f t="shared" si="1"/>
        <v>2</v>
      </c>
      <c r="O9" s="55">
        <v>0.0</v>
      </c>
      <c r="P9" s="55">
        <v>0.0</v>
      </c>
      <c r="Q9" s="43">
        <f t="shared" si="2"/>
        <v>2</v>
      </c>
      <c r="R9" s="43"/>
      <c r="S9" s="43"/>
      <c r="T9" s="43"/>
      <c r="U9" s="43"/>
      <c r="V9" s="153" t="s">
        <v>3100</v>
      </c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237" t="s">
        <v>3101</v>
      </c>
      <c r="C10" s="289" t="s">
        <v>3102</v>
      </c>
      <c r="D10" s="289" t="s">
        <v>3103</v>
      </c>
      <c r="E10" s="290" t="s">
        <v>338</v>
      </c>
      <c r="F10" s="271">
        <v>33.0</v>
      </c>
      <c r="G10" s="271" t="s">
        <v>476</v>
      </c>
      <c r="H10" s="271" t="s">
        <v>2368</v>
      </c>
      <c r="I10" s="271">
        <v>9.453892896E9</v>
      </c>
      <c r="J10" s="54">
        <v>28.0</v>
      </c>
      <c r="K10" s="55">
        <v>25.0</v>
      </c>
      <c r="L10" s="55">
        <v>0.0</v>
      </c>
      <c r="M10" s="55">
        <v>2.0</v>
      </c>
      <c r="N10" s="43">
        <f t="shared" si="1"/>
        <v>2</v>
      </c>
      <c r="O10" s="55">
        <v>0.0</v>
      </c>
      <c r="P10" s="55">
        <v>2.0</v>
      </c>
      <c r="Q10" s="43">
        <f t="shared" si="2"/>
        <v>4</v>
      </c>
      <c r="R10" s="43"/>
      <c r="S10" s="43"/>
      <c r="T10" s="43"/>
      <c r="U10" s="43"/>
      <c r="V10" s="149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237" t="s">
        <v>3104</v>
      </c>
      <c r="C11" s="289" t="s">
        <v>3105</v>
      </c>
      <c r="D11" s="289" t="s">
        <v>3106</v>
      </c>
      <c r="E11" s="290" t="s">
        <v>338</v>
      </c>
      <c r="F11" s="271">
        <v>49.0</v>
      </c>
      <c r="G11" s="271" t="s">
        <v>476</v>
      </c>
      <c r="H11" s="271" t="s">
        <v>3096</v>
      </c>
      <c r="I11" s="271">
        <v>9.957729935E9</v>
      </c>
      <c r="J11" s="54">
        <v>26.0</v>
      </c>
      <c r="K11" s="55">
        <v>17.0</v>
      </c>
      <c r="L11" s="55">
        <v>3.0</v>
      </c>
      <c r="M11" s="55">
        <v>2.0</v>
      </c>
      <c r="N11" s="43">
        <f t="shared" si="1"/>
        <v>5</v>
      </c>
      <c r="O11" s="55">
        <v>6.0</v>
      </c>
      <c r="P11" s="55">
        <v>4.0</v>
      </c>
      <c r="Q11" s="43">
        <f t="shared" si="2"/>
        <v>15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239" t="s">
        <v>3107</v>
      </c>
      <c r="C12" s="289" t="s">
        <v>3108</v>
      </c>
      <c r="D12" s="289" t="s">
        <v>3109</v>
      </c>
      <c r="E12" s="290" t="s">
        <v>338</v>
      </c>
      <c r="F12" s="271">
        <v>38.0</v>
      </c>
      <c r="G12" s="271" t="s">
        <v>476</v>
      </c>
      <c r="H12" s="271" t="s">
        <v>3096</v>
      </c>
      <c r="I12" s="271">
        <v>9.569326243E9</v>
      </c>
      <c r="J12" s="54">
        <v>29.0</v>
      </c>
      <c r="K12" s="55">
        <v>22.0</v>
      </c>
      <c r="L12" s="55">
        <v>0.0</v>
      </c>
      <c r="M12" s="55">
        <v>7.0</v>
      </c>
      <c r="N12" s="43">
        <f t="shared" si="1"/>
        <v>7</v>
      </c>
      <c r="O12" s="55">
        <v>3.0</v>
      </c>
      <c r="P12" s="55">
        <v>0.0</v>
      </c>
      <c r="Q12" s="43">
        <f t="shared" si="2"/>
        <v>10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20</v>
      </c>
    </row>
    <row r="13" ht="13.5" customHeight="1">
      <c r="A13" s="28">
        <v>7.0</v>
      </c>
      <c r="B13" s="240" t="s">
        <v>3110</v>
      </c>
      <c r="C13" s="289" t="s">
        <v>3111</v>
      </c>
      <c r="D13" s="289" t="s">
        <v>3112</v>
      </c>
      <c r="E13" s="290" t="s">
        <v>338</v>
      </c>
      <c r="F13" s="271">
        <v>32.0</v>
      </c>
      <c r="G13" s="271" t="s">
        <v>476</v>
      </c>
      <c r="H13" s="271" t="s">
        <v>2368</v>
      </c>
      <c r="I13" s="271">
        <v>9.605314094E9</v>
      </c>
      <c r="J13" s="54">
        <v>21.0</v>
      </c>
      <c r="K13" s="55">
        <v>19.0</v>
      </c>
      <c r="L13" s="55">
        <v>0.0</v>
      </c>
      <c r="M13" s="55">
        <v>1.0</v>
      </c>
      <c r="N13" s="43">
        <f t="shared" si="1"/>
        <v>1</v>
      </c>
      <c r="O13" s="55">
        <v>8.0</v>
      </c>
      <c r="P13" s="55">
        <v>1.0</v>
      </c>
      <c r="Q13" s="43">
        <f t="shared" si="2"/>
        <v>10</v>
      </c>
      <c r="R13" s="43"/>
      <c r="S13" s="55" t="s">
        <v>88</v>
      </c>
      <c r="T13" s="43"/>
      <c r="U13" s="43"/>
      <c r="V13" s="149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237" t="s">
        <v>3113</v>
      </c>
      <c r="C14" s="289" t="s">
        <v>3114</v>
      </c>
      <c r="D14" s="289" t="s">
        <v>3115</v>
      </c>
      <c r="E14" s="290" t="s">
        <v>338</v>
      </c>
      <c r="F14" s="271">
        <v>55.0</v>
      </c>
      <c r="G14" s="271" t="s">
        <v>476</v>
      </c>
      <c r="H14" s="271" t="s">
        <v>3096</v>
      </c>
      <c r="I14" s="271">
        <v>9.476087247E9</v>
      </c>
      <c r="J14" s="54">
        <v>11.0</v>
      </c>
      <c r="K14" s="55">
        <v>10.0</v>
      </c>
      <c r="L14" s="55">
        <v>0.0</v>
      </c>
      <c r="M14" s="55">
        <v>1.0</v>
      </c>
      <c r="N14" s="43">
        <f t="shared" si="1"/>
        <v>1</v>
      </c>
      <c r="O14" s="55">
        <v>21.0</v>
      </c>
      <c r="P14" s="55">
        <v>0.0</v>
      </c>
      <c r="Q14" s="43">
        <f t="shared" si="2"/>
        <v>22</v>
      </c>
      <c r="R14" s="43"/>
      <c r="S14" s="55" t="s">
        <v>79</v>
      </c>
      <c r="T14" s="43"/>
      <c r="U14" s="43"/>
      <c r="V14" s="149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237" t="s">
        <v>3116</v>
      </c>
      <c r="C15" s="289" t="s">
        <v>613</v>
      </c>
      <c r="D15" s="289" t="s">
        <v>3117</v>
      </c>
      <c r="E15" s="290" t="s">
        <v>338</v>
      </c>
      <c r="F15" s="271">
        <v>38.0</v>
      </c>
      <c r="G15" s="271" t="s">
        <v>476</v>
      </c>
      <c r="H15" s="271" t="s">
        <v>3096</v>
      </c>
      <c r="I15" s="271">
        <v>9.306211122E9</v>
      </c>
      <c r="J15" s="54">
        <v>25.0</v>
      </c>
      <c r="K15" s="55">
        <v>21.0</v>
      </c>
      <c r="L15" s="55">
        <v>0.0</v>
      </c>
      <c r="M15" s="55">
        <v>3.0</v>
      </c>
      <c r="N15" s="43">
        <f t="shared" si="1"/>
        <v>3</v>
      </c>
      <c r="O15" s="55">
        <v>3.0</v>
      </c>
      <c r="P15" s="55">
        <v>1.0</v>
      </c>
      <c r="Q15" s="43">
        <f t="shared" si="2"/>
        <v>7</v>
      </c>
      <c r="R15" s="43"/>
      <c r="S15" s="43"/>
      <c r="T15" s="43"/>
      <c r="U15" s="43"/>
      <c r="V15" s="149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237" t="s">
        <v>3118</v>
      </c>
      <c r="C16" s="289" t="s">
        <v>3119</v>
      </c>
      <c r="D16" s="289" t="s">
        <v>3120</v>
      </c>
      <c r="E16" s="290" t="s">
        <v>338</v>
      </c>
      <c r="F16" s="271">
        <v>35.0</v>
      </c>
      <c r="G16" s="271" t="s">
        <v>476</v>
      </c>
      <c r="H16" s="271" t="s">
        <v>2368</v>
      </c>
      <c r="I16" s="271">
        <v>9.68499265E9</v>
      </c>
      <c r="J16" s="54">
        <v>25.0</v>
      </c>
      <c r="K16" s="55">
        <v>15.0</v>
      </c>
      <c r="L16" s="55">
        <v>0.0</v>
      </c>
      <c r="M16" s="55">
        <v>9.0</v>
      </c>
      <c r="N16" s="43">
        <f t="shared" si="1"/>
        <v>9</v>
      </c>
      <c r="O16" s="55">
        <v>7.0</v>
      </c>
      <c r="P16" s="55">
        <v>1.0</v>
      </c>
      <c r="Q16" s="43">
        <f t="shared" si="2"/>
        <v>17</v>
      </c>
      <c r="R16" s="43"/>
      <c r="S16" s="43"/>
      <c r="T16" s="43"/>
      <c r="U16" s="43"/>
      <c r="V16" s="149"/>
      <c r="W16" s="56" t="s">
        <v>46</v>
      </c>
      <c r="Z16" s="34"/>
      <c r="AA16" s="65" t="s">
        <v>79</v>
      </c>
      <c r="AB16" s="66">
        <f>COUNTIF(S7:S157, "CDU")</f>
        <v>1</v>
      </c>
      <c r="AC16" s="34"/>
      <c r="AD16" s="34"/>
    </row>
    <row r="17" ht="13.5" customHeight="1">
      <c r="A17" s="28">
        <v>11.0</v>
      </c>
      <c r="B17" s="237" t="s">
        <v>3121</v>
      </c>
      <c r="C17" s="289" t="s">
        <v>3122</v>
      </c>
      <c r="D17" s="289" t="s">
        <v>3123</v>
      </c>
      <c r="E17" s="290" t="s">
        <v>338</v>
      </c>
      <c r="F17" s="271">
        <v>45.0</v>
      </c>
      <c r="G17" s="271" t="s">
        <v>476</v>
      </c>
      <c r="H17" s="271" t="s">
        <v>3096</v>
      </c>
      <c r="I17" s="271">
        <v>9.605314093E9</v>
      </c>
      <c r="J17" s="54">
        <v>22.0</v>
      </c>
      <c r="K17" s="55">
        <v>21.0</v>
      </c>
      <c r="L17" s="55">
        <v>0.0</v>
      </c>
      <c r="M17" s="55">
        <v>1.0</v>
      </c>
      <c r="N17" s="43">
        <f t="shared" si="1"/>
        <v>1</v>
      </c>
      <c r="O17" s="55">
        <v>10.0</v>
      </c>
      <c r="P17" s="55">
        <v>0.0</v>
      </c>
      <c r="Q17" s="43">
        <f t="shared" si="2"/>
        <v>11</v>
      </c>
      <c r="R17" s="43"/>
      <c r="S17" s="43"/>
      <c r="T17" s="43"/>
      <c r="U17" s="43"/>
      <c r="V17" s="149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241" t="s">
        <v>3124</v>
      </c>
      <c r="C18" s="289" t="s">
        <v>1606</v>
      </c>
      <c r="D18" s="289" t="s">
        <v>3125</v>
      </c>
      <c r="E18" s="290" t="s">
        <v>338</v>
      </c>
      <c r="F18" s="271">
        <v>47.0</v>
      </c>
      <c r="G18" s="271" t="s">
        <v>476</v>
      </c>
      <c r="H18" s="271" t="s">
        <v>2368</v>
      </c>
      <c r="I18" s="271">
        <v>9.912334042E9</v>
      </c>
      <c r="J18" s="54">
        <v>13.0</v>
      </c>
      <c r="K18" s="55">
        <v>10.0</v>
      </c>
      <c r="L18" s="55">
        <v>0.0</v>
      </c>
      <c r="M18" s="55">
        <v>1.0</v>
      </c>
      <c r="N18" s="43">
        <f t="shared" si="1"/>
        <v>1</v>
      </c>
      <c r="O18" s="55">
        <v>18.0</v>
      </c>
      <c r="P18" s="55">
        <v>3.0</v>
      </c>
      <c r="Q18" s="43">
        <f t="shared" si="2"/>
        <v>22</v>
      </c>
      <c r="R18" s="43"/>
      <c r="S18" s="55" t="s">
        <v>88</v>
      </c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3</v>
      </c>
      <c r="AC18" s="34"/>
      <c r="AD18" s="34"/>
    </row>
    <row r="19" ht="13.5" customHeight="1">
      <c r="A19" s="28">
        <v>13.0</v>
      </c>
      <c r="B19" s="242" t="s">
        <v>3126</v>
      </c>
      <c r="C19" s="289" t="s">
        <v>3127</v>
      </c>
      <c r="D19" s="289" t="s">
        <v>3128</v>
      </c>
      <c r="E19" s="290" t="s">
        <v>338</v>
      </c>
      <c r="F19" s="271">
        <v>60.0</v>
      </c>
      <c r="G19" s="271" t="s">
        <v>476</v>
      </c>
      <c r="H19" s="271" t="s">
        <v>2368</v>
      </c>
      <c r="I19" s="271">
        <v>9.684992664E9</v>
      </c>
      <c r="J19" s="54">
        <v>16.0</v>
      </c>
      <c r="K19" s="55">
        <v>11.0</v>
      </c>
      <c r="L19" s="55">
        <v>0.0</v>
      </c>
      <c r="M19" s="55">
        <v>5.0</v>
      </c>
      <c r="N19" s="43">
        <f t="shared" si="1"/>
        <v>5</v>
      </c>
      <c r="O19" s="55">
        <v>16.0</v>
      </c>
      <c r="P19" s="55">
        <v>0.0</v>
      </c>
      <c r="Q19" s="43">
        <f t="shared" si="2"/>
        <v>21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240" t="s">
        <v>3129</v>
      </c>
      <c r="C20" s="289" t="s">
        <v>3130</v>
      </c>
      <c r="D20" s="289" t="s">
        <v>3131</v>
      </c>
      <c r="E20" s="290" t="s">
        <v>338</v>
      </c>
      <c r="F20" s="271">
        <v>46.0</v>
      </c>
      <c r="G20" s="271" t="s">
        <v>476</v>
      </c>
      <c r="H20" s="271" t="s">
        <v>3096</v>
      </c>
      <c r="I20" s="271">
        <v>9.199236653E9</v>
      </c>
      <c r="J20" s="54">
        <v>30.0</v>
      </c>
      <c r="K20" s="55">
        <v>30.0</v>
      </c>
      <c r="L20" s="55">
        <v>0.0</v>
      </c>
      <c r="M20" s="55">
        <v>0.0</v>
      </c>
      <c r="N20" s="43">
        <f t="shared" si="1"/>
        <v>0</v>
      </c>
      <c r="O20" s="55">
        <v>2.0</v>
      </c>
      <c r="P20" s="55">
        <v>0.0</v>
      </c>
      <c r="Q20" s="43">
        <f t="shared" si="2"/>
        <v>2</v>
      </c>
      <c r="R20" s="43"/>
      <c r="S20" s="55" t="s">
        <v>88</v>
      </c>
      <c r="T20" s="43"/>
      <c r="U20" s="43"/>
      <c r="V20" s="149"/>
      <c r="W20" s="56" t="s">
        <v>46</v>
      </c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237" t="s">
        <v>3132</v>
      </c>
      <c r="C21" s="289" t="s">
        <v>3133</v>
      </c>
      <c r="D21" s="289" t="s">
        <v>3134</v>
      </c>
      <c r="E21" s="290" t="s">
        <v>338</v>
      </c>
      <c r="F21" s="271">
        <v>35.0</v>
      </c>
      <c r="G21" s="271" t="s">
        <v>476</v>
      </c>
      <c r="H21" s="271" t="s">
        <v>2368</v>
      </c>
      <c r="I21" s="271">
        <v>9.923108649E9</v>
      </c>
      <c r="J21" s="54">
        <v>31.0</v>
      </c>
      <c r="K21" s="55">
        <v>27.0</v>
      </c>
      <c r="L21" s="55">
        <v>0.0</v>
      </c>
      <c r="M21" s="55">
        <v>0.0</v>
      </c>
      <c r="N21" s="43">
        <f t="shared" si="1"/>
        <v>0</v>
      </c>
      <c r="O21" s="55">
        <v>1.0</v>
      </c>
      <c r="P21" s="55">
        <v>4.0</v>
      </c>
      <c r="Q21" s="43">
        <f t="shared" si="2"/>
        <v>5</v>
      </c>
      <c r="R21" s="43"/>
      <c r="S21" s="43"/>
      <c r="T21" s="43" t="s">
        <v>116</v>
      </c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237" t="s">
        <v>3135</v>
      </c>
      <c r="C22" s="289" t="s">
        <v>3136</v>
      </c>
      <c r="D22" s="289" t="s">
        <v>3137</v>
      </c>
      <c r="E22" s="290" t="s">
        <v>338</v>
      </c>
      <c r="F22" s="271">
        <v>53.0</v>
      </c>
      <c r="G22" s="271" t="s">
        <v>476</v>
      </c>
      <c r="H22" s="271" t="s">
        <v>3096</v>
      </c>
      <c r="I22" s="271">
        <v>9.273438491E9</v>
      </c>
      <c r="J22" s="54">
        <v>18.0</v>
      </c>
      <c r="K22" s="55">
        <v>16.0</v>
      </c>
      <c r="L22" s="55">
        <v>0.0</v>
      </c>
      <c r="M22" s="55">
        <v>2.0</v>
      </c>
      <c r="N22" s="43">
        <f t="shared" si="1"/>
        <v>2</v>
      </c>
      <c r="O22" s="55">
        <v>14.0</v>
      </c>
      <c r="P22" s="55">
        <v>0.0</v>
      </c>
      <c r="Q22" s="43">
        <f t="shared" si="2"/>
        <v>16</v>
      </c>
      <c r="R22" s="43"/>
      <c r="S22" s="43"/>
      <c r="T22" s="55" t="s">
        <v>145</v>
      </c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237" t="s">
        <v>3138</v>
      </c>
      <c r="C23" s="289" t="s">
        <v>3139</v>
      </c>
      <c r="D23" s="289" t="s">
        <v>3140</v>
      </c>
      <c r="E23" s="290" t="s">
        <v>338</v>
      </c>
      <c r="F23" s="271">
        <v>37.0</v>
      </c>
      <c r="G23" s="271" t="s">
        <v>476</v>
      </c>
      <c r="H23" s="271" t="s">
        <v>3096</v>
      </c>
      <c r="I23" s="271">
        <v>9.605314074E9</v>
      </c>
      <c r="J23" s="54">
        <v>29.0</v>
      </c>
      <c r="K23" s="55">
        <v>21.0</v>
      </c>
      <c r="L23" s="55">
        <v>0.0</v>
      </c>
      <c r="M23" s="55">
        <v>7.0</v>
      </c>
      <c r="N23" s="43">
        <f t="shared" si="1"/>
        <v>7</v>
      </c>
      <c r="O23" s="55">
        <v>3.0</v>
      </c>
      <c r="P23" s="55">
        <v>1.0</v>
      </c>
      <c r="Q23" s="43">
        <f t="shared" si="2"/>
        <v>11</v>
      </c>
      <c r="R23" s="43"/>
      <c r="S23" s="43"/>
      <c r="T23" s="43"/>
      <c r="U23" s="43"/>
      <c r="V23" s="149"/>
      <c r="W23" s="56" t="s">
        <v>46</v>
      </c>
      <c r="Z23" s="34"/>
      <c r="AA23" s="61" t="s">
        <v>109</v>
      </c>
      <c r="AB23" s="66">
        <f>COUNTIF(S7:S157, "Ortho")</f>
        <v>1</v>
      </c>
      <c r="AC23" s="34"/>
      <c r="AD23" s="34"/>
    </row>
    <row r="24" ht="13.5" customHeight="1">
      <c r="A24" s="28">
        <v>18.0</v>
      </c>
      <c r="B24" s="237" t="s">
        <v>3141</v>
      </c>
      <c r="C24" s="289" t="s">
        <v>3142</v>
      </c>
      <c r="D24" s="289" t="s">
        <v>3120</v>
      </c>
      <c r="E24" s="290" t="s">
        <v>338</v>
      </c>
      <c r="F24" s="271">
        <v>33.0</v>
      </c>
      <c r="G24" s="271" t="s">
        <v>584</v>
      </c>
      <c r="H24" s="271" t="s">
        <v>3143</v>
      </c>
      <c r="I24" s="271">
        <v>9.98865229E9</v>
      </c>
      <c r="J24" s="54">
        <v>30.0</v>
      </c>
      <c r="K24" s="55">
        <v>25.0</v>
      </c>
      <c r="L24" s="55">
        <v>0.0</v>
      </c>
      <c r="M24" s="55">
        <v>5.0</v>
      </c>
      <c r="N24" s="43">
        <f t="shared" si="1"/>
        <v>5</v>
      </c>
      <c r="O24" s="55">
        <v>2.0</v>
      </c>
      <c r="P24" s="55">
        <v>0.0</v>
      </c>
      <c r="Q24" s="43">
        <f t="shared" si="2"/>
        <v>7</v>
      </c>
      <c r="R24" s="43"/>
      <c r="S24" s="43"/>
      <c r="T24" s="43"/>
      <c r="U24" s="43"/>
      <c r="V24" s="149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237" t="s">
        <v>3144</v>
      </c>
      <c r="C25" s="289" t="s">
        <v>3145</v>
      </c>
      <c r="D25" s="289" t="s">
        <v>3146</v>
      </c>
      <c r="E25" s="290" t="s">
        <v>338</v>
      </c>
      <c r="F25" s="271">
        <v>39.0</v>
      </c>
      <c r="G25" s="271" t="s">
        <v>476</v>
      </c>
      <c r="H25" s="271" t="s">
        <v>2368</v>
      </c>
      <c r="I25" s="271">
        <v>9.68499266E9</v>
      </c>
      <c r="J25" s="54">
        <v>27.0</v>
      </c>
      <c r="K25" s="55">
        <v>13.0</v>
      </c>
      <c r="L25" s="55">
        <v>8.0</v>
      </c>
      <c r="M25" s="55">
        <v>6.0</v>
      </c>
      <c r="N25" s="43">
        <f t="shared" si="1"/>
        <v>14</v>
      </c>
      <c r="O25" s="55">
        <v>4.0</v>
      </c>
      <c r="P25" s="55">
        <v>0.0</v>
      </c>
      <c r="Q25" s="43">
        <f t="shared" si="2"/>
        <v>18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237" t="s">
        <v>3147</v>
      </c>
      <c r="C26" s="289" t="s">
        <v>3148</v>
      </c>
      <c r="D26" s="289" t="s">
        <v>3149</v>
      </c>
      <c r="E26" s="290" t="s">
        <v>338</v>
      </c>
      <c r="F26" s="271">
        <v>44.0</v>
      </c>
      <c r="G26" s="271" t="s">
        <v>476</v>
      </c>
      <c r="H26" s="271" t="s">
        <v>2368</v>
      </c>
      <c r="I26" s="271">
        <v>9.197007258E9</v>
      </c>
      <c r="J26" s="54">
        <v>23.0</v>
      </c>
      <c r="K26" s="55">
        <v>18.0</v>
      </c>
      <c r="L26" s="55">
        <v>2.0</v>
      </c>
      <c r="M26" s="55">
        <v>1.0</v>
      </c>
      <c r="N26" s="43">
        <f t="shared" si="1"/>
        <v>3</v>
      </c>
      <c r="O26" s="55">
        <v>9.0</v>
      </c>
      <c r="P26" s="55">
        <v>2.0</v>
      </c>
      <c r="Q26" s="43">
        <f t="shared" si="2"/>
        <v>14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241" t="s">
        <v>3150</v>
      </c>
      <c r="C27" s="289" t="s">
        <v>582</v>
      </c>
      <c r="D27" s="289" t="s">
        <v>3151</v>
      </c>
      <c r="E27" s="290" t="s">
        <v>338</v>
      </c>
      <c r="F27" s="271">
        <v>37.0</v>
      </c>
      <c r="G27" s="271" t="s">
        <v>476</v>
      </c>
      <c r="H27" s="271" t="s">
        <v>3152</v>
      </c>
      <c r="I27" s="271">
        <v>9.935800416E9</v>
      </c>
      <c r="J27" s="54">
        <v>30.0</v>
      </c>
      <c r="K27" s="55">
        <v>28.0</v>
      </c>
      <c r="L27" s="55">
        <v>0.0</v>
      </c>
      <c r="M27" s="55">
        <v>0.0</v>
      </c>
      <c r="N27" s="43">
        <f t="shared" si="1"/>
        <v>0</v>
      </c>
      <c r="O27" s="55">
        <v>2.0</v>
      </c>
      <c r="P27" s="55">
        <v>2.0</v>
      </c>
      <c r="Q27" s="43">
        <f t="shared" si="2"/>
        <v>4</v>
      </c>
      <c r="R27" s="43"/>
      <c r="S27" s="55" t="s">
        <v>277</v>
      </c>
      <c r="T27" s="43"/>
      <c r="U27" s="43"/>
      <c r="V27" s="149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291" t="s">
        <v>3153</v>
      </c>
      <c r="C28" s="292" t="s">
        <v>3154</v>
      </c>
      <c r="D28" s="292" t="s">
        <v>3155</v>
      </c>
      <c r="E28" s="293" t="s">
        <v>338</v>
      </c>
      <c r="F28" s="294">
        <v>25.0</v>
      </c>
      <c r="G28" s="294" t="s">
        <v>584</v>
      </c>
      <c r="H28" s="294" t="s">
        <v>508</v>
      </c>
      <c r="I28" s="295">
        <v>9.557868922E9</v>
      </c>
      <c r="J28" s="54">
        <v>28.0</v>
      </c>
      <c r="K28" s="55">
        <v>24.0</v>
      </c>
      <c r="L28" s="55">
        <v>0.0</v>
      </c>
      <c r="M28" s="55">
        <v>1.0</v>
      </c>
      <c r="N28" s="43">
        <f t="shared" si="1"/>
        <v>1</v>
      </c>
      <c r="O28" s="55">
        <v>0.0</v>
      </c>
      <c r="P28" s="55">
        <v>3.0</v>
      </c>
      <c r="Q28" s="43">
        <f t="shared" si="2"/>
        <v>4</v>
      </c>
      <c r="R28" s="43"/>
      <c r="S28" s="43"/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285"/>
      <c r="C29" s="286"/>
      <c r="D29" s="286"/>
      <c r="E29" s="47"/>
      <c r="F29" s="284"/>
      <c r="G29" s="284"/>
      <c r="H29" s="284"/>
      <c r="I29" s="284"/>
      <c r="J29" s="42"/>
      <c r="K29" s="43"/>
      <c r="L29" s="43"/>
      <c r="M29" s="43"/>
      <c r="N29" s="43">
        <f t="shared" si="1"/>
        <v>0</v>
      </c>
      <c r="O29" s="43"/>
      <c r="P29" s="43"/>
      <c r="Q29" s="43">
        <f t="shared" si="2"/>
        <v>0</v>
      </c>
      <c r="R29" s="43"/>
      <c r="S29" s="43"/>
      <c r="T29" s="43"/>
      <c r="U29" s="43"/>
      <c r="V29" s="43"/>
      <c r="W29" s="44"/>
      <c r="Z29" s="34"/>
      <c r="AA29" s="34"/>
      <c r="AB29" s="34"/>
      <c r="AC29" s="34"/>
      <c r="AD29" s="34"/>
    </row>
    <row r="30" ht="13.5" customHeight="1">
      <c r="A30" s="28">
        <v>24.0</v>
      </c>
      <c r="B30" s="285"/>
      <c r="C30" s="286"/>
      <c r="D30" s="286"/>
      <c r="E30" s="47"/>
      <c r="F30" s="284"/>
      <c r="G30" s="284"/>
      <c r="H30" s="284"/>
      <c r="I30" s="284"/>
      <c r="J30" s="42"/>
      <c r="K30" s="43"/>
      <c r="L30" s="43"/>
      <c r="M30" s="43"/>
      <c r="N30" s="43">
        <f t="shared" si="1"/>
        <v>0</v>
      </c>
      <c r="O30" s="43"/>
      <c r="P30" s="43"/>
      <c r="Q30" s="43">
        <f t="shared" si="2"/>
        <v>0</v>
      </c>
      <c r="R30" s="43"/>
      <c r="S30" s="43"/>
      <c r="T30" s="43"/>
      <c r="U30" s="43"/>
      <c r="V30" s="43"/>
      <c r="W30" s="44"/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285"/>
      <c r="C31" s="286"/>
      <c r="D31" s="286"/>
      <c r="E31" s="47"/>
      <c r="F31" s="284"/>
      <c r="G31" s="284"/>
      <c r="H31" s="284"/>
      <c r="I31" s="284"/>
      <c r="J31" s="42"/>
      <c r="K31" s="43"/>
      <c r="L31" s="43"/>
      <c r="M31" s="43"/>
      <c r="N31" s="43">
        <f t="shared" si="1"/>
        <v>0</v>
      </c>
      <c r="O31" s="43"/>
      <c r="P31" s="43"/>
      <c r="Q31" s="43">
        <f t="shared" si="2"/>
        <v>0</v>
      </c>
      <c r="R31" s="43"/>
      <c r="S31" s="43"/>
      <c r="T31" s="43"/>
      <c r="U31" s="43"/>
      <c r="V31" s="43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285"/>
      <c r="C32" s="286"/>
      <c r="D32" s="286"/>
      <c r="E32" s="47"/>
      <c r="F32" s="284"/>
      <c r="G32" s="284"/>
      <c r="H32" s="284"/>
      <c r="I32" s="284"/>
      <c r="J32" s="42"/>
      <c r="K32" s="43"/>
      <c r="L32" s="43"/>
      <c r="M32" s="43"/>
      <c r="N32" s="43">
        <f t="shared" si="1"/>
        <v>0</v>
      </c>
      <c r="O32" s="43"/>
      <c r="P32" s="43"/>
      <c r="Q32" s="43">
        <f t="shared" si="2"/>
        <v>0</v>
      </c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285"/>
      <c r="C33" s="286"/>
      <c r="D33" s="286"/>
      <c r="E33" s="47"/>
      <c r="F33" s="284"/>
      <c r="G33" s="284"/>
      <c r="H33" s="284"/>
      <c r="I33" s="284"/>
      <c r="J33" s="42"/>
      <c r="K33" s="43"/>
      <c r="L33" s="43"/>
      <c r="M33" s="43"/>
      <c r="N33" s="43">
        <f t="shared" si="1"/>
        <v>0</v>
      </c>
      <c r="O33" s="43"/>
      <c r="P33" s="43"/>
      <c r="Q33" s="43">
        <f t="shared" si="2"/>
        <v>0</v>
      </c>
      <c r="R33" s="43"/>
      <c r="S33" s="43"/>
      <c r="T33" s="43"/>
      <c r="U33" s="43"/>
      <c r="V33" s="43"/>
      <c r="W33" s="44"/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85"/>
      <c r="C34" s="286"/>
      <c r="D34" s="286"/>
      <c r="E34" s="47"/>
      <c r="F34" s="284"/>
      <c r="G34" s="284"/>
      <c r="H34" s="284"/>
      <c r="I34" s="284"/>
      <c r="J34" s="42"/>
      <c r="K34" s="43"/>
      <c r="L34" s="43"/>
      <c r="M34" s="43"/>
      <c r="N34" s="43">
        <f t="shared" si="1"/>
        <v>0</v>
      </c>
      <c r="O34" s="43"/>
      <c r="P34" s="43"/>
      <c r="Q34" s="43">
        <f t="shared" si="2"/>
        <v>0</v>
      </c>
      <c r="R34" s="43"/>
      <c r="S34" s="43"/>
      <c r="T34" s="43"/>
      <c r="U34" s="43"/>
      <c r="V34" s="43"/>
      <c r="W34" s="44"/>
      <c r="Z34" s="61"/>
      <c r="AA34" s="61"/>
      <c r="AB34" s="66"/>
      <c r="AC34" s="34"/>
      <c r="AD34" s="34"/>
    </row>
    <row r="35" ht="13.5" customHeight="1">
      <c r="A35" s="28">
        <v>29.0</v>
      </c>
      <c r="B35" s="285"/>
      <c r="C35" s="286"/>
      <c r="D35" s="286"/>
      <c r="E35" s="47"/>
      <c r="F35" s="284"/>
      <c r="G35" s="284"/>
      <c r="H35" s="284"/>
      <c r="I35" s="284"/>
      <c r="J35" s="81"/>
      <c r="K35" s="43"/>
      <c r="L35" s="43"/>
      <c r="M35" s="43"/>
      <c r="N35" s="43">
        <f t="shared" si="1"/>
        <v>0</v>
      </c>
      <c r="O35" s="43"/>
      <c r="P35" s="43"/>
      <c r="Q35" s="43">
        <f t="shared" si="2"/>
        <v>0</v>
      </c>
      <c r="R35" s="43"/>
      <c r="S35" s="43"/>
      <c r="T35" s="43"/>
      <c r="U35" s="43"/>
      <c r="V35" s="43"/>
      <c r="W35" s="44"/>
      <c r="Z35" s="61"/>
      <c r="AA35" s="61"/>
      <c r="AB35" s="66"/>
      <c r="AC35" s="34"/>
      <c r="AD35" s="34"/>
    </row>
    <row r="36" ht="13.5" customHeight="1">
      <c r="A36" s="28">
        <v>30.0</v>
      </c>
      <c r="B36" s="285"/>
      <c r="C36" s="286"/>
      <c r="D36" s="286"/>
      <c r="E36" s="47"/>
      <c r="F36" s="284"/>
      <c r="G36" s="284"/>
      <c r="H36" s="284"/>
      <c r="I36" s="284"/>
      <c r="J36" s="83"/>
      <c r="K36" s="43"/>
      <c r="L36" s="43"/>
      <c r="M36" s="43"/>
      <c r="N36" s="43">
        <f t="shared" si="1"/>
        <v>0</v>
      </c>
      <c r="O36" s="43"/>
      <c r="P36" s="43"/>
      <c r="Q36" s="43">
        <f t="shared" si="2"/>
        <v>0</v>
      </c>
      <c r="R36" s="43"/>
      <c r="S36" s="43"/>
      <c r="T36" s="43"/>
      <c r="U36" s="43"/>
      <c r="V36" s="43"/>
      <c r="W36" s="44"/>
      <c r="Z36" s="61"/>
      <c r="AA36" s="61"/>
      <c r="AB36" s="66"/>
      <c r="AC36" s="34"/>
      <c r="AD36" s="34"/>
    </row>
    <row r="37" ht="13.5" customHeight="1">
      <c r="A37" s="28">
        <v>31.0</v>
      </c>
      <c r="B37" s="296"/>
      <c r="C37" s="297"/>
      <c r="D37" s="297"/>
      <c r="E37" s="298"/>
      <c r="F37" s="299"/>
      <c r="G37" s="299"/>
      <c r="H37" s="299"/>
      <c r="I37" s="299"/>
      <c r="J37" s="83"/>
      <c r="K37" s="43"/>
      <c r="L37" s="43"/>
      <c r="M37" s="43"/>
      <c r="N37" s="43">
        <f t="shared" si="1"/>
        <v>0</v>
      </c>
      <c r="O37" s="43"/>
      <c r="P37" s="43"/>
      <c r="Q37" s="43">
        <f t="shared" si="2"/>
        <v>0</v>
      </c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106"/>
      <c r="C38" s="106"/>
      <c r="D38" s="106"/>
      <c r="E38" s="53"/>
      <c r="F38" s="53"/>
      <c r="G38" s="82"/>
      <c r="H38" s="53"/>
      <c r="I38" s="82"/>
      <c r="J38" s="83"/>
      <c r="K38" s="43"/>
      <c r="L38" s="43"/>
      <c r="M38" s="43"/>
      <c r="N38" s="43">
        <f t="shared" si="1"/>
        <v>0</v>
      </c>
      <c r="O38" s="43"/>
      <c r="P38" s="43"/>
      <c r="Q38" s="43"/>
      <c r="R38" s="43"/>
      <c r="S38" s="43"/>
      <c r="T38" s="43"/>
      <c r="U38" s="43"/>
      <c r="V38" s="43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106"/>
      <c r="C39" s="106"/>
      <c r="D39" s="106"/>
      <c r="E39" s="53"/>
      <c r="F39" s="53"/>
      <c r="G39" s="82"/>
      <c r="H39" s="53"/>
      <c r="I39" s="88"/>
      <c r="J39" s="8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  <c r="Z39" s="61"/>
      <c r="AA39" s="61"/>
      <c r="AB39" s="66"/>
      <c r="AC39" s="34"/>
      <c r="AD39" s="34"/>
    </row>
    <row r="40" ht="13.5" customHeight="1">
      <c r="A40" s="28">
        <v>34.0</v>
      </c>
      <c r="B40" s="106"/>
      <c r="C40" s="106"/>
      <c r="D40" s="106"/>
      <c r="E40" s="53"/>
      <c r="F40" s="53"/>
      <c r="G40" s="82"/>
      <c r="H40" s="53"/>
      <c r="I40" s="88"/>
      <c r="J40" s="8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4"/>
      <c r="Z40" s="61"/>
      <c r="AA40" s="61"/>
      <c r="AB40" s="66"/>
      <c r="AC40" s="34"/>
      <c r="AD40" s="34"/>
    </row>
    <row r="41" ht="13.5" customHeight="1">
      <c r="A41" s="28">
        <v>35.0</v>
      </c>
      <c r="B41" s="107"/>
      <c r="C41" s="107"/>
      <c r="D41" s="107"/>
      <c r="E41" s="53"/>
      <c r="F41" s="53"/>
      <c r="G41" s="82"/>
      <c r="H41" s="53"/>
      <c r="I41" s="89"/>
      <c r="J41" s="8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106"/>
      <c r="C42" s="106"/>
      <c r="D42" s="106"/>
      <c r="E42" s="109"/>
      <c r="F42" s="53"/>
      <c r="G42" s="82"/>
      <c r="H42" s="53"/>
      <c r="I42" s="89"/>
      <c r="J42" s="8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203"/>
      <c r="C43" s="203"/>
      <c r="D43" s="203"/>
      <c r="E43" s="109"/>
      <c r="F43" s="53"/>
      <c r="G43" s="82"/>
      <c r="H43" s="53"/>
      <c r="I43" s="82"/>
      <c r="J43" s="8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06"/>
      <c r="C44" s="106"/>
      <c r="D44" s="106"/>
      <c r="E44" s="109"/>
      <c r="F44" s="53"/>
      <c r="G44" s="82"/>
      <c r="H44" s="53"/>
      <c r="I44" s="82"/>
      <c r="J44" s="8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3">SUM(J7:J156)</f>
        <v>492</v>
      </c>
      <c r="K157" s="123">
        <f t="shared" si="3"/>
        <v>401</v>
      </c>
      <c r="L157" s="123">
        <f t="shared" si="3"/>
        <v>13</v>
      </c>
      <c r="M157" s="123">
        <f t="shared" si="3"/>
        <v>56</v>
      </c>
      <c r="N157" s="123">
        <f t="shared" si="3"/>
        <v>69</v>
      </c>
      <c r="O157" s="123">
        <f t="shared" si="3"/>
        <v>129</v>
      </c>
      <c r="P157" s="123">
        <f t="shared" si="3"/>
        <v>24</v>
      </c>
      <c r="Q157" s="123">
        <f t="shared" si="3"/>
        <v>222</v>
      </c>
      <c r="R157" s="124"/>
      <c r="S157" s="124"/>
      <c r="T157" s="125"/>
      <c r="U157" s="145" t="s">
        <v>330</v>
      </c>
      <c r="V157" s="5"/>
      <c r="W157" s="126">
        <f>COUNTIF(W7:W38,"yes")</f>
        <v>20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7.13"/>
    <col customWidth="1" min="3" max="3" width="17.38"/>
    <col customWidth="1" min="4" max="4" width="14.75"/>
    <col customWidth="1" min="5" max="5" width="11.5"/>
    <col customWidth="1" min="6" max="6" width="8.63"/>
    <col customWidth="1" min="7" max="7" width="11.88"/>
    <col customWidth="1" min="8" max="8" width="12.88"/>
    <col customWidth="1" min="9" max="9" width="16.63"/>
    <col customWidth="1" min="10" max="10" width="11.13"/>
    <col customWidth="1" min="11" max="11" width="10.75"/>
    <col customWidth="1" min="12" max="12" width="11.88"/>
    <col customWidth="1" min="13" max="13" width="12.0"/>
    <col customWidth="1" min="14" max="21" width="8.63"/>
    <col customWidth="1" min="22" max="22" width="17.75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228" t="s">
        <v>3156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33.0" customHeight="1">
      <c r="A3" s="6" t="s">
        <v>3</v>
      </c>
      <c r="B3" s="5"/>
      <c r="C3" s="228" t="s">
        <v>3157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13"/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3158</v>
      </c>
      <c r="C7" s="37" t="s">
        <v>3159</v>
      </c>
      <c r="D7" s="37" t="s">
        <v>3160</v>
      </c>
      <c r="E7" s="133" t="s">
        <v>338</v>
      </c>
      <c r="F7" s="134">
        <v>49.0</v>
      </c>
      <c r="G7" s="134" t="s">
        <v>339</v>
      </c>
      <c r="H7" s="134" t="s">
        <v>1954</v>
      </c>
      <c r="I7" s="142"/>
      <c r="J7" s="54">
        <v>20.0</v>
      </c>
      <c r="K7" s="55">
        <v>12.0</v>
      </c>
      <c r="L7" s="55">
        <v>0.0</v>
      </c>
      <c r="M7" s="55">
        <v>1.0</v>
      </c>
      <c r="N7" s="43">
        <f t="shared" ref="N7:N66" si="1">sum(L7,M7)</f>
        <v>1</v>
      </c>
      <c r="O7" s="55">
        <v>12.0</v>
      </c>
      <c r="P7" s="55">
        <v>7.0</v>
      </c>
      <c r="Q7" s="43">
        <f t="shared" ref="Q7:Q65" si="2">sum(N7,O7,P7)</f>
        <v>20</v>
      </c>
      <c r="R7" s="43"/>
      <c r="S7" s="43"/>
      <c r="T7" s="43"/>
      <c r="U7" s="43"/>
      <c r="V7" s="55" t="s">
        <v>3161</v>
      </c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3162</v>
      </c>
      <c r="C8" s="37" t="s">
        <v>3163</v>
      </c>
      <c r="D8" s="37" t="s">
        <v>509</v>
      </c>
      <c r="E8" s="133" t="s">
        <v>338</v>
      </c>
      <c r="F8" s="134">
        <v>34.0</v>
      </c>
      <c r="G8" s="134" t="s">
        <v>339</v>
      </c>
      <c r="H8" s="134" t="s">
        <v>641</v>
      </c>
      <c r="I8" s="134">
        <v>9.989977026E9</v>
      </c>
      <c r="J8" s="54">
        <v>25.0</v>
      </c>
      <c r="K8" s="55">
        <v>11.0</v>
      </c>
      <c r="L8" s="55">
        <v>0.0</v>
      </c>
      <c r="M8" s="55">
        <v>2.0</v>
      </c>
      <c r="N8" s="43">
        <f t="shared" si="1"/>
        <v>2</v>
      </c>
      <c r="O8" s="55">
        <v>4.0</v>
      </c>
      <c r="P8" s="55">
        <v>12.0</v>
      </c>
      <c r="Q8" s="43">
        <f t="shared" si="2"/>
        <v>18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151" t="s">
        <v>3164</v>
      </c>
      <c r="C9" s="37" t="s">
        <v>3165</v>
      </c>
      <c r="D9" s="37" t="s">
        <v>3166</v>
      </c>
      <c r="E9" s="133" t="s">
        <v>338</v>
      </c>
      <c r="F9" s="134">
        <v>47.0</v>
      </c>
      <c r="G9" s="134" t="s">
        <v>339</v>
      </c>
      <c r="H9" s="134" t="s">
        <v>435</v>
      </c>
      <c r="I9" s="134">
        <v>9.451998E9</v>
      </c>
      <c r="J9" s="54">
        <v>26.0</v>
      </c>
      <c r="K9" s="55">
        <v>25.0</v>
      </c>
      <c r="L9" s="55">
        <v>0.0</v>
      </c>
      <c r="M9" s="55">
        <v>0.0</v>
      </c>
      <c r="N9" s="43">
        <f t="shared" si="1"/>
        <v>0</v>
      </c>
      <c r="O9" s="55">
        <v>6.0</v>
      </c>
      <c r="P9" s="55">
        <v>1.0</v>
      </c>
      <c r="Q9" s="43">
        <f t="shared" si="2"/>
        <v>7</v>
      </c>
      <c r="R9" s="43"/>
      <c r="S9" s="43"/>
      <c r="T9" s="43"/>
      <c r="U9" s="43"/>
      <c r="V9" s="55" t="s">
        <v>2703</v>
      </c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151" t="s">
        <v>3167</v>
      </c>
      <c r="C10" s="37" t="s">
        <v>3168</v>
      </c>
      <c r="D10" s="37" t="s">
        <v>3169</v>
      </c>
      <c r="E10" s="133" t="s">
        <v>338</v>
      </c>
      <c r="F10" s="134">
        <v>37.0</v>
      </c>
      <c r="G10" s="134" t="s">
        <v>339</v>
      </c>
      <c r="H10" s="134" t="s">
        <v>435</v>
      </c>
      <c r="I10" s="134">
        <v>9.087546479E9</v>
      </c>
      <c r="J10" s="54">
        <v>26.0</v>
      </c>
      <c r="K10" s="55">
        <v>23.0</v>
      </c>
      <c r="L10" s="55">
        <v>0.0</v>
      </c>
      <c r="M10" s="55">
        <v>0.0</v>
      </c>
      <c r="N10" s="43">
        <f t="shared" si="1"/>
        <v>0</v>
      </c>
      <c r="O10" s="55">
        <v>6.0</v>
      </c>
      <c r="P10" s="55">
        <v>3.0</v>
      </c>
      <c r="Q10" s="43">
        <f t="shared" si="2"/>
        <v>9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151" t="s">
        <v>3170</v>
      </c>
      <c r="C11" s="37" t="s">
        <v>3148</v>
      </c>
      <c r="D11" s="37" t="s">
        <v>774</v>
      </c>
      <c r="E11" s="133" t="s">
        <v>338</v>
      </c>
      <c r="F11" s="134">
        <v>41.0</v>
      </c>
      <c r="G11" s="134" t="s">
        <v>339</v>
      </c>
      <c r="H11" s="134" t="s">
        <v>646</v>
      </c>
      <c r="I11" s="134">
        <v>9.098525891E9</v>
      </c>
      <c r="J11" s="54">
        <v>26.0</v>
      </c>
      <c r="K11" s="55">
        <v>16.0</v>
      </c>
      <c r="L11" s="55">
        <v>0.0</v>
      </c>
      <c r="M11" s="55">
        <v>6.0</v>
      </c>
      <c r="N11" s="43">
        <f t="shared" si="1"/>
        <v>6</v>
      </c>
      <c r="O11" s="55">
        <v>3.0</v>
      </c>
      <c r="P11" s="55">
        <v>4.0</v>
      </c>
      <c r="Q11" s="43">
        <f t="shared" si="2"/>
        <v>13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154" t="s">
        <v>3171</v>
      </c>
      <c r="C12" s="37" t="s">
        <v>3172</v>
      </c>
      <c r="D12" s="37" t="s">
        <v>3173</v>
      </c>
      <c r="E12" s="133" t="s">
        <v>338</v>
      </c>
      <c r="F12" s="134">
        <v>45.0</v>
      </c>
      <c r="G12" s="134" t="s">
        <v>339</v>
      </c>
      <c r="H12" s="134" t="s">
        <v>646</v>
      </c>
      <c r="I12" s="134">
        <v>9.917154364E9</v>
      </c>
      <c r="J12" s="54">
        <v>18.0</v>
      </c>
      <c r="K12" s="55">
        <v>15.0</v>
      </c>
      <c r="L12" s="55">
        <v>0.0</v>
      </c>
      <c r="M12" s="55">
        <v>2.0</v>
      </c>
      <c r="N12" s="43">
        <f t="shared" si="1"/>
        <v>2</v>
      </c>
      <c r="O12" s="55">
        <v>14.0</v>
      </c>
      <c r="P12" s="55">
        <v>1.0</v>
      </c>
      <c r="Q12" s="43">
        <f t="shared" si="2"/>
        <v>17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W156</f>
        <v>56</v>
      </c>
    </row>
    <row r="13" ht="13.5" customHeight="1">
      <c r="A13" s="28">
        <v>7.0</v>
      </c>
      <c r="B13" s="155" t="s">
        <v>3174</v>
      </c>
      <c r="C13" s="37" t="s">
        <v>3175</v>
      </c>
      <c r="D13" s="37" t="s">
        <v>3176</v>
      </c>
      <c r="E13" s="133" t="s">
        <v>338</v>
      </c>
      <c r="F13" s="134">
        <v>49.0</v>
      </c>
      <c r="G13" s="134" t="s">
        <v>339</v>
      </c>
      <c r="H13" s="134" t="s">
        <v>435</v>
      </c>
      <c r="I13" s="134">
        <v>9.264995256E9</v>
      </c>
      <c r="J13" s="54">
        <v>26.0</v>
      </c>
      <c r="K13" s="55">
        <v>22.0</v>
      </c>
      <c r="L13" s="55">
        <v>3.0</v>
      </c>
      <c r="M13" s="55">
        <v>1.0</v>
      </c>
      <c r="N13" s="43">
        <f t="shared" si="1"/>
        <v>4</v>
      </c>
      <c r="O13" s="55">
        <v>6.0</v>
      </c>
      <c r="P13" s="55">
        <v>0.0</v>
      </c>
      <c r="Q13" s="43">
        <f t="shared" si="2"/>
        <v>10</v>
      </c>
      <c r="R13" s="43"/>
      <c r="S13" s="43"/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151" t="s">
        <v>531</v>
      </c>
      <c r="C14" s="37" t="s">
        <v>3177</v>
      </c>
      <c r="D14" s="37" t="s">
        <v>3178</v>
      </c>
      <c r="E14" s="133" t="s">
        <v>338</v>
      </c>
      <c r="F14" s="134">
        <v>43.0</v>
      </c>
      <c r="G14" s="134" t="s">
        <v>339</v>
      </c>
      <c r="H14" s="134" t="s">
        <v>646</v>
      </c>
      <c r="I14" s="134">
        <v>9.602845925E9</v>
      </c>
      <c r="J14" s="54">
        <v>26.0</v>
      </c>
      <c r="K14" s="55">
        <v>22.0</v>
      </c>
      <c r="L14" s="55">
        <v>0.0</v>
      </c>
      <c r="M14" s="55">
        <v>0.0</v>
      </c>
      <c r="N14" s="43">
        <f t="shared" si="1"/>
        <v>0</v>
      </c>
      <c r="O14" s="55">
        <v>6.0</v>
      </c>
      <c r="P14" s="55">
        <v>4.0</v>
      </c>
      <c r="Q14" s="43">
        <f t="shared" si="2"/>
        <v>10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151" t="s">
        <v>3179</v>
      </c>
      <c r="C15" s="37" t="s">
        <v>3180</v>
      </c>
      <c r="D15" s="37" t="s">
        <v>3181</v>
      </c>
      <c r="E15" s="133" t="s">
        <v>338</v>
      </c>
      <c r="F15" s="134">
        <v>46.0</v>
      </c>
      <c r="G15" s="134" t="s">
        <v>339</v>
      </c>
      <c r="H15" s="134" t="s">
        <v>646</v>
      </c>
      <c r="I15" s="134">
        <v>9.394388242E9</v>
      </c>
      <c r="J15" s="54">
        <v>28.0</v>
      </c>
      <c r="K15" s="55">
        <v>26.0</v>
      </c>
      <c r="L15" s="55">
        <v>0.0</v>
      </c>
      <c r="M15" s="55">
        <v>2.0</v>
      </c>
      <c r="N15" s="43">
        <f t="shared" si="1"/>
        <v>2</v>
      </c>
      <c r="O15" s="55">
        <v>4.0</v>
      </c>
      <c r="P15" s="55">
        <v>2.0</v>
      </c>
      <c r="Q15" s="43">
        <f t="shared" si="2"/>
        <v>8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151" t="s">
        <v>3182</v>
      </c>
      <c r="C16" s="37" t="s">
        <v>3183</v>
      </c>
      <c r="D16" s="37" t="s">
        <v>3184</v>
      </c>
      <c r="E16" s="133" t="s">
        <v>338</v>
      </c>
      <c r="F16" s="134">
        <v>31.0</v>
      </c>
      <c r="G16" s="134" t="s">
        <v>339</v>
      </c>
      <c r="H16" s="134" t="s">
        <v>435</v>
      </c>
      <c r="I16" s="134">
        <v>9.560921337E9</v>
      </c>
      <c r="J16" s="42"/>
      <c r="K16" s="43"/>
      <c r="L16" s="43"/>
      <c r="M16" s="43"/>
      <c r="N16" s="43">
        <f t="shared" si="1"/>
        <v>0</v>
      </c>
      <c r="O16" s="43"/>
      <c r="P16" s="43"/>
      <c r="Q16" s="43">
        <f t="shared" si="2"/>
        <v>0</v>
      </c>
      <c r="R16" s="43"/>
      <c r="S16" s="43"/>
      <c r="T16" s="43"/>
      <c r="U16" s="43"/>
      <c r="V16" s="43"/>
      <c r="W16" s="44"/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151" t="s">
        <v>3185</v>
      </c>
      <c r="C17" s="37" t="s">
        <v>3186</v>
      </c>
      <c r="D17" s="37" t="s">
        <v>3187</v>
      </c>
      <c r="E17" s="133" t="s">
        <v>338</v>
      </c>
      <c r="F17" s="134">
        <v>40.0</v>
      </c>
      <c r="G17" s="134" t="s">
        <v>339</v>
      </c>
      <c r="H17" s="134" t="s">
        <v>435</v>
      </c>
      <c r="I17" s="142"/>
      <c r="J17" s="42"/>
      <c r="K17" s="43"/>
      <c r="L17" s="43"/>
      <c r="M17" s="43"/>
      <c r="N17" s="43">
        <f t="shared" si="1"/>
        <v>0</v>
      </c>
      <c r="O17" s="43"/>
      <c r="P17" s="43"/>
      <c r="Q17" s="43">
        <f t="shared" si="2"/>
        <v>0</v>
      </c>
      <c r="R17" s="43"/>
      <c r="S17" s="43"/>
      <c r="T17" s="43"/>
      <c r="U17" s="43"/>
      <c r="V17" s="43"/>
      <c r="W17" s="44"/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156" t="s">
        <v>3188</v>
      </c>
      <c r="C18" s="37" t="s">
        <v>2884</v>
      </c>
      <c r="D18" s="37" t="s">
        <v>3189</v>
      </c>
      <c r="E18" s="133" t="s">
        <v>338</v>
      </c>
      <c r="F18" s="134">
        <v>41.0</v>
      </c>
      <c r="G18" s="134" t="s">
        <v>339</v>
      </c>
      <c r="H18" s="134" t="s">
        <v>708</v>
      </c>
      <c r="I18" s="134">
        <v>9.4343827E9</v>
      </c>
      <c r="J18" s="54">
        <v>19.0</v>
      </c>
      <c r="K18" s="55">
        <v>9.0</v>
      </c>
      <c r="L18" s="55">
        <v>0.0</v>
      </c>
      <c r="M18" s="55">
        <v>0.0</v>
      </c>
      <c r="N18" s="43">
        <f t="shared" si="1"/>
        <v>0</v>
      </c>
      <c r="O18" s="55">
        <v>11.0</v>
      </c>
      <c r="P18" s="55">
        <v>10.0</v>
      </c>
      <c r="Q18" s="43">
        <f t="shared" si="2"/>
        <v>21</v>
      </c>
      <c r="R18" s="43"/>
      <c r="S18" s="43"/>
      <c r="T18" s="43"/>
      <c r="U18" s="43"/>
      <c r="V18" s="55" t="s">
        <v>3190</v>
      </c>
      <c r="W18" s="56" t="s">
        <v>46</v>
      </c>
      <c r="Z18" s="34"/>
      <c r="AA18" s="61" t="s">
        <v>88</v>
      </c>
      <c r="AB18" s="66">
        <f>COUNTIF(S7:S157, "RPDU")</f>
        <v>0</v>
      </c>
      <c r="AC18" s="34"/>
      <c r="AD18" s="34"/>
    </row>
    <row r="19" ht="13.5" customHeight="1">
      <c r="A19" s="28">
        <v>13.0</v>
      </c>
      <c r="B19" s="229" t="s">
        <v>3191</v>
      </c>
      <c r="C19" s="37" t="s">
        <v>3192</v>
      </c>
      <c r="D19" s="37" t="s">
        <v>3193</v>
      </c>
      <c r="E19" s="133" t="s">
        <v>338</v>
      </c>
      <c r="F19" s="134">
        <v>33.0</v>
      </c>
      <c r="G19" s="134" t="s">
        <v>339</v>
      </c>
      <c r="H19" s="134" t="s">
        <v>435</v>
      </c>
      <c r="I19" s="142"/>
      <c r="J19" s="54">
        <v>28.0</v>
      </c>
      <c r="K19" s="55">
        <v>19.0</v>
      </c>
      <c r="L19" s="55">
        <v>3.0</v>
      </c>
      <c r="M19" s="55">
        <v>6.0</v>
      </c>
      <c r="N19" s="43">
        <f t="shared" si="1"/>
        <v>9</v>
      </c>
      <c r="O19" s="55">
        <v>3.0</v>
      </c>
      <c r="P19" s="55">
        <v>0.0</v>
      </c>
      <c r="Q19" s="43">
        <f t="shared" si="2"/>
        <v>12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155" t="s">
        <v>3194</v>
      </c>
      <c r="C20" s="37" t="s">
        <v>3195</v>
      </c>
      <c r="D20" s="37" t="s">
        <v>3196</v>
      </c>
      <c r="E20" s="133" t="s">
        <v>338</v>
      </c>
      <c r="F20" s="134">
        <v>47.0</v>
      </c>
      <c r="G20" s="134" t="s">
        <v>385</v>
      </c>
      <c r="H20" s="134" t="s">
        <v>663</v>
      </c>
      <c r="I20" s="134">
        <v>9.308179273E9</v>
      </c>
      <c r="J20" s="54">
        <v>27.0</v>
      </c>
      <c r="K20" s="55">
        <v>22.0</v>
      </c>
      <c r="L20" s="55">
        <v>0.0</v>
      </c>
      <c r="M20" s="55">
        <v>5.0</v>
      </c>
      <c r="N20" s="43">
        <f t="shared" si="1"/>
        <v>5</v>
      </c>
      <c r="O20" s="55">
        <v>5.0</v>
      </c>
      <c r="P20" s="55">
        <v>0.0</v>
      </c>
      <c r="Q20" s="43">
        <f t="shared" si="2"/>
        <v>10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151" t="s">
        <v>3197</v>
      </c>
      <c r="C21" s="37" t="s">
        <v>3198</v>
      </c>
      <c r="D21" s="37" t="s">
        <v>3199</v>
      </c>
      <c r="E21" s="133" t="s">
        <v>338</v>
      </c>
      <c r="F21" s="134">
        <v>41.0</v>
      </c>
      <c r="G21" s="134" t="s">
        <v>339</v>
      </c>
      <c r="H21" s="134" t="s">
        <v>708</v>
      </c>
      <c r="I21" s="134">
        <v>9.073700224E9</v>
      </c>
      <c r="J21" s="54">
        <v>27.0</v>
      </c>
      <c r="K21" s="55">
        <v>19.0</v>
      </c>
      <c r="L21" s="55">
        <v>0.0</v>
      </c>
      <c r="M21" s="55">
        <v>0.0</v>
      </c>
      <c r="N21" s="43">
        <f t="shared" si="1"/>
        <v>0</v>
      </c>
      <c r="O21" s="55">
        <v>3.0</v>
      </c>
      <c r="P21" s="55">
        <v>8.0</v>
      </c>
      <c r="Q21" s="43">
        <f t="shared" si="2"/>
        <v>11</v>
      </c>
      <c r="R21" s="43"/>
      <c r="S21" s="43"/>
      <c r="T21" s="43"/>
      <c r="U21" s="43"/>
      <c r="V21" s="55" t="s">
        <v>3200</v>
      </c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151" t="s">
        <v>3201</v>
      </c>
      <c r="C22" s="37" t="s">
        <v>3202</v>
      </c>
      <c r="D22" s="37" t="s">
        <v>3203</v>
      </c>
      <c r="E22" s="133" t="s">
        <v>338</v>
      </c>
      <c r="F22" s="134">
        <v>36.0</v>
      </c>
      <c r="G22" s="134" t="s">
        <v>339</v>
      </c>
      <c r="H22" s="134" t="s">
        <v>435</v>
      </c>
      <c r="I22" s="134">
        <v>9.502441866E9</v>
      </c>
      <c r="J22" s="42"/>
      <c r="K22" s="43"/>
      <c r="L22" s="43"/>
      <c r="M22" s="43"/>
      <c r="N22" s="43">
        <f t="shared" si="1"/>
        <v>0</v>
      </c>
      <c r="O22" s="43"/>
      <c r="P22" s="43"/>
      <c r="Q22" s="43">
        <f t="shared" si="2"/>
        <v>0</v>
      </c>
      <c r="R22" s="43"/>
      <c r="S22" s="43"/>
      <c r="T22" s="43"/>
      <c r="U22" s="43"/>
      <c r="V22" s="43"/>
      <c r="W22" s="44"/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151" t="s">
        <v>3204</v>
      </c>
      <c r="C23" s="37" t="s">
        <v>3205</v>
      </c>
      <c r="D23" s="37" t="s">
        <v>1595</v>
      </c>
      <c r="E23" s="133" t="s">
        <v>338</v>
      </c>
      <c r="F23" s="134">
        <v>47.0</v>
      </c>
      <c r="G23" s="134" t="s">
        <v>339</v>
      </c>
      <c r="H23" s="134" t="s">
        <v>435</v>
      </c>
      <c r="I23" s="134">
        <v>9.46676196E9</v>
      </c>
      <c r="J23" s="54">
        <v>25.0</v>
      </c>
      <c r="K23" s="55">
        <v>22.0</v>
      </c>
      <c r="L23" s="55">
        <v>0.0</v>
      </c>
      <c r="M23" s="55">
        <v>1.0</v>
      </c>
      <c r="N23" s="43">
        <f t="shared" si="1"/>
        <v>1</v>
      </c>
      <c r="O23" s="55">
        <v>7.0</v>
      </c>
      <c r="P23" s="55">
        <v>2.0</v>
      </c>
      <c r="Q23" s="43">
        <f t="shared" si="2"/>
        <v>10</v>
      </c>
      <c r="R23" s="43"/>
      <c r="S23" s="43"/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0</v>
      </c>
      <c r="AC23" s="34"/>
      <c r="AD23" s="34"/>
    </row>
    <row r="24" ht="13.5" customHeight="1">
      <c r="A24" s="28">
        <v>18.0</v>
      </c>
      <c r="B24" s="151" t="s">
        <v>550</v>
      </c>
      <c r="C24" s="37" t="s">
        <v>3206</v>
      </c>
      <c r="D24" s="37" t="s">
        <v>3207</v>
      </c>
      <c r="E24" s="133" t="s">
        <v>338</v>
      </c>
      <c r="F24" s="134">
        <v>53.0</v>
      </c>
      <c r="G24" s="134" t="s">
        <v>339</v>
      </c>
      <c r="H24" s="134" t="s">
        <v>646</v>
      </c>
      <c r="I24" s="134">
        <v>9.763705003E9</v>
      </c>
      <c r="J24" s="54">
        <v>23.0</v>
      </c>
      <c r="K24" s="55">
        <v>18.0</v>
      </c>
      <c r="L24" s="55">
        <v>0.0</v>
      </c>
      <c r="M24" s="55">
        <v>3.0</v>
      </c>
      <c r="N24" s="43">
        <f t="shared" si="1"/>
        <v>3</v>
      </c>
      <c r="O24" s="55">
        <v>9.0</v>
      </c>
      <c r="P24" s="55">
        <v>2.0</v>
      </c>
      <c r="Q24" s="43">
        <f t="shared" si="2"/>
        <v>14</v>
      </c>
      <c r="R24" s="43"/>
      <c r="S24" s="43"/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151" t="s">
        <v>3208</v>
      </c>
      <c r="C25" s="37" t="s">
        <v>3209</v>
      </c>
      <c r="D25" s="37" t="s">
        <v>665</v>
      </c>
      <c r="E25" s="133" t="s">
        <v>338</v>
      </c>
      <c r="F25" s="134">
        <v>53.0</v>
      </c>
      <c r="G25" s="134" t="s">
        <v>385</v>
      </c>
      <c r="H25" s="134" t="s">
        <v>435</v>
      </c>
      <c r="I25" s="134">
        <v>9.120077778E9</v>
      </c>
      <c r="J25" s="54">
        <v>12.0</v>
      </c>
      <c r="K25" s="55">
        <v>8.0</v>
      </c>
      <c r="L25" s="55">
        <v>1.0</v>
      </c>
      <c r="M25" s="55">
        <v>3.0</v>
      </c>
      <c r="N25" s="43">
        <f t="shared" si="1"/>
        <v>4</v>
      </c>
      <c r="O25" s="55">
        <v>20.0</v>
      </c>
      <c r="P25" s="55">
        <v>0.0</v>
      </c>
      <c r="Q25" s="43">
        <f t="shared" si="2"/>
        <v>24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151" t="s">
        <v>3210</v>
      </c>
      <c r="C26" s="37" t="s">
        <v>741</v>
      </c>
      <c r="D26" s="37" t="s">
        <v>3211</v>
      </c>
      <c r="E26" s="133" t="s">
        <v>338</v>
      </c>
      <c r="F26" s="134">
        <v>37.0</v>
      </c>
      <c r="G26" s="134" t="s">
        <v>339</v>
      </c>
      <c r="H26" s="134" t="s">
        <v>646</v>
      </c>
      <c r="I26" s="134">
        <v>9.913173089E9</v>
      </c>
      <c r="J26" s="54">
        <v>22.0</v>
      </c>
      <c r="K26" s="55">
        <v>19.0</v>
      </c>
      <c r="L26" s="55">
        <v>0.0</v>
      </c>
      <c r="M26" s="55">
        <v>1.0</v>
      </c>
      <c r="N26" s="43">
        <f t="shared" si="1"/>
        <v>1</v>
      </c>
      <c r="O26" s="55">
        <v>10.0</v>
      </c>
      <c r="P26" s="55">
        <v>1.0</v>
      </c>
      <c r="Q26" s="43">
        <f t="shared" si="2"/>
        <v>12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156" t="s">
        <v>3212</v>
      </c>
      <c r="C27" s="37" t="s">
        <v>3213</v>
      </c>
      <c r="D27" s="37" t="s">
        <v>3214</v>
      </c>
      <c r="E27" s="133" t="s">
        <v>338</v>
      </c>
      <c r="F27" s="134">
        <v>36.0</v>
      </c>
      <c r="G27" s="134" t="s">
        <v>339</v>
      </c>
      <c r="H27" s="134" t="s">
        <v>435</v>
      </c>
      <c r="I27" s="134">
        <v>9.297141533E9</v>
      </c>
      <c r="J27" s="54">
        <v>27.0</v>
      </c>
      <c r="K27" s="55">
        <v>23.0</v>
      </c>
      <c r="L27" s="55">
        <v>2.0</v>
      </c>
      <c r="M27" s="55">
        <v>2.0</v>
      </c>
      <c r="N27" s="43">
        <f t="shared" si="1"/>
        <v>4</v>
      </c>
      <c r="O27" s="55">
        <v>5.0</v>
      </c>
      <c r="P27" s="55">
        <v>0.0</v>
      </c>
      <c r="Q27" s="43">
        <f t="shared" si="2"/>
        <v>9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155" t="s">
        <v>3215</v>
      </c>
      <c r="C28" s="37" t="s">
        <v>3216</v>
      </c>
      <c r="D28" s="37" t="s">
        <v>3217</v>
      </c>
      <c r="E28" s="133" t="s">
        <v>338</v>
      </c>
      <c r="F28" s="134">
        <v>40.0</v>
      </c>
      <c r="G28" s="134" t="s">
        <v>385</v>
      </c>
      <c r="H28" s="134" t="s">
        <v>646</v>
      </c>
      <c r="I28" s="134">
        <v>9.30885265E9</v>
      </c>
      <c r="J28" s="54">
        <v>19.0</v>
      </c>
      <c r="K28" s="55">
        <v>17.0</v>
      </c>
      <c r="L28" s="55">
        <v>0.0</v>
      </c>
      <c r="M28" s="55">
        <v>2.0</v>
      </c>
      <c r="N28" s="43">
        <f t="shared" si="1"/>
        <v>2</v>
      </c>
      <c r="O28" s="55">
        <v>11.0</v>
      </c>
      <c r="P28" s="55">
        <v>0.0</v>
      </c>
      <c r="Q28" s="43">
        <f t="shared" si="2"/>
        <v>13</v>
      </c>
      <c r="R28" s="43"/>
      <c r="S28" s="43"/>
      <c r="T28" s="43"/>
      <c r="U28" s="43"/>
      <c r="V28" s="55" t="s">
        <v>648</v>
      </c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151" t="s">
        <v>3218</v>
      </c>
      <c r="C29" s="37" t="s">
        <v>3219</v>
      </c>
      <c r="D29" s="37" t="s">
        <v>3220</v>
      </c>
      <c r="E29" s="133" t="s">
        <v>338</v>
      </c>
      <c r="F29" s="134">
        <v>34.0</v>
      </c>
      <c r="G29" s="134" t="s">
        <v>385</v>
      </c>
      <c r="H29" s="134" t="s">
        <v>435</v>
      </c>
      <c r="I29" s="134">
        <v>9.914803202E9</v>
      </c>
      <c r="J29" s="54">
        <v>29.0</v>
      </c>
      <c r="K29" s="55">
        <v>24.0</v>
      </c>
      <c r="L29" s="55">
        <v>0.0</v>
      </c>
      <c r="M29" s="55">
        <v>2.0</v>
      </c>
      <c r="N29" s="43">
        <f t="shared" si="1"/>
        <v>2</v>
      </c>
      <c r="O29" s="55">
        <v>3.0</v>
      </c>
      <c r="P29" s="55">
        <v>3.0</v>
      </c>
      <c r="Q29" s="43">
        <f t="shared" si="2"/>
        <v>8</v>
      </c>
      <c r="R29" s="43"/>
      <c r="S29" s="43"/>
      <c r="T29" s="43"/>
      <c r="U29" s="43"/>
      <c r="V29" s="55" t="s">
        <v>692</v>
      </c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151" t="s">
        <v>3221</v>
      </c>
      <c r="C30" s="37" t="s">
        <v>3222</v>
      </c>
      <c r="D30" s="37" t="s">
        <v>3223</v>
      </c>
      <c r="E30" s="133" t="s">
        <v>338</v>
      </c>
      <c r="F30" s="134">
        <v>42.0</v>
      </c>
      <c r="G30" s="134" t="s">
        <v>339</v>
      </c>
      <c r="H30" s="134" t="s">
        <v>435</v>
      </c>
      <c r="I30" s="134">
        <v>9.483602903E9</v>
      </c>
      <c r="J30" s="54">
        <v>30.0</v>
      </c>
      <c r="K30" s="55">
        <v>24.0</v>
      </c>
      <c r="L30" s="55">
        <v>0.0</v>
      </c>
      <c r="M30" s="55">
        <v>1.0</v>
      </c>
      <c r="N30" s="43">
        <f t="shared" si="1"/>
        <v>1</v>
      </c>
      <c r="O30" s="55">
        <v>0.0</v>
      </c>
      <c r="P30" s="55">
        <v>5.0</v>
      </c>
      <c r="Q30" s="43">
        <f t="shared" si="2"/>
        <v>6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151" t="s">
        <v>3224</v>
      </c>
      <c r="C31" s="37" t="s">
        <v>3225</v>
      </c>
      <c r="D31" s="37" t="s">
        <v>3226</v>
      </c>
      <c r="E31" s="133" t="s">
        <v>338</v>
      </c>
      <c r="F31" s="134">
        <v>48.0</v>
      </c>
      <c r="G31" s="134" t="s">
        <v>339</v>
      </c>
      <c r="H31" s="134" t="s">
        <v>435</v>
      </c>
      <c r="I31" s="134">
        <v>9.287484555E9</v>
      </c>
      <c r="J31" s="54">
        <v>27.0</v>
      </c>
      <c r="K31" s="55">
        <v>23.0</v>
      </c>
      <c r="L31" s="55">
        <v>1.0</v>
      </c>
      <c r="M31" s="55">
        <v>2.0</v>
      </c>
      <c r="N31" s="43">
        <f t="shared" si="1"/>
        <v>3</v>
      </c>
      <c r="O31" s="55">
        <v>5.0</v>
      </c>
      <c r="P31" s="55">
        <v>1.0</v>
      </c>
      <c r="Q31" s="43">
        <f t="shared" si="2"/>
        <v>9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151" t="s">
        <v>3227</v>
      </c>
      <c r="C32" s="37" t="s">
        <v>788</v>
      </c>
      <c r="D32" s="37" t="s">
        <v>1601</v>
      </c>
      <c r="E32" s="133" t="s">
        <v>338</v>
      </c>
      <c r="F32" s="134">
        <v>31.0</v>
      </c>
      <c r="G32" s="134" t="s">
        <v>339</v>
      </c>
      <c r="H32" s="134" t="s">
        <v>435</v>
      </c>
      <c r="I32" s="134">
        <v>9.759391963E9</v>
      </c>
      <c r="J32" s="54">
        <v>29.0</v>
      </c>
      <c r="K32" s="55">
        <v>25.0</v>
      </c>
      <c r="L32" s="55">
        <v>0.0</v>
      </c>
      <c r="M32" s="55">
        <v>2.0</v>
      </c>
      <c r="N32" s="43">
        <f t="shared" si="1"/>
        <v>2</v>
      </c>
      <c r="O32" s="55">
        <v>3.0</v>
      </c>
      <c r="P32" s="55">
        <v>3.0</v>
      </c>
      <c r="Q32" s="43">
        <f t="shared" si="2"/>
        <v>8</v>
      </c>
      <c r="R32" s="43"/>
      <c r="S32" s="43"/>
      <c r="T32" s="43"/>
      <c r="U32" s="43"/>
      <c r="V32" s="55" t="s">
        <v>1554</v>
      </c>
      <c r="W32" s="56" t="s">
        <v>46</v>
      </c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151" t="s">
        <v>3228</v>
      </c>
      <c r="C33" s="37" t="s">
        <v>3229</v>
      </c>
      <c r="D33" s="37" t="s">
        <v>3230</v>
      </c>
      <c r="E33" s="133" t="s">
        <v>338</v>
      </c>
      <c r="F33" s="134">
        <v>37.0</v>
      </c>
      <c r="G33" s="134" t="s">
        <v>339</v>
      </c>
      <c r="H33" s="134" t="s">
        <v>435</v>
      </c>
      <c r="I33" s="134">
        <v>9.076225074E9</v>
      </c>
      <c r="J33" s="54">
        <v>31.0</v>
      </c>
      <c r="K33" s="55">
        <v>23.0</v>
      </c>
      <c r="L33" s="55">
        <v>0.0</v>
      </c>
      <c r="M33" s="55">
        <v>0.0</v>
      </c>
      <c r="N33" s="43">
        <f t="shared" si="1"/>
        <v>0</v>
      </c>
      <c r="O33" s="55">
        <v>1.0</v>
      </c>
      <c r="P33" s="55">
        <v>8.0</v>
      </c>
      <c r="Q33" s="43">
        <f t="shared" si="2"/>
        <v>9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156" t="s">
        <v>3231</v>
      </c>
      <c r="C34" s="37" t="s">
        <v>586</v>
      </c>
      <c r="D34" s="37" t="s">
        <v>3232</v>
      </c>
      <c r="E34" s="133" t="s">
        <v>338</v>
      </c>
      <c r="F34" s="134">
        <v>33.0</v>
      </c>
      <c r="G34" s="134" t="s">
        <v>339</v>
      </c>
      <c r="H34" s="134" t="s">
        <v>435</v>
      </c>
      <c r="I34" s="134">
        <v>9.917914752E9</v>
      </c>
      <c r="J34" s="54">
        <v>10.0</v>
      </c>
      <c r="K34" s="55">
        <v>10.0</v>
      </c>
      <c r="L34" s="55">
        <v>0.0</v>
      </c>
      <c r="M34" s="55">
        <v>0.0</v>
      </c>
      <c r="N34" s="43">
        <f t="shared" si="1"/>
        <v>0</v>
      </c>
      <c r="O34" s="55">
        <v>22.0</v>
      </c>
      <c r="P34" s="55">
        <v>0.0</v>
      </c>
      <c r="Q34" s="43">
        <f t="shared" si="2"/>
        <v>22</v>
      </c>
      <c r="R34" s="43"/>
      <c r="S34" s="43"/>
      <c r="T34" s="43"/>
      <c r="U34" s="43"/>
      <c r="V34" s="55" t="s">
        <v>3233</v>
      </c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160" t="s">
        <v>3234</v>
      </c>
      <c r="C35" s="37" t="s">
        <v>3235</v>
      </c>
      <c r="D35" s="37" t="s">
        <v>3236</v>
      </c>
      <c r="E35" s="133" t="s">
        <v>338</v>
      </c>
      <c r="F35" s="134">
        <v>48.0</v>
      </c>
      <c r="G35" s="134" t="s">
        <v>339</v>
      </c>
      <c r="H35" s="134" t="s">
        <v>646</v>
      </c>
      <c r="I35" s="134">
        <v>9.657228E9</v>
      </c>
      <c r="J35" s="161">
        <v>22.0</v>
      </c>
      <c r="K35" s="55">
        <v>16.0</v>
      </c>
      <c r="L35" s="55">
        <v>0.0</v>
      </c>
      <c r="M35" s="55">
        <v>6.0</v>
      </c>
      <c r="N35" s="43">
        <f t="shared" si="1"/>
        <v>6</v>
      </c>
      <c r="O35" s="55">
        <v>6.0</v>
      </c>
      <c r="P35" s="55">
        <v>0.0</v>
      </c>
      <c r="Q35" s="43">
        <f t="shared" si="2"/>
        <v>12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151" t="s">
        <v>3237</v>
      </c>
      <c r="C36" s="37" t="s">
        <v>3238</v>
      </c>
      <c r="D36" s="37" t="s">
        <v>509</v>
      </c>
      <c r="E36" s="133" t="s">
        <v>338</v>
      </c>
      <c r="F36" s="134">
        <v>31.0</v>
      </c>
      <c r="G36" s="134" t="s">
        <v>339</v>
      </c>
      <c r="H36" s="134" t="s">
        <v>646</v>
      </c>
      <c r="I36" s="134">
        <v>9.605314129E9</v>
      </c>
      <c r="J36" s="87">
        <v>27.0</v>
      </c>
      <c r="K36" s="55">
        <v>24.0</v>
      </c>
      <c r="L36" s="55">
        <v>1.0</v>
      </c>
      <c r="M36" s="55">
        <v>1.0</v>
      </c>
      <c r="N36" s="43">
        <f t="shared" si="1"/>
        <v>2</v>
      </c>
      <c r="O36" s="55">
        <v>3.0</v>
      </c>
      <c r="P36" s="55">
        <v>1.0</v>
      </c>
      <c r="Q36" s="43">
        <f t="shared" si="2"/>
        <v>6</v>
      </c>
      <c r="R36" s="43"/>
      <c r="S36" s="43"/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151" t="s">
        <v>633</v>
      </c>
      <c r="C37" s="37" t="s">
        <v>3239</v>
      </c>
      <c r="D37" s="37" t="s">
        <v>3240</v>
      </c>
      <c r="E37" s="133" t="s">
        <v>338</v>
      </c>
      <c r="F37" s="134">
        <v>38.0</v>
      </c>
      <c r="G37" s="134" t="s">
        <v>339</v>
      </c>
      <c r="H37" s="134" t="s">
        <v>646</v>
      </c>
      <c r="I37" s="134">
        <v>9.298429736E9</v>
      </c>
      <c r="J37" s="87">
        <v>30.0</v>
      </c>
      <c r="K37" s="55">
        <v>22.0</v>
      </c>
      <c r="L37" s="55">
        <v>0.0</v>
      </c>
      <c r="M37" s="55">
        <v>0.0</v>
      </c>
      <c r="N37" s="43">
        <f t="shared" si="1"/>
        <v>0</v>
      </c>
      <c r="O37" s="55">
        <v>2.0</v>
      </c>
      <c r="P37" s="55">
        <v>8.0</v>
      </c>
      <c r="Q37" s="43">
        <f t="shared" si="2"/>
        <v>10</v>
      </c>
      <c r="R37" s="43"/>
      <c r="S37" s="43"/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151" t="s">
        <v>3241</v>
      </c>
      <c r="C38" s="37" t="s">
        <v>3242</v>
      </c>
      <c r="D38" s="37" t="s">
        <v>3243</v>
      </c>
      <c r="E38" s="133" t="s">
        <v>338</v>
      </c>
      <c r="F38" s="134">
        <v>53.0</v>
      </c>
      <c r="G38" s="134" t="s">
        <v>339</v>
      </c>
      <c r="H38" s="134" t="s">
        <v>435</v>
      </c>
      <c r="I38" s="134">
        <v>9.193797416E9</v>
      </c>
      <c r="J38" s="87">
        <v>15.0</v>
      </c>
      <c r="K38" s="55">
        <v>13.0</v>
      </c>
      <c r="L38" s="55">
        <v>0.0</v>
      </c>
      <c r="M38" s="55">
        <v>1.0</v>
      </c>
      <c r="N38" s="43">
        <f t="shared" si="1"/>
        <v>1</v>
      </c>
      <c r="O38" s="55">
        <v>17.0</v>
      </c>
      <c r="P38" s="55">
        <v>1.0</v>
      </c>
      <c r="Q38" s="43">
        <f t="shared" si="2"/>
        <v>19</v>
      </c>
      <c r="R38" s="43"/>
      <c r="S38" s="43"/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151" t="s">
        <v>3244</v>
      </c>
      <c r="C39" s="37" t="s">
        <v>2884</v>
      </c>
      <c r="D39" s="37" t="s">
        <v>3245</v>
      </c>
      <c r="E39" s="133" t="s">
        <v>338</v>
      </c>
      <c r="F39" s="134">
        <v>45.0</v>
      </c>
      <c r="G39" s="134" t="s">
        <v>339</v>
      </c>
      <c r="H39" s="134" t="s">
        <v>435</v>
      </c>
      <c r="I39" s="134">
        <v>9.684992668E9</v>
      </c>
      <c r="J39" s="87">
        <v>21.0</v>
      </c>
      <c r="K39" s="55">
        <v>19.0</v>
      </c>
      <c r="L39" s="55">
        <v>0.0</v>
      </c>
      <c r="M39" s="55">
        <v>1.0</v>
      </c>
      <c r="N39" s="43">
        <f t="shared" si="1"/>
        <v>1</v>
      </c>
      <c r="O39" s="55">
        <v>11.0</v>
      </c>
      <c r="P39" s="55">
        <v>1.0</v>
      </c>
      <c r="Q39" s="43">
        <f t="shared" si="2"/>
        <v>13</v>
      </c>
      <c r="R39" s="43"/>
      <c r="S39" s="43"/>
      <c r="T39" s="43"/>
      <c r="U39" s="43"/>
      <c r="V39" s="55" t="s">
        <v>648</v>
      </c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151" t="s">
        <v>3246</v>
      </c>
      <c r="C40" s="37" t="s">
        <v>3247</v>
      </c>
      <c r="D40" s="37" t="s">
        <v>3248</v>
      </c>
      <c r="E40" s="133" t="s">
        <v>338</v>
      </c>
      <c r="F40" s="134">
        <v>31.0</v>
      </c>
      <c r="G40" s="134" t="s">
        <v>339</v>
      </c>
      <c r="H40" s="134" t="s">
        <v>435</v>
      </c>
      <c r="I40" s="134">
        <v>9.754021476E9</v>
      </c>
      <c r="J40" s="87">
        <v>32.0</v>
      </c>
      <c r="K40" s="55">
        <v>30.0</v>
      </c>
      <c r="L40" s="55">
        <v>0.0</v>
      </c>
      <c r="M40" s="55">
        <v>0.0</v>
      </c>
      <c r="N40" s="43">
        <f t="shared" si="1"/>
        <v>0</v>
      </c>
      <c r="O40" s="55">
        <v>0.0</v>
      </c>
      <c r="P40" s="55">
        <v>2.0</v>
      </c>
      <c r="Q40" s="43">
        <f t="shared" si="2"/>
        <v>2</v>
      </c>
      <c r="R40" s="43"/>
      <c r="S40" s="43"/>
      <c r="T40" s="43"/>
      <c r="U40" s="43"/>
      <c r="V40" s="55" t="s">
        <v>3249</v>
      </c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156" t="s">
        <v>3250</v>
      </c>
      <c r="C41" s="37" t="s">
        <v>3251</v>
      </c>
      <c r="D41" s="37" t="s">
        <v>3252</v>
      </c>
      <c r="E41" s="133" t="s">
        <v>338</v>
      </c>
      <c r="F41" s="134">
        <v>36.0</v>
      </c>
      <c r="G41" s="134" t="s">
        <v>385</v>
      </c>
      <c r="H41" s="134" t="s">
        <v>435</v>
      </c>
      <c r="I41" s="134">
        <v>9.18389781E9</v>
      </c>
      <c r="J41" s="87">
        <v>27.0</v>
      </c>
      <c r="K41" s="55">
        <v>25.0</v>
      </c>
      <c r="L41" s="55">
        <v>0.0</v>
      </c>
      <c r="M41" s="55">
        <v>1.0</v>
      </c>
      <c r="N41" s="43">
        <f t="shared" si="1"/>
        <v>1</v>
      </c>
      <c r="O41" s="55">
        <v>5.0</v>
      </c>
      <c r="P41" s="55">
        <v>1.0</v>
      </c>
      <c r="Q41" s="43">
        <f t="shared" si="2"/>
        <v>7</v>
      </c>
      <c r="R41" s="43"/>
      <c r="S41" s="43"/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155" t="s">
        <v>3253</v>
      </c>
      <c r="C42" s="37" t="s">
        <v>3254</v>
      </c>
      <c r="D42" s="37" t="s">
        <v>3255</v>
      </c>
      <c r="E42" s="133" t="s">
        <v>338</v>
      </c>
      <c r="F42" s="134">
        <v>56.0</v>
      </c>
      <c r="G42" s="134" t="s">
        <v>339</v>
      </c>
      <c r="H42" s="134" t="s">
        <v>663</v>
      </c>
      <c r="I42" s="142"/>
      <c r="J42" s="87">
        <v>20.0</v>
      </c>
      <c r="K42" s="55">
        <v>16.0</v>
      </c>
      <c r="L42" s="55">
        <v>0.0</v>
      </c>
      <c r="M42" s="55">
        <v>2.0</v>
      </c>
      <c r="N42" s="43">
        <f t="shared" si="1"/>
        <v>2</v>
      </c>
      <c r="O42" s="55">
        <v>12.0</v>
      </c>
      <c r="P42" s="55">
        <v>2.0</v>
      </c>
      <c r="Q42" s="43">
        <f t="shared" si="2"/>
        <v>16</v>
      </c>
      <c r="R42" s="43"/>
      <c r="S42" s="43"/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151" t="s">
        <v>1595</v>
      </c>
      <c r="C43" s="37" t="s">
        <v>3256</v>
      </c>
      <c r="D43" s="37" t="s">
        <v>3257</v>
      </c>
      <c r="E43" s="133" t="s">
        <v>338</v>
      </c>
      <c r="F43" s="134">
        <v>36.0</v>
      </c>
      <c r="G43" s="134" t="s">
        <v>339</v>
      </c>
      <c r="H43" s="134" t="s">
        <v>435</v>
      </c>
      <c r="I43" s="134">
        <v>9.227797047E9</v>
      </c>
      <c r="J43" s="87">
        <v>26.0</v>
      </c>
      <c r="K43" s="55">
        <v>22.0</v>
      </c>
      <c r="L43" s="55">
        <v>0.0</v>
      </c>
      <c r="M43" s="55">
        <v>0.0</v>
      </c>
      <c r="N43" s="43">
        <f t="shared" si="1"/>
        <v>0</v>
      </c>
      <c r="O43" s="55">
        <v>2.0</v>
      </c>
      <c r="P43" s="55">
        <v>4.0</v>
      </c>
      <c r="Q43" s="43">
        <f t="shared" si="2"/>
        <v>6</v>
      </c>
      <c r="R43" s="43"/>
      <c r="S43" s="43"/>
      <c r="T43" s="43"/>
      <c r="U43" s="43"/>
      <c r="V43" s="43"/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151" t="s">
        <v>3258</v>
      </c>
      <c r="C44" s="37" t="s">
        <v>3259</v>
      </c>
      <c r="D44" s="37" t="s">
        <v>3260</v>
      </c>
      <c r="E44" s="133" t="s">
        <v>338</v>
      </c>
      <c r="F44" s="134">
        <v>26.0</v>
      </c>
      <c r="G44" s="134" t="s">
        <v>339</v>
      </c>
      <c r="H44" s="134" t="s">
        <v>435</v>
      </c>
      <c r="I44" s="134">
        <v>9.505104078E9</v>
      </c>
      <c r="J44" s="87">
        <v>30.0</v>
      </c>
      <c r="K44" s="55">
        <v>23.0</v>
      </c>
      <c r="L44" s="55">
        <v>2.0</v>
      </c>
      <c r="M44" s="55">
        <v>3.0</v>
      </c>
      <c r="N44" s="43">
        <f t="shared" si="1"/>
        <v>5</v>
      </c>
      <c r="O44" s="55">
        <v>2.0</v>
      </c>
      <c r="P44" s="55">
        <v>0.0</v>
      </c>
      <c r="Q44" s="43">
        <f t="shared" si="2"/>
        <v>7</v>
      </c>
      <c r="R44" s="43"/>
      <c r="S44" s="43"/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151" t="s">
        <v>501</v>
      </c>
      <c r="C45" s="37" t="s">
        <v>3261</v>
      </c>
      <c r="D45" s="37" t="s">
        <v>3262</v>
      </c>
      <c r="E45" s="133" t="s">
        <v>338</v>
      </c>
      <c r="F45" s="134">
        <v>45.0</v>
      </c>
      <c r="G45" s="134" t="s">
        <v>339</v>
      </c>
      <c r="H45" s="134" t="s">
        <v>708</v>
      </c>
      <c r="I45" s="134">
        <v>9.237414134E9</v>
      </c>
      <c r="J45" s="87">
        <v>25.0</v>
      </c>
      <c r="K45" s="55">
        <v>17.0</v>
      </c>
      <c r="L45" s="55">
        <v>0.0</v>
      </c>
      <c r="M45" s="55">
        <v>4.0</v>
      </c>
      <c r="N45" s="43">
        <f t="shared" si="1"/>
        <v>4</v>
      </c>
      <c r="O45" s="55">
        <v>7.0</v>
      </c>
      <c r="P45" s="55">
        <v>4.0</v>
      </c>
      <c r="Q45" s="43">
        <f t="shared" si="2"/>
        <v>15</v>
      </c>
      <c r="R45" s="43"/>
      <c r="S45" s="43"/>
      <c r="T45" s="43"/>
      <c r="U45" s="43"/>
      <c r="V45" s="55" t="s">
        <v>692</v>
      </c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151" t="s">
        <v>3263</v>
      </c>
      <c r="C46" s="37" t="s">
        <v>3264</v>
      </c>
      <c r="D46" s="37" t="s">
        <v>3178</v>
      </c>
      <c r="E46" s="133" t="s">
        <v>338</v>
      </c>
      <c r="F46" s="134">
        <v>36.0</v>
      </c>
      <c r="G46" s="134" t="s">
        <v>339</v>
      </c>
      <c r="H46" s="134" t="s">
        <v>646</v>
      </c>
      <c r="I46" s="142"/>
      <c r="J46" s="87">
        <v>28.0</v>
      </c>
      <c r="K46" s="55">
        <v>27.0</v>
      </c>
      <c r="L46" s="55">
        <v>1.0</v>
      </c>
      <c r="M46" s="55">
        <v>0.0</v>
      </c>
      <c r="N46" s="43">
        <f t="shared" si="1"/>
        <v>1</v>
      </c>
      <c r="O46" s="55">
        <v>4.0</v>
      </c>
      <c r="P46" s="55">
        <v>0.0</v>
      </c>
      <c r="Q46" s="43">
        <f t="shared" si="2"/>
        <v>5</v>
      </c>
      <c r="R46" s="43"/>
      <c r="S46" s="43"/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151" t="s">
        <v>3265</v>
      </c>
      <c r="C47" s="37" t="s">
        <v>3266</v>
      </c>
      <c r="D47" s="37" t="s">
        <v>3267</v>
      </c>
      <c r="E47" s="133" t="s">
        <v>338</v>
      </c>
      <c r="F47" s="134">
        <v>42.0</v>
      </c>
      <c r="G47" s="134" t="s">
        <v>339</v>
      </c>
      <c r="H47" s="134" t="s">
        <v>435</v>
      </c>
      <c r="I47" s="134">
        <v>9.063028468E9</v>
      </c>
      <c r="J47" s="87">
        <v>28.0</v>
      </c>
      <c r="K47" s="55">
        <v>20.0</v>
      </c>
      <c r="L47" s="55">
        <v>0.0</v>
      </c>
      <c r="M47" s="55">
        <v>0.0</v>
      </c>
      <c r="N47" s="43">
        <f t="shared" si="1"/>
        <v>0</v>
      </c>
      <c r="O47" s="55">
        <v>4.0</v>
      </c>
      <c r="P47" s="55">
        <v>8.0</v>
      </c>
      <c r="Q47" s="43">
        <f t="shared" si="2"/>
        <v>12</v>
      </c>
      <c r="R47" s="43"/>
      <c r="S47" s="43"/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156" t="s">
        <v>3268</v>
      </c>
      <c r="C48" s="37" t="s">
        <v>3269</v>
      </c>
      <c r="D48" s="37" t="s">
        <v>627</v>
      </c>
      <c r="E48" s="133" t="s">
        <v>338</v>
      </c>
      <c r="F48" s="134">
        <v>34.0</v>
      </c>
      <c r="G48" s="134" t="s">
        <v>339</v>
      </c>
      <c r="H48" s="134" t="s">
        <v>646</v>
      </c>
      <c r="I48" s="134">
        <v>9.389424124E9</v>
      </c>
      <c r="J48" s="87">
        <v>16.0</v>
      </c>
      <c r="K48" s="55">
        <v>11.0</v>
      </c>
      <c r="L48" s="55">
        <v>0.0</v>
      </c>
      <c r="M48" s="55">
        <v>5.0</v>
      </c>
      <c r="N48" s="43">
        <f t="shared" si="1"/>
        <v>5</v>
      </c>
      <c r="O48" s="55">
        <v>16.0</v>
      </c>
      <c r="P48" s="55">
        <v>0.0</v>
      </c>
      <c r="Q48" s="43">
        <f t="shared" si="2"/>
        <v>21</v>
      </c>
      <c r="R48" s="43"/>
      <c r="S48" s="43"/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160" t="s">
        <v>3270</v>
      </c>
      <c r="C49" s="37" t="s">
        <v>3271</v>
      </c>
      <c r="D49" s="37" t="s">
        <v>3272</v>
      </c>
      <c r="E49" s="133" t="s">
        <v>338</v>
      </c>
      <c r="F49" s="134">
        <v>32.0</v>
      </c>
      <c r="G49" s="134" t="s">
        <v>339</v>
      </c>
      <c r="H49" s="134" t="s">
        <v>646</v>
      </c>
      <c r="I49" s="134">
        <v>9.208341809E9</v>
      </c>
      <c r="J49" s="87">
        <v>22.0</v>
      </c>
      <c r="K49" s="55">
        <v>19.0</v>
      </c>
      <c r="L49" s="55">
        <v>1.0</v>
      </c>
      <c r="M49" s="55">
        <v>2.0</v>
      </c>
      <c r="N49" s="43">
        <f t="shared" si="1"/>
        <v>3</v>
      </c>
      <c r="O49" s="55">
        <v>10.0</v>
      </c>
      <c r="P49" s="55">
        <v>0.0</v>
      </c>
      <c r="Q49" s="43">
        <f t="shared" si="2"/>
        <v>13</v>
      </c>
      <c r="R49" s="43"/>
      <c r="S49" s="43"/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151" t="s">
        <v>3273</v>
      </c>
      <c r="C50" s="37" t="s">
        <v>650</v>
      </c>
      <c r="D50" s="37" t="s">
        <v>3274</v>
      </c>
      <c r="E50" s="133" t="s">
        <v>338</v>
      </c>
      <c r="F50" s="134">
        <v>29.0</v>
      </c>
      <c r="G50" s="134" t="s">
        <v>339</v>
      </c>
      <c r="H50" s="134" t="s">
        <v>435</v>
      </c>
      <c r="I50" s="134">
        <v>9.4395033E9</v>
      </c>
      <c r="J50" s="87">
        <v>26.0</v>
      </c>
      <c r="K50" s="55">
        <v>20.0</v>
      </c>
      <c r="L50" s="55">
        <v>0.0</v>
      </c>
      <c r="M50" s="55">
        <v>6.0</v>
      </c>
      <c r="N50" s="43">
        <f t="shared" si="1"/>
        <v>6</v>
      </c>
      <c r="O50" s="55">
        <v>6.0</v>
      </c>
      <c r="P50" s="55">
        <v>0.0</v>
      </c>
      <c r="Q50" s="43">
        <f t="shared" si="2"/>
        <v>12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7" t="s">
        <v>774</v>
      </c>
      <c r="C51" s="37" t="s">
        <v>3275</v>
      </c>
      <c r="D51" s="37" t="s">
        <v>3276</v>
      </c>
      <c r="E51" s="133" t="s">
        <v>338</v>
      </c>
      <c r="F51" s="134">
        <v>36.0</v>
      </c>
      <c r="G51" s="134" t="s">
        <v>339</v>
      </c>
      <c r="H51" s="134" t="s">
        <v>646</v>
      </c>
      <c r="I51" s="134">
        <v>9.479805698E9</v>
      </c>
      <c r="J51" s="87">
        <v>30.0</v>
      </c>
      <c r="K51" s="55">
        <v>25.0</v>
      </c>
      <c r="L51" s="55">
        <v>0.0</v>
      </c>
      <c r="M51" s="55">
        <v>3.0</v>
      </c>
      <c r="N51" s="43">
        <f t="shared" si="1"/>
        <v>3</v>
      </c>
      <c r="O51" s="55">
        <v>2.0</v>
      </c>
      <c r="P51" s="55">
        <v>2.0</v>
      </c>
      <c r="Q51" s="43">
        <f t="shared" si="2"/>
        <v>7</v>
      </c>
      <c r="R51" s="43"/>
      <c r="S51" s="43"/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37" t="s">
        <v>3277</v>
      </c>
      <c r="C52" s="37" t="s">
        <v>3278</v>
      </c>
      <c r="D52" s="37" t="s">
        <v>3279</v>
      </c>
      <c r="E52" s="133" t="s">
        <v>338</v>
      </c>
      <c r="F52" s="134">
        <v>57.0</v>
      </c>
      <c r="G52" s="134" t="s">
        <v>385</v>
      </c>
      <c r="H52" s="134" t="s">
        <v>646</v>
      </c>
      <c r="I52" s="134">
        <v>9.481996319E9</v>
      </c>
      <c r="J52" s="87">
        <v>13.0</v>
      </c>
      <c r="K52" s="55">
        <v>12.0</v>
      </c>
      <c r="L52" s="55">
        <v>0.0</v>
      </c>
      <c r="M52" s="55">
        <v>1.0</v>
      </c>
      <c r="N52" s="43">
        <f t="shared" si="1"/>
        <v>1</v>
      </c>
      <c r="O52" s="55">
        <v>19.0</v>
      </c>
      <c r="P52" s="55">
        <v>0.0</v>
      </c>
      <c r="Q52" s="43">
        <f t="shared" si="2"/>
        <v>20</v>
      </c>
      <c r="R52" s="43"/>
      <c r="S52" s="43"/>
      <c r="T52" s="43"/>
      <c r="U52" s="43"/>
      <c r="V52" s="55" t="s">
        <v>3233</v>
      </c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47.0</v>
      </c>
      <c r="B53" s="37" t="s">
        <v>3280</v>
      </c>
      <c r="C53" s="37" t="s">
        <v>3281</v>
      </c>
      <c r="D53" s="37" t="s">
        <v>3282</v>
      </c>
      <c r="E53" s="133" t="s">
        <v>338</v>
      </c>
      <c r="F53" s="134">
        <v>29.0</v>
      </c>
      <c r="G53" s="134" t="s">
        <v>339</v>
      </c>
      <c r="H53" s="134" t="s">
        <v>435</v>
      </c>
      <c r="I53" s="134">
        <v>9.6849976E9</v>
      </c>
      <c r="J53" s="87">
        <v>26.0</v>
      </c>
      <c r="K53" s="55">
        <v>25.0</v>
      </c>
      <c r="L53" s="55">
        <v>0.0</v>
      </c>
      <c r="M53" s="55">
        <v>1.0</v>
      </c>
      <c r="N53" s="43">
        <f t="shared" si="1"/>
        <v>1</v>
      </c>
      <c r="O53" s="55">
        <v>6.0</v>
      </c>
      <c r="P53" s="55">
        <v>0.0</v>
      </c>
      <c r="Q53" s="43">
        <f t="shared" si="2"/>
        <v>7</v>
      </c>
      <c r="R53" s="43"/>
      <c r="S53" s="43"/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37" t="s">
        <v>795</v>
      </c>
      <c r="C54" s="37" t="s">
        <v>3283</v>
      </c>
      <c r="D54" s="37" t="s">
        <v>3178</v>
      </c>
      <c r="E54" s="133" t="s">
        <v>338</v>
      </c>
      <c r="F54" s="134">
        <v>43.0</v>
      </c>
      <c r="G54" s="134" t="s">
        <v>339</v>
      </c>
      <c r="H54" s="134" t="s">
        <v>708</v>
      </c>
      <c r="I54" s="134">
        <v>9.366825421E9</v>
      </c>
      <c r="J54" s="87">
        <v>18.0</v>
      </c>
      <c r="K54" s="55">
        <v>14.0</v>
      </c>
      <c r="L54" s="55">
        <v>0.0</v>
      </c>
      <c r="M54" s="55">
        <v>0.0</v>
      </c>
      <c r="N54" s="43">
        <f t="shared" si="1"/>
        <v>0</v>
      </c>
      <c r="O54" s="55">
        <v>14.0</v>
      </c>
      <c r="P54" s="55">
        <v>4.0</v>
      </c>
      <c r="Q54" s="43">
        <f t="shared" si="2"/>
        <v>18</v>
      </c>
      <c r="R54" s="43"/>
      <c r="S54" s="43"/>
      <c r="T54" s="43"/>
      <c r="U54" s="43"/>
      <c r="V54" s="55" t="s">
        <v>786</v>
      </c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300" t="s">
        <v>618</v>
      </c>
      <c r="C55" s="37" t="s">
        <v>3114</v>
      </c>
      <c r="D55" s="37" t="s">
        <v>3284</v>
      </c>
      <c r="E55" s="133" t="s">
        <v>338</v>
      </c>
      <c r="F55" s="134">
        <v>42.0</v>
      </c>
      <c r="G55" s="134" t="s">
        <v>339</v>
      </c>
      <c r="H55" s="134" t="s">
        <v>646</v>
      </c>
      <c r="I55" s="134">
        <v>9.984006528E9</v>
      </c>
      <c r="J55" s="87">
        <v>28.0</v>
      </c>
      <c r="K55" s="55">
        <v>25.0</v>
      </c>
      <c r="L55" s="55">
        <v>0.0</v>
      </c>
      <c r="M55" s="55">
        <v>1.0</v>
      </c>
      <c r="N55" s="43">
        <f t="shared" si="1"/>
        <v>1</v>
      </c>
      <c r="O55" s="55">
        <v>4.0</v>
      </c>
      <c r="P55" s="55">
        <v>2.0</v>
      </c>
      <c r="Q55" s="43">
        <f t="shared" si="2"/>
        <v>7</v>
      </c>
      <c r="R55" s="43"/>
      <c r="S55" s="43"/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37" t="s">
        <v>3285</v>
      </c>
      <c r="C56" s="37" t="s">
        <v>3286</v>
      </c>
      <c r="D56" s="37" t="s">
        <v>3287</v>
      </c>
      <c r="E56" s="133" t="s">
        <v>338</v>
      </c>
      <c r="F56" s="134">
        <v>53.0</v>
      </c>
      <c r="G56" s="134" t="s">
        <v>339</v>
      </c>
      <c r="H56" s="134" t="s">
        <v>435</v>
      </c>
      <c r="I56" s="134">
        <v>9.480656238E9</v>
      </c>
      <c r="J56" s="87">
        <v>12.0</v>
      </c>
      <c r="K56" s="55">
        <v>6.0</v>
      </c>
      <c r="L56" s="55">
        <v>0.0</v>
      </c>
      <c r="M56" s="55">
        <v>4.0</v>
      </c>
      <c r="N56" s="43">
        <f t="shared" si="1"/>
        <v>4</v>
      </c>
      <c r="O56" s="55">
        <v>20.0</v>
      </c>
      <c r="P56" s="55">
        <v>2.0</v>
      </c>
      <c r="Q56" s="43">
        <f t="shared" si="2"/>
        <v>26</v>
      </c>
      <c r="R56" s="43"/>
      <c r="S56" s="43"/>
      <c r="T56" s="43"/>
      <c r="U56" s="43"/>
      <c r="V56" s="55" t="s">
        <v>786</v>
      </c>
      <c r="W56" s="56" t="s">
        <v>46</v>
      </c>
      <c r="Z56" s="61"/>
      <c r="AA56" s="61"/>
      <c r="AB56" s="66"/>
      <c r="AC56" s="34"/>
      <c r="AD56" s="34"/>
    </row>
    <row r="57" ht="13.5" customHeight="1">
      <c r="A57" s="28">
        <v>51.0</v>
      </c>
      <c r="B57" s="37" t="s">
        <v>3288</v>
      </c>
      <c r="C57" s="37" t="s">
        <v>3289</v>
      </c>
      <c r="D57" s="37" t="s">
        <v>3290</v>
      </c>
      <c r="E57" s="133" t="s">
        <v>338</v>
      </c>
      <c r="F57" s="134">
        <v>55.0</v>
      </c>
      <c r="G57" s="134" t="s">
        <v>339</v>
      </c>
      <c r="H57" s="134" t="s">
        <v>646</v>
      </c>
      <c r="I57" s="134">
        <v>9.9917851E9</v>
      </c>
      <c r="J57" s="87">
        <v>28.0</v>
      </c>
      <c r="K57" s="55">
        <v>24.0</v>
      </c>
      <c r="L57" s="55">
        <v>2.0</v>
      </c>
      <c r="M57" s="55">
        <v>2.0</v>
      </c>
      <c r="N57" s="43">
        <f t="shared" si="1"/>
        <v>4</v>
      </c>
      <c r="O57" s="55">
        <v>2.0</v>
      </c>
      <c r="P57" s="55">
        <v>0.0</v>
      </c>
      <c r="Q57" s="43">
        <f t="shared" si="2"/>
        <v>6</v>
      </c>
      <c r="R57" s="43"/>
      <c r="S57" s="43"/>
      <c r="T57" s="43"/>
      <c r="U57" s="43"/>
      <c r="V57" s="55" t="s">
        <v>648</v>
      </c>
      <c r="W57" s="56" t="s">
        <v>46</v>
      </c>
      <c r="Z57" s="61"/>
      <c r="AA57" s="61"/>
      <c r="AB57" s="66"/>
      <c r="AC57" s="34"/>
      <c r="AD57" s="34"/>
    </row>
    <row r="58" ht="13.5" customHeight="1">
      <c r="A58" s="28">
        <v>52.0</v>
      </c>
      <c r="B58" s="37" t="s">
        <v>3288</v>
      </c>
      <c r="C58" s="37" t="s">
        <v>3291</v>
      </c>
      <c r="D58" s="37" t="s">
        <v>3292</v>
      </c>
      <c r="E58" s="133" t="s">
        <v>338</v>
      </c>
      <c r="F58" s="134">
        <v>34.0</v>
      </c>
      <c r="G58" s="134" t="s">
        <v>339</v>
      </c>
      <c r="H58" s="134" t="s">
        <v>646</v>
      </c>
      <c r="I58" s="134">
        <v>9.297289535E9</v>
      </c>
      <c r="J58" s="87">
        <v>26.0</v>
      </c>
      <c r="K58" s="55">
        <v>24.0</v>
      </c>
      <c r="L58" s="55">
        <v>0.0</v>
      </c>
      <c r="M58" s="55">
        <v>0.0</v>
      </c>
      <c r="N58" s="43">
        <f t="shared" si="1"/>
        <v>0</v>
      </c>
      <c r="O58" s="55">
        <v>3.0</v>
      </c>
      <c r="P58" s="55">
        <v>2.0</v>
      </c>
      <c r="Q58" s="43">
        <f t="shared" si="2"/>
        <v>5</v>
      </c>
      <c r="R58" s="43"/>
      <c r="S58" s="43"/>
      <c r="T58" s="43"/>
      <c r="U58" s="43"/>
      <c r="V58" s="55" t="s">
        <v>3293</v>
      </c>
      <c r="W58" s="56" t="s">
        <v>46</v>
      </c>
      <c r="Z58" s="61"/>
      <c r="AA58" s="61"/>
      <c r="AB58" s="66"/>
      <c r="AC58" s="34"/>
      <c r="AD58" s="34"/>
    </row>
    <row r="59" ht="13.5" customHeight="1">
      <c r="A59" s="28">
        <v>53.0</v>
      </c>
      <c r="B59" s="37" t="s">
        <v>3294</v>
      </c>
      <c r="C59" s="37" t="s">
        <v>3295</v>
      </c>
      <c r="D59" s="37" t="s">
        <v>3296</v>
      </c>
      <c r="E59" s="133" t="s">
        <v>338</v>
      </c>
      <c r="F59" s="134">
        <v>53.0</v>
      </c>
      <c r="G59" s="134" t="s">
        <v>385</v>
      </c>
      <c r="H59" s="134" t="s">
        <v>435</v>
      </c>
      <c r="I59" s="142"/>
      <c r="J59" s="87">
        <v>25.0</v>
      </c>
      <c r="K59" s="55">
        <v>22.0</v>
      </c>
      <c r="L59" s="55">
        <v>1.0</v>
      </c>
      <c r="M59" s="55">
        <v>1.0</v>
      </c>
      <c r="N59" s="43">
        <f t="shared" si="1"/>
        <v>2</v>
      </c>
      <c r="O59" s="55">
        <v>7.0</v>
      </c>
      <c r="P59" s="55">
        <v>1.0</v>
      </c>
      <c r="Q59" s="43">
        <f t="shared" si="2"/>
        <v>10</v>
      </c>
      <c r="R59" s="43"/>
      <c r="S59" s="43"/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37" t="s">
        <v>3297</v>
      </c>
      <c r="C60" s="37" t="s">
        <v>3298</v>
      </c>
      <c r="D60" s="37" t="s">
        <v>3299</v>
      </c>
      <c r="E60" s="133" t="s">
        <v>338</v>
      </c>
      <c r="F60" s="134">
        <v>43.0</v>
      </c>
      <c r="G60" s="134" t="s">
        <v>339</v>
      </c>
      <c r="H60" s="134" t="s">
        <v>646</v>
      </c>
      <c r="I60" s="134">
        <v>9.464347744E9</v>
      </c>
      <c r="J60" s="87">
        <v>16.0</v>
      </c>
      <c r="K60" s="55">
        <v>14.0</v>
      </c>
      <c r="L60" s="55">
        <v>0.0</v>
      </c>
      <c r="M60" s="55">
        <v>1.0</v>
      </c>
      <c r="N60" s="43">
        <f t="shared" si="1"/>
        <v>1</v>
      </c>
      <c r="O60" s="55">
        <v>12.0</v>
      </c>
      <c r="P60" s="55">
        <v>2.0</v>
      </c>
      <c r="Q60" s="43">
        <f t="shared" si="2"/>
        <v>15</v>
      </c>
      <c r="R60" s="43"/>
      <c r="S60" s="43"/>
      <c r="T60" s="43"/>
      <c r="U60" s="43"/>
      <c r="V60" s="55" t="s">
        <v>2703</v>
      </c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37" t="s">
        <v>3300</v>
      </c>
      <c r="C61" s="37" t="s">
        <v>3301</v>
      </c>
      <c r="D61" s="37" t="s">
        <v>3302</v>
      </c>
      <c r="E61" s="133" t="s">
        <v>338</v>
      </c>
      <c r="F61" s="134">
        <v>39.0</v>
      </c>
      <c r="G61" s="134" t="s">
        <v>339</v>
      </c>
      <c r="H61" s="134" t="s">
        <v>435</v>
      </c>
      <c r="I61" s="134">
        <v>9.605314148E9</v>
      </c>
      <c r="J61" s="87">
        <v>28.0</v>
      </c>
      <c r="K61" s="55">
        <v>24.0</v>
      </c>
      <c r="L61" s="55">
        <v>0.0</v>
      </c>
      <c r="M61" s="55">
        <v>0.0</v>
      </c>
      <c r="N61" s="43">
        <f t="shared" si="1"/>
        <v>0</v>
      </c>
      <c r="O61" s="55">
        <v>4.0</v>
      </c>
      <c r="P61" s="55">
        <v>6.0</v>
      </c>
      <c r="Q61" s="43">
        <f t="shared" si="2"/>
        <v>10</v>
      </c>
      <c r="R61" s="43"/>
      <c r="S61" s="43"/>
      <c r="T61" s="43"/>
      <c r="U61" s="43"/>
      <c r="V61" s="43"/>
      <c r="W61" s="56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37" t="s">
        <v>3303</v>
      </c>
      <c r="C62" s="37" t="s">
        <v>3304</v>
      </c>
      <c r="D62" s="37" t="s">
        <v>3305</v>
      </c>
      <c r="E62" s="133" t="s">
        <v>338</v>
      </c>
      <c r="F62" s="134">
        <v>31.0</v>
      </c>
      <c r="G62" s="134" t="s">
        <v>339</v>
      </c>
      <c r="H62" s="134" t="s">
        <v>435</v>
      </c>
      <c r="I62" s="134">
        <v>9.563547492E9</v>
      </c>
      <c r="J62" s="87">
        <v>30.0</v>
      </c>
      <c r="K62" s="55">
        <v>26.0</v>
      </c>
      <c r="L62" s="55">
        <v>0.0</v>
      </c>
      <c r="M62" s="55">
        <v>0.0</v>
      </c>
      <c r="N62" s="43">
        <f t="shared" si="1"/>
        <v>0</v>
      </c>
      <c r="O62" s="55">
        <v>2.0</v>
      </c>
      <c r="P62" s="55">
        <v>4.0</v>
      </c>
      <c r="Q62" s="43">
        <f t="shared" si="2"/>
        <v>6</v>
      </c>
      <c r="R62" s="43"/>
      <c r="S62" s="43"/>
      <c r="T62" s="43"/>
      <c r="U62" s="43"/>
      <c r="V62" s="43"/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37" t="s">
        <v>3306</v>
      </c>
      <c r="C63" s="37" t="s">
        <v>3307</v>
      </c>
      <c r="D63" s="37" t="s">
        <v>3308</v>
      </c>
      <c r="E63" s="133" t="s">
        <v>338</v>
      </c>
      <c r="F63" s="134">
        <v>38.0</v>
      </c>
      <c r="G63" s="134" t="s">
        <v>339</v>
      </c>
      <c r="H63" s="134" t="s">
        <v>646</v>
      </c>
      <c r="I63" s="134">
        <v>9.462796356E9</v>
      </c>
      <c r="J63" s="87">
        <v>19.0</v>
      </c>
      <c r="K63" s="55">
        <v>11.0</v>
      </c>
      <c r="L63" s="55">
        <v>0.0</v>
      </c>
      <c r="M63" s="55">
        <v>3.0</v>
      </c>
      <c r="N63" s="43">
        <f t="shared" si="1"/>
        <v>3</v>
      </c>
      <c r="O63" s="55">
        <v>13.0</v>
      </c>
      <c r="P63" s="55">
        <v>5.0</v>
      </c>
      <c r="Q63" s="43">
        <f t="shared" si="2"/>
        <v>21</v>
      </c>
      <c r="R63" s="43"/>
      <c r="S63" s="43"/>
      <c r="T63" s="43"/>
      <c r="U63" s="43"/>
      <c r="V63" s="43"/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37" t="s">
        <v>3309</v>
      </c>
      <c r="C64" s="37" t="s">
        <v>3225</v>
      </c>
      <c r="D64" s="37" t="s">
        <v>3310</v>
      </c>
      <c r="E64" s="133" t="s">
        <v>338</v>
      </c>
      <c r="F64" s="134">
        <v>39.0</v>
      </c>
      <c r="G64" s="134" t="s">
        <v>339</v>
      </c>
      <c r="H64" s="134" t="s">
        <v>435</v>
      </c>
      <c r="I64" s="142"/>
      <c r="J64" s="87">
        <v>26.0</v>
      </c>
      <c r="K64" s="55">
        <v>24.0</v>
      </c>
      <c r="L64" s="55">
        <v>0.0</v>
      </c>
      <c r="M64" s="55">
        <v>2.0</v>
      </c>
      <c r="N64" s="43">
        <f t="shared" si="1"/>
        <v>2</v>
      </c>
      <c r="O64" s="55">
        <v>6.0</v>
      </c>
      <c r="P64" s="55">
        <v>0.0</v>
      </c>
      <c r="Q64" s="43">
        <f t="shared" si="2"/>
        <v>8</v>
      </c>
      <c r="R64" s="43"/>
      <c r="S64" s="43"/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37" t="s">
        <v>3311</v>
      </c>
      <c r="C65" s="37" t="s">
        <v>3312</v>
      </c>
      <c r="D65" s="37" t="s">
        <v>3313</v>
      </c>
      <c r="E65" s="133" t="s">
        <v>338</v>
      </c>
      <c r="F65" s="134">
        <v>45.0</v>
      </c>
      <c r="G65" s="134" t="s">
        <v>339</v>
      </c>
      <c r="H65" s="134" t="s">
        <v>646</v>
      </c>
      <c r="I65" s="134">
        <v>9.60531415E9</v>
      </c>
      <c r="J65" s="87">
        <v>25.0</v>
      </c>
      <c r="K65" s="55">
        <v>22.0</v>
      </c>
      <c r="L65" s="55">
        <v>0.0</v>
      </c>
      <c r="M65" s="55">
        <v>1.0</v>
      </c>
      <c r="N65" s="43">
        <f t="shared" si="1"/>
        <v>1</v>
      </c>
      <c r="O65" s="55">
        <v>7.0</v>
      </c>
      <c r="P65" s="55">
        <v>2.0</v>
      </c>
      <c r="Q65" s="43">
        <f t="shared" si="2"/>
        <v>10</v>
      </c>
      <c r="R65" s="43"/>
      <c r="S65" s="43"/>
      <c r="T65" s="43"/>
      <c r="U65" s="43"/>
      <c r="V65" s="55" t="s">
        <v>3314</v>
      </c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>
        <f t="shared" si="1"/>
        <v>0</v>
      </c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53"/>
      <c r="J75" s="42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105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53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7"/>
      <c r="C95" s="107"/>
      <c r="D95" s="107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8"/>
      <c r="C96" s="108"/>
      <c r="D96" s="108"/>
      <c r="E96" s="109"/>
      <c r="F96" s="110"/>
      <c r="G96" s="53"/>
      <c r="H96" s="53"/>
      <c r="I96" s="111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12"/>
      <c r="C97" s="112"/>
      <c r="D97" s="112"/>
      <c r="E97" s="53"/>
      <c r="F97" s="53"/>
      <c r="G97" s="53"/>
      <c r="H97" s="53"/>
      <c r="I97" s="53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06"/>
      <c r="C98" s="106"/>
      <c r="D98" s="106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7"/>
      <c r="C131" s="107"/>
      <c r="D131" s="107"/>
      <c r="E131" s="109"/>
      <c r="F131" s="53"/>
      <c r="G131" s="80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8"/>
      <c r="C132" s="108"/>
      <c r="D132" s="108"/>
      <c r="E132" s="113"/>
      <c r="F132" s="110"/>
      <c r="G132" s="53"/>
      <c r="H132" s="80"/>
      <c r="I132" s="111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50"/>
      <c r="G133" s="53"/>
      <c r="H133" s="53"/>
      <c r="I133" s="50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6"/>
      <c r="C136" s="106"/>
      <c r="D136" s="106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3"/>
      <c r="G137" s="53"/>
      <c r="H137" s="53"/>
      <c r="I137" s="53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14"/>
      <c r="C138" s="108"/>
      <c r="D138" s="108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06"/>
      <c r="C139" s="106"/>
      <c r="D139" s="106"/>
      <c r="E139" s="109"/>
      <c r="F139" s="53"/>
      <c r="G139" s="79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79"/>
      <c r="G140" s="53"/>
      <c r="H140" s="79"/>
      <c r="I140" s="79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53"/>
      <c r="G141" s="53"/>
      <c r="H141" s="53"/>
      <c r="I141" s="53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53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12"/>
      <c r="C144" s="112"/>
      <c r="D144" s="112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06"/>
      <c r="C145" s="106"/>
      <c r="D145" s="106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7"/>
      <c r="C149" s="107"/>
      <c r="D149" s="107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6"/>
      <c r="C150" s="106"/>
      <c r="D150" s="106"/>
      <c r="E150" s="109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15"/>
      <c r="C151" s="115"/>
      <c r="D151" s="115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2"/>
      <c r="C152" s="112"/>
      <c r="D152" s="112"/>
      <c r="E152" s="53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6"/>
      <c r="C153" s="116"/>
      <c r="D153" s="116"/>
      <c r="E153" s="117"/>
      <c r="F153" s="117"/>
      <c r="G153" s="117"/>
      <c r="H153" s="117"/>
      <c r="I153" s="117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118"/>
      <c r="B156" s="119"/>
      <c r="C156" s="119"/>
      <c r="D156" s="120"/>
      <c r="E156" s="121"/>
      <c r="F156" s="121"/>
      <c r="G156" s="121"/>
      <c r="H156" s="121"/>
      <c r="I156" s="122" t="s">
        <v>329</v>
      </c>
      <c r="J156" s="123">
        <f t="shared" ref="J156:Q156" si="3">SUM(J7:J155)</f>
        <v>1351</v>
      </c>
      <c r="K156" s="123">
        <f t="shared" si="3"/>
        <v>1099</v>
      </c>
      <c r="L156" s="123">
        <f t="shared" si="3"/>
        <v>18</v>
      </c>
      <c r="M156" s="123">
        <f t="shared" si="3"/>
        <v>96</v>
      </c>
      <c r="N156" s="123">
        <f t="shared" si="3"/>
        <v>114</v>
      </c>
      <c r="O156" s="123">
        <f t="shared" si="3"/>
        <v>407</v>
      </c>
      <c r="P156" s="123">
        <f t="shared" si="3"/>
        <v>141</v>
      </c>
      <c r="Q156" s="123">
        <f t="shared" si="3"/>
        <v>662</v>
      </c>
      <c r="R156" s="124"/>
      <c r="S156" s="124"/>
      <c r="T156" s="125"/>
      <c r="U156" s="145" t="s">
        <v>330</v>
      </c>
      <c r="V156" s="5"/>
      <c r="W156" s="126">
        <f>COUNTIF(W7:W67,"YES")</f>
        <v>56</v>
      </c>
      <c r="Z156" s="61"/>
      <c r="AA156" s="61"/>
      <c r="AB156" s="66"/>
      <c r="AC156" s="34"/>
      <c r="AD156" s="34"/>
    </row>
    <row r="157" ht="13.5" customHeight="1">
      <c r="A157" s="127"/>
      <c r="B157" s="128"/>
      <c r="C157" s="128"/>
      <c r="D157" s="129"/>
      <c r="E157" s="130"/>
      <c r="F157" s="130"/>
      <c r="G157" s="130"/>
      <c r="H157" s="130"/>
      <c r="I157" s="130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 t="s">
        <v>331</v>
      </c>
      <c r="W157" s="126"/>
      <c r="Z157" s="61"/>
      <c r="AA157" s="61"/>
      <c r="AB157" s="66"/>
      <c r="AC157" s="34"/>
      <c r="AD157" s="34"/>
    </row>
    <row r="158" ht="13.5" customHeight="1"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0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6:V156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5">
      <formula1>"YES,NO"</formula1>
    </dataValidation>
    <dataValidation type="list" allowBlank="1" showErrorMessage="1" sqref="E156:E157">
      <formula1>'Data Dont Use'!$A$8:$A$9</formula1>
    </dataValidation>
    <dataValidation type="list" allowBlank="1" showErrorMessage="1" sqref="G156:G157">
      <formula1>'Data Dont Use'!$A$4:$A$5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7.13"/>
    <col customWidth="1" min="3" max="3" width="25.75"/>
    <col customWidth="1" min="4" max="4" width="18.88"/>
    <col customWidth="1" min="5" max="5" width="13.0"/>
    <col customWidth="1" min="6" max="6" width="8.63"/>
    <col customWidth="1" min="7" max="7" width="10.38"/>
    <col customWidth="1" min="8" max="8" width="14.0"/>
    <col customWidth="1" min="9" max="9" width="18.13"/>
    <col customWidth="1" min="10" max="10" width="10.38"/>
    <col customWidth="1" min="11" max="11" width="9.88"/>
    <col customWidth="1" min="12" max="12" width="11.75"/>
    <col customWidth="1" min="13" max="13" width="12.25"/>
    <col customWidth="1" min="14" max="14" width="6.25"/>
    <col customWidth="1" min="15" max="15" width="6.38"/>
    <col customWidth="1" min="16" max="16" width="6.25"/>
    <col customWidth="1" min="17" max="21" width="8.63"/>
    <col customWidth="1" min="22" max="22" width="16.88"/>
    <col customWidth="1" min="23" max="23" width="7.5"/>
    <col customWidth="1" min="24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32" t="s">
        <v>3315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7" t="s">
        <v>3316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33.0" customHeight="1">
      <c r="A3" s="6" t="s">
        <v>3</v>
      </c>
      <c r="B3" s="5"/>
      <c r="C3" s="7" t="s">
        <v>3317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7" t="s">
        <v>3318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301" t="s">
        <v>338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0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03" t="s">
        <v>1281</v>
      </c>
      <c r="C7" s="304" t="s">
        <v>3319</v>
      </c>
      <c r="D7" s="304" t="s">
        <v>3320</v>
      </c>
      <c r="E7" s="305" t="s">
        <v>338</v>
      </c>
      <c r="F7" s="306">
        <f>2024-1967</f>
        <v>57</v>
      </c>
      <c r="G7" s="306" t="s">
        <v>476</v>
      </c>
      <c r="H7" s="306" t="s">
        <v>3321</v>
      </c>
      <c r="I7" s="307" t="s">
        <v>3322</v>
      </c>
      <c r="J7" s="54">
        <v>30.0</v>
      </c>
      <c r="K7" s="55">
        <v>23.0</v>
      </c>
      <c r="L7" s="55">
        <v>0.0</v>
      </c>
      <c r="M7" s="55">
        <v>0.0</v>
      </c>
      <c r="N7" s="43">
        <f t="shared" ref="N7:N53" si="1">SUM(L7,M7)</f>
        <v>0</v>
      </c>
      <c r="O7" s="55">
        <v>2.0</v>
      </c>
      <c r="P7" s="55">
        <v>7.0</v>
      </c>
      <c r="Q7" s="43">
        <f t="shared" ref="Q7:Q78" si="2">SUM(N7,O7,P7)</f>
        <v>9</v>
      </c>
      <c r="R7" s="43"/>
      <c r="S7" s="55" t="s">
        <v>101</v>
      </c>
      <c r="T7" s="43"/>
      <c r="U7" s="43"/>
      <c r="V7" s="55" t="s">
        <v>3323</v>
      </c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291" t="s">
        <v>981</v>
      </c>
      <c r="C8" s="292" t="s">
        <v>1293</v>
      </c>
      <c r="D8" s="292" t="s">
        <v>3324</v>
      </c>
      <c r="E8" s="293" t="s">
        <v>338</v>
      </c>
      <c r="F8" s="294">
        <v>50.0</v>
      </c>
      <c r="G8" s="294" t="s">
        <v>476</v>
      </c>
      <c r="H8" s="294" t="s">
        <v>480</v>
      </c>
      <c r="I8" s="295">
        <v>9.230813096E9</v>
      </c>
      <c r="J8" s="54">
        <v>22.0</v>
      </c>
      <c r="K8" s="55">
        <v>15.0</v>
      </c>
      <c r="L8" s="55">
        <v>0.0</v>
      </c>
      <c r="M8" s="55">
        <v>4.0</v>
      </c>
      <c r="N8" s="43">
        <f t="shared" si="1"/>
        <v>4</v>
      </c>
      <c r="O8" s="55">
        <v>9.0</v>
      </c>
      <c r="P8" s="55">
        <v>3.0</v>
      </c>
      <c r="Q8" s="43">
        <f t="shared" si="2"/>
        <v>16</v>
      </c>
      <c r="R8" s="43"/>
      <c r="S8" s="55" t="s">
        <v>88</v>
      </c>
      <c r="T8" s="55" t="s">
        <v>140</v>
      </c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291" t="s">
        <v>981</v>
      </c>
      <c r="C9" s="292" t="s">
        <v>3325</v>
      </c>
      <c r="D9" s="292" t="s">
        <v>3326</v>
      </c>
      <c r="E9" s="293" t="s">
        <v>338</v>
      </c>
      <c r="F9" s="294">
        <v>47.0</v>
      </c>
      <c r="G9" s="294" t="s">
        <v>476</v>
      </c>
      <c r="H9" s="294" t="s">
        <v>2658</v>
      </c>
      <c r="I9" s="295">
        <v>9.771694708E9</v>
      </c>
      <c r="J9" s="54">
        <v>23.0</v>
      </c>
      <c r="K9" s="55">
        <v>18.0</v>
      </c>
      <c r="L9" s="55">
        <v>0.0</v>
      </c>
      <c r="M9" s="55">
        <v>0.0</v>
      </c>
      <c r="N9" s="43">
        <f t="shared" si="1"/>
        <v>0</v>
      </c>
      <c r="O9" s="55">
        <v>9.0</v>
      </c>
      <c r="P9" s="55">
        <v>5.0</v>
      </c>
      <c r="Q9" s="43">
        <f t="shared" si="2"/>
        <v>14</v>
      </c>
      <c r="R9" s="43"/>
      <c r="S9" s="55" t="s">
        <v>93</v>
      </c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291" t="s">
        <v>115</v>
      </c>
      <c r="C10" s="292" t="s">
        <v>3327</v>
      </c>
      <c r="D10" s="292" t="s">
        <v>3328</v>
      </c>
      <c r="E10" s="293" t="s">
        <v>338</v>
      </c>
      <c r="F10" s="294">
        <v>46.0</v>
      </c>
      <c r="G10" s="294" t="s">
        <v>476</v>
      </c>
      <c r="H10" s="294" t="s">
        <v>2658</v>
      </c>
      <c r="I10" s="295">
        <v>9.08867963E9</v>
      </c>
      <c r="J10" s="54">
        <v>26.0</v>
      </c>
      <c r="K10" s="55">
        <v>16.0</v>
      </c>
      <c r="L10" s="55">
        <v>0.0</v>
      </c>
      <c r="M10" s="55">
        <v>8.0</v>
      </c>
      <c r="N10" s="43">
        <f t="shared" si="1"/>
        <v>8</v>
      </c>
      <c r="O10" s="55">
        <v>6.0</v>
      </c>
      <c r="P10" s="55">
        <v>2.0</v>
      </c>
      <c r="Q10" s="43">
        <f t="shared" si="2"/>
        <v>16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291" t="s">
        <v>3329</v>
      </c>
      <c r="C11" s="292" t="s">
        <v>3330</v>
      </c>
      <c r="D11" s="292" t="s">
        <v>2003</v>
      </c>
      <c r="E11" s="293" t="s">
        <v>338</v>
      </c>
      <c r="F11" s="294">
        <v>35.0</v>
      </c>
      <c r="G11" s="294" t="s">
        <v>476</v>
      </c>
      <c r="H11" s="294" t="s">
        <v>480</v>
      </c>
      <c r="I11" s="295">
        <v>9.752717446E9</v>
      </c>
      <c r="J11" s="54">
        <v>28.0</v>
      </c>
      <c r="K11" s="55">
        <v>28.0</v>
      </c>
      <c r="L11" s="55">
        <v>0.0</v>
      </c>
      <c r="M11" s="55">
        <v>0.0</v>
      </c>
      <c r="N11" s="43">
        <f t="shared" si="1"/>
        <v>0</v>
      </c>
      <c r="O11" s="55">
        <v>4.0</v>
      </c>
      <c r="P11" s="55">
        <v>0.0</v>
      </c>
      <c r="Q11" s="43">
        <f t="shared" si="2"/>
        <v>4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291" t="s">
        <v>3331</v>
      </c>
      <c r="C12" s="292" t="s">
        <v>3332</v>
      </c>
      <c r="D12" s="292" t="s">
        <v>3333</v>
      </c>
      <c r="E12" s="293" t="s">
        <v>338</v>
      </c>
      <c r="F12" s="294">
        <v>57.0</v>
      </c>
      <c r="G12" s="294" t="s">
        <v>584</v>
      </c>
      <c r="H12" s="294" t="s">
        <v>3334</v>
      </c>
      <c r="I12" s="295">
        <v>9.474313377E9</v>
      </c>
      <c r="J12" s="42"/>
      <c r="K12" s="43"/>
      <c r="L12" s="43"/>
      <c r="M12" s="43"/>
      <c r="N12" s="43">
        <f t="shared" si="1"/>
        <v>0</v>
      </c>
      <c r="O12" s="43"/>
      <c r="P12" s="43"/>
      <c r="Q12" s="43">
        <f t="shared" si="2"/>
        <v>0</v>
      </c>
      <c r="R12" s="43"/>
      <c r="S12" s="43"/>
      <c r="T12" s="43"/>
      <c r="U12" s="43"/>
      <c r="V12" s="43"/>
      <c r="W12" s="44"/>
      <c r="Z12" s="34"/>
      <c r="AA12" s="60" t="s">
        <v>62</v>
      </c>
      <c r="AB12" s="58"/>
      <c r="AC12" s="58"/>
      <c r="AD12" s="46">
        <f>W167</f>
        <v>138</v>
      </c>
    </row>
    <row r="13" ht="13.5" customHeight="1">
      <c r="A13" s="28">
        <v>7.0</v>
      </c>
      <c r="B13" s="291" t="s">
        <v>1165</v>
      </c>
      <c r="C13" s="292" t="s">
        <v>3335</v>
      </c>
      <c r="D13" s="292" t="s">
        <v>1167</v>
      </c>
      <c r="E13" s="293" t="s">
        <v>338</v>
      </c>
      <c r="F13" s="294">
        <v>49.0</v>
      </c>
      <c r="G13" s="294" t="s">
        <v>584</v>
      </c>
      <c r="H13" s="294" t="s">
        <v>2672</v>
      </c>
      <c r="I13" s="295">
        <v>9.176505829E9</v>
      </c>
      <c r="J13" s="54">
        <v>22.0</v>
      </c>
      <c r="K13" s="55">
        <v>11.0</v>
      </c>
      <c r="L13" s="55">
        <v>4.0</v>
      </c>
      <c r="M13" s="55">
        <v>7.0</v>
      </c>
      <c r="N13" s="43">
        <f t="shared" si="1"/>
        <v>11</v>
      </c>
      <c r="O13" s="55">
        <v>10.0</v>
      </c>
      <c r="P13" s="55">
        <v>0.0</v>
      </c>
      <c r="Q13" s="43">
        <f t="shared" si="2"/>
        <v>21</v>
      </c>
      <c r="R13" s="43"/>
      <c r="S13" s="43"/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291" t="s">
        <v>3336</v>
      </c>
      <c r="C14" s="292" t="s">
        <v>3337</v>
      </c>
      <c r="D14" s="292" t="s">
        <v>1894</v>
      </c>
      <c r="E14" s="293" t="s">
        <v>338</v>
      </c>
      <c r="F14" s="294">
        <v>52.0</v>
      </c>
      <c r="G14" s="294" t="s">
        <v>476</v>
      </c>
      <c r="H14" s="294" t="s">
        <v>3338</v>
      </c>
      <c r="I14" s="295">
        <v>9.185217765E9</v>
      </c>
      <c r="J14" s="42"/>
      <c r="K14" s="43"/>
      <c r="L14" s="43"/>
      <c r="M14" s="43"/>
      <c r="N14" s="43">
        <f t="shared" si="1"/>
        <v>0</v>
      </c>
      <c r="O14" s="43"/>
      <c r="P14" s="43"/>
      <c r="Q14" s="43">
        <f t="shared" si="2"/>
        <v>0</v>
      </c>
      <c r="R14" s="43"/>
      <c r="S14" s="43"/>
      <c r="T14" s="43"/>
      <c r="U14" s="43"/>
      <c r="V14" s="43"/>
      <c r="W14" s="44"/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291" t="s">
        <v>3339</v>
      </c>
      <c r="C15" s="292" t="s">
        <v>1871</v>
      </c>
      <c r="D15" s="292" t="s">
        <v>3340</v>
      </c>
      <c r="E15" s="293" t="s">
        <v>338</v>
      </c>
      <c r="F15" s="294">
        <v>51.0</v>
      </c>
      <c r="G15" s="294" t="s">
        <v>476</v>
      </c>
      <c r="H15" s="294" t="s">
        <v>2672</v>
      </c>
      <c r="I15" s="295">
        <v>9.774185296E9</v>
      </c>
      <c r="J15" s="54">
        <v>23.0</v>
      </c>
      <c r="K15" s="55">
        <v>121.0</v>
      </c>
      <c r="L15" s="55">
        <v>1.0</v>
      </c>
      <c r="M15" s="55">
        <v>8.0</v>
      </c>
      <c r="N15" s="43">
        <f t="shared" si="1"/>
        <v>9</v>
      </c>
      <c r="O15" s="55">
        <v>5.0</v>
      </c>
      <c r="P15" s="55">
        <v>2.0</v>
      </c>
      <c r="Q15" s="43">
        <f t="shared" si="2"/>
        <v>16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1</v>
      </c>
      <c r="AC15" s="62"/>
      <c r="AD15" s="62"/>
    </row>
    <row r="16" ht="13.5" customHeight="1">
      <c r="A16" s="28">
        <v>10.0</v>
      </c>
      <c r="B16" s="291" t="s">
        <v>3341</v>
      </c>
      <c r="C16" s="292" t="s">
        <v>3342</v>
      </c>
      <c r="D16" s="292" t="s">
        <v>3343</v>
      </c>
      <c r="E16" s="293" t="s">
        <v>338</v>
      </c>
      <c r="F16" s="294">
        <v>55.0</v>
      </c>
      <c r="G16" s="294" t="s">
        <v>476</v>
      </c>
      <c r="H16" s="294" t="s">
        <v>480</v>
      </c>
      <c r="I16" s="295">
        <v>9.458656336E9</v>
      </c>
      <c r="J16" s="54">
        <v>19.0</v>
      </c>
      <c r="K16" s="55">
        <v>13.0</v>
      </c>
      <c r="L16" s="55">
        <v>0.0</v>
      </c>
      <c r="M16" s="55">
        <v>1.0</v>
      </c>
      <c r="N16" s="43">
        <f t="shared" si="1"/>
        <v>1</v>
      </c>
      <c r="O16" s="55">
        <v>13.0</v>
      </c>
      <c r="P16" s="55">
        <v>5.0</v>
      </c>
      <c r="Q16" s="43">
        <f t="shared" si="2"/>
        <v>19</v>
      </c>
      <c r="R16" s="43"/>
      <c r="S16" s="55" t="s">
        <v>88</v>
      </c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2</v>
      </c>
      <c r="AC16" s="34"/>
      <c r="AD16" s="34"/>
    </row>
    <row r="17" ht="13.5" customHeight="1">
      <c r="A17" s="28">
        <v>11.0</v>
      </c>
      <c r="B17" s="291" t="s">
        <v>2805</v>
      </c>
      <c r="C17" s="292" t="s">
        <v>984</v>
      </c>
      <c r="D17" s="292" t="s">
        <v>1702</v>
      </c>
      <c r="E17" s="293" t="s">
        <v>338</v>
      </c>
      <c r="F17" s="294">
        <v>39.0</v>
      </c>
      <c r="G17" s="294" t="s">
        <v>476</v>
      </c>
      <c r="H17" s="294" t="s">
        <v>480</v>
      </c>
      <c r="I17" s="295">
        <v>9.948146702E9</v>
      </c>
      <c r="J17" s="42"/>
      <c r="K17" s="43"/>
      <c r="L17" s="43"/>
      <c r="M17" s="43"/>
      <c r="N17" s="43">
        <f t="shared" si="1"/>
        <v>0</v>
      </c>
      <c r="O17" s="43"/>
      <c r="P17" s="43"/>
      <c r="Q17" s="43">
        <f t="shared" si="2"/>
        <v>0</v>
      </c>
      <c r="R17" s="43"/>
      <c r="S17" s="43"/>
      <c r="T17" s="43"/>
      <c r="U17" s="43"/>
      <c r="V17" s="43"/>
      <c r="W17" s="44"/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291" t="s">
        <v>3344</v>
      </c>
      <c r="C18" s="292" t="s">
        <v>3345</v>
      </c>
      <c r="D18" s="292" t="s">
        <v>3346</v>
      </c>
      <c r="E18" s="293" t="s">
        <v>338</v>
      </c>
      <c r="F18" s="294">
        <v>51.0</v>
      </c>
      <c r="G18" s="294" t="s">
        <v>476</v>
      </c>
      <c r="H18" s="294" t="s">
        <v>2658</v>
      </c>
      <c r="I18" s="295">
        <v>9.196093284E9</v>
      </c>
      <c r="J18" s="54">
        <v>27.0</v>
      </c>
      <c r="K18" s="55">
        <v>27.0</v>
      </c>
      <c r="L18" s="55">
        <v>0.0</v>
      </c>
      <c r="M18" s="55">
        <v>0.0</v>
      </c>
      <c r="N18" s="43">
        <f t="shared" si="1"/>
        <v>0</v>
      </c>
      <c r="O18" s="55">
        <v>5.0</v>
      </c>
      <c r="P18" s="55">
        <v>0.0</v>
      </c>
      <c r="Q18" s="43">
        <f t="shared" si="2"/>
        <v>5</v>
      </c>
      <c r="R18" s="43"/>
      <c r="S18" s="43"/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24</v>
      </c>
      <c r="AC18" s="34"/>
      <c r="AD18" s="34"/>
    </row>
    <row r="19" ht="13.5" customHeight="1">
      <c r="A19" s="28">
        <v>13.0</v>
      </c>
      <c r="B19" s="291" t="s">
        <v>3347</v>
      </c>
      <c r="C19" s="292" t="s">
        <v>1548</v>
      </c>
      <c r="D19" s="292" t="s">
        <v>3348</v>
      </c>
      <c r="E19" s="293" t="s">
        <v>338</v>
      </c>
      <c r="F19" s="294">
        <v>44.0</v>
      </c>
      <c r="G19" s="294" t="s">
        <v>476</v>
      </c>
      <c r="H19" s="294" t="s">
        <v>2625</v>
      </c>
      <c r="I19" s="295">
        <v>9.168960712E9</v>
      </c>
      <c r="J19" s="54">
        <v>25.0</v>
      </c>
      <c r="K19" s="55">
        <v>14.0</v>
      </c>
      <c r="L19" s="55">
        <v>2.0</v>
      </c>
      <c r="M19" s="55">
        <v>7.0</v>
      </c>
      <c r="N19" s="43">
        <f t="shared" si="1"/>
        <v>9</v>
      </c>
      <c r="O19" s="55">
        <v>7.0</v>
      </c>
      <c r="P19" s="55">
        <v>2.0</v>
      </c>
      <c r="Q19" s="43">
        <f t="shared" si="2"/>
        <v>18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1</v>
      </c>
      <c r="AC19" s="34"/>
      <c r="AD19" s="34"/>
    </row>
    <row r="20" ht="13.5" customHeight="1">
      <c r="A20" s="28">
        <v>14.0</v>
      </c>
      <c r="B20" s="291" t="s">
        <v>3349</v>
      </c>
      <c r="C20" s="292" t="s">
        <v>1734</v>
      </c>
      <c r="D20" s="292" t="s">
        <v>3350</v>
      </c>
      <c r="E20" s="293" t="s">
        <v>338</v>
      </c>
      <c r="F20" s="294">
        <v>48.0</v>
      </c>
      <c r="G20" s="294" t="s">
        <v>476</v>
      </c>
      <c r="H20" s="294" t="s">
        <v>2658</v>
      </c>
      <c r="I20" s="295">
        <v>9.477726463E9</v>
      </c>
      <c r="J20" s="54">
        <v>28.0</v>
      </c>
      <c r="K20" s="55">
        <v>20.0</v>
      </c>
      <c r="L20" s="55">
        <v>3.0</v>
      </c>
      <c r="M20" s="55">
        <v>5.0</v>
      </c>
      <c r="N20" s="43">
        <f t="shared" si="1"/>
        <v>8</v>
      </c>
      <c r="O20" s="55">
        <v>4.0</v>
      </c>
      <c r="P20" s="55">
        <v>0.0</v>
      </c>
      <c r="Q20" s="43">
        <f t="shared" si="2"/>
        <v>12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3</v>
      </c>
      <c r="AC20" s="34"/>
      <c r="AD20" s="34"/>
    </row>
    <row r="21" ht="13.5" customHeight="1">
      <c r="A21" s="28">
        <v>15.0</v>
      </c>
      <c r="B21" s="291" t="s">
        <v>3351</v>
      </c>
      <c r="C21" s="292" t="s">
        <v>3352</v>
      </c>
      <c r="D21" s="292" t="s">
        <v>3353</v>
      </c>
      <c r="E21" s="293" t="s">
        <v>338</v>
      </c>
      <c r="F21" s="294">
        <v>34.0</v>
      </c>
      <c r="G21" s="294" t="s">
        <v>476</v>
      </c>
      <c r="H21" s="294" t="s">
        <v>480</v>
      </c>
      <c r="I21" s="295">
        <v>9.454933578E9</v>
      </c>
      <c r="J21" s="54">
        <v>27.0</v>
      </c>
      <c r="K21" s="55">
        <v>22.0</v>
      </c>
      <c r="L21" s="55">
        <v>1.0</v>
      </c>
      <c r="M21" s="55">
        <v>1.0</v>
      </c>
      <c r="N21" s="43">
        <f t="shared" si="1"/>
        <v>2</v>
      </c>
      <c r="O21" s="55">
        <v>5.0</v>
      </c>
      <c r="P21" s="55">
        <v>3.0</v>
      </c>
      <c r="Q21" s="43">
        <f t="shared" si="2"/>
        <v>10</v>
      </c>
      <c r="R21" s="43"/>
      <c r="S21" s="43"/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1</v>
      </c>
      <c r="AC21" s="34"/>
      <c r="AD21" s="34"/>
    </row>
    <row r="22" ht="13.5" customHeight="1">
      <c r="A22" s="28">
        <v>16.0</v>
      </c>
      <c r="B22" s="291" t="s">
        <v>3354</v>
      </c>
      <c r="C22" s="292" t="s">
        <v>3355</v>
      </c>
      <c r="D22" s="292" t="s">
        <v>3356</v>
      </c>
      <c r="E22" s="293" t="s">
        <v>338</v>
      </c>
      <c r="F22" s="294">
        <v>41.0</v>
      </c>
      <c r="G22" s="294" t="s">
        <v>476</v>
      </c>
      <c r="H22" s="294" t="s">
        <v>480</v>
      </c>
      <c r="I22" s="295">
        <v>9.916695232E9</v>
      </c>
      <c r="J22" s="54">
        <v>26.0</v>
      </c>
      <c r="K22" s="55">
        <v>23.0</v>
      </c>
      <c r="L22" s="55">
        <v>0.0</v>
      </c>
      <c r="M22" s="55">
        <v>2.0</v>
      </c>
      <c r="N22" s="43">
        <f t="shared" si="1"/>
        <v>2</v>
      </c>
      <c r="O22" s="55">
        <v>6.0</v>
      </c>
      <c r="P22" s="55">
        <v>1.0</v>
      </c>
      <c r="Q22" s="43">
        <f t="shared" si="2"/>
        <v>9</v>
      </c>
      <c r="R22" s="43"/>
      <c r="S22" s="43"/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291" t="s">
        <v>3357</v>
      </c>
      <c r="C23" s="292" t="s">
        <v>911</v>
      </c>
      <c r="D23" s="292" t="s">
        <v>842</v>
      </c>
      <c r="E23" s="293" t="s">
        <v>338</v>
      </c>
      <c r="F23" s="294">
        <v>45.0</v>
      </c>
      <c r="G23" s="294" t="s">
        <v>476</v>
      </c>
      <c r="H23" s="294" t="s">
        <v>480</v>
      </c>
      <c r="I23" s="295">
        <v>9.183558695E9</v>
      </c>
      <c r="J23" s="54">
        <v>9.0</v>
      </c>
      <c r="K23" s="55">
        <v>8.0</v>
      </c>
      <c r="L23" s="55">
        <v>0.0</v>
      </c>
      <c r="M23" s="55">
        <v>0.0</v>
      </c>
      <c r="N23" s="43">
        <f t="shared" si="1"/>
        <v>0</v>
      </c>
      <c r="O23" s="55">
        <v>23.0</v>
      </c>
      <c r="P23" s="55">
        <v>1.0</v>
      </c>
      <c r="Q23" s="43">
        <f t="shared" si="2"/>
        <v>24</v>
      </c>
      <c r="R23" s="43"/>
      <c r="S23" s="55" t="s">
        <v>79</v>
      </c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16</v>
      </c>
      <c r="AC23" s="34"/>
      <c r="AD23" s="34"/>
    </row>
    <row r="24" ht="13.5" customHeight="1">
      <c r="A24" s="28">
        <v>18.0</v>
      </c>
      <c r="B24" s="291" t="s">
        <v>1478</v>
      </c>
      <c r="C24" s="292" t="s">
        <v>2539</v>
      </c>
      <c r="D24" s="292" t="s">
        <v>3358</v>
      </c>
      <c r="E24" s="293" t="s">
        <v>338</v>
      </c>
      <c r="F24" s="294">
        <v>47.0</v>
      </c>
      <c r="G24" s="294" t="s">
        <v>476</v>
      </c>
      <c r="H24" s="294" t="s">
        <v>2625</v>
      </c>
      <c r="I24" s="295">
        <v>9.60531411E9</v>
      </c>
      <c r="J24" s="54">
        <v>14.0</v>
      </c>
      <c r="K24" s="55">
        <v>8.0</v>
      </c>
      <c r="L24" s="55">
        <v>0.0</v>
      </c>
      <c r="M24" s="55">
        <v>6.0</v>
      </c>
      <c r="N24" s="43">
        <f t="shared" si="1"/>
        <v>6</v>
      </c>
      <c r="O24" s="55">
        <v>18.0</v>
      </c>
      <c r="P24" s="55">
        <v>0.0</v>
      </c>
      <c r="Q24" s="43">
        <f t="shared" si="2"/>
        <v>24</v>
      </c>
      <c r="R24" s="43"/>
      <c r="S24" s="55" t="s">
        <v>237</v>
      </c>
      <c r="T24" s="43"/>
      <c r="U24" s="43"/>
      <c r="V24" s="308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291" t="s">
        <v>3359</v>
      </c>
      <c r="C25" s="292" t="s">
        <v>3360</v>
      </c>
      <c r="D25" s="292" t="s">
        <v>853</v>
      </c>
      <c r="E25" s="293" t="s">
        <v>338</v>
      </c>
      <c r="F25" s="294">
        <v>43.0</v>
      </c>
      <c r="G25" s="294" t="s">
        <v>476</v>
      </c>
      <c r="H25" s="294" t="s">
        <v>2658</v>
      </c>
      <c r="I25" s="295">
        <v>9.157415091E9</v>
      </c>
      <c r="J25" s="54">
        <v>29.0</v>
      </c>
      <c r="K25" s="55">
        <v>25.0</v>
      </c>
      <c r="L25" s="55">
        <v>0.0</v>
      </c>
      <c r="M25" s="55">
        <v>4.0</v>
      </c>
      <c r="N25" s="43">
        <f t="shared" si="1"/>
        <v>4</v>
      </c>
      <c r="O25" s="55">
        <v>3.0</v>
      </c>
      <c r="P25" s="55">
        <v>0.0</v>
      </c>
      <c r="Q25" s="43">
        <f t="shared" si="2"/>
        <v>7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291" t="s">
        <v>1461</v>
      </c>
      <c r="C26" s="292" t="s">
        <v>3361</v>
      </c>
      <c r="D26" s="292" t="s">
        <v>3362</v>
      </c>
      <c r="E26" s="293" t="s">
        <v>338</v>
      </c>
      <c r="F26" s="294">
        <v>36.0</v>
      </c>
      <c r="G26" s="294" t="s">
        <v>476</v>
      </c>
      <c r="H26" s="294" t="s">
        <v>2658</v>
      </c>
      <c r="I26" s="295">
        <v>9.278379107E9</v>
      </c>
      <c r="J26" s="54">
        <v>24.0</v>
      </c>
      <c r="K26" s="55">
        <v>18.0</v>
      </c>
      <c r="L26" s="55">
        <v>0.0</v>
      </c>
      <c r="M26" s="55">
        <v>4.0</v>
      </c>
      <c r="N26" s="43">
        <f t="shared" si="1"/>
        <v>4</v>
      </c>
      <c r="O26" s="55">
        <v>8.0</v>
      </c>
      <c r="P26" s="55">
        <v>2.0</v>
      </c>
      <c r="Q26" s="43">
        <f t="shared" si="2"/>
        <v>14</v>
      </c>
      <c r="R26" s="43"/>
      <c r="S26" s="55" t="s">
        <v>88</v>
      </c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291" t="s">
        <v>953</v>
      </c>
      <c r="C27" s="292" t="s">
        <v>1786</v>
      </c>
      <c r="D27" s="292" t="s">
        <v>1676</v>
      </c>
      <c r="E27" s="293" t="s">
        <v>338</v>
      </c>
      <c r="F27" s="294">
        <v>40.0</v>
      </c>
      <c r="G27" s="294" t="s">
        <v>476</v>
      </c>
      <c r="H27" s="294" t="s">
        <v>2658</v>
      </c>
      <c r="I27" s="295">
        <v>9.082850206E9</v>
      </c>
      <c r="J27" s="54">
        <v>27.0</v>
      </c>
      <c r="K27" s="55">
        <v>20.0</v>
      </c>
      <c r="L27" s="55">
        <v>2.0</v>
      </c>
      <c r="M27" s="55">
        <v>2.0</v>
      </c>
      <c r="N27" s="43">
        <f t="shared" si="1"/>
        <v>4</v>
      </c>
      <c r="O27" s="55">
        <v>5.0</v>
      </c>
      <c r="P27" s="55">
        <v>3.0</v>
      </c>
      <c r="Q27" s="43">
        <f t="shared" si="2"/>
        <v>12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309" t="s">
        <v>1255</v>
      </c>
      <c r="C28" s="310" t="s">
        <v>3363</v>
      </c>
      <c r="D28" s="310" t="s">
        <v>3364</v>
      </c>
      <c r="E28" s="311" t="s">
        <v>338</v>
      </c>
      <c r="F28" s="312">
        <v>27.0</v>
      </c>
      <c r="G28" s="313" t="s">
        <v>476</v>
      </c>
      <c r="H28" s="294" t="s">
        <v>480</v>
      </c>
      <c r="I28" s="314">
        <v>9.269173289E9</v>
      </c>
      <c r="J28" s="42"/>
      <c r="K28" s="43"/>
      <c r="L28" s="43"/>
      <c r="M28" s="43"/>
      <c r="N28" s="43">
        <f t="shared" si="1"/>
        <v>0</v>
      </c>
      <c r="O28" s="43"/>
      <c r="P28" s="43"/>
      <c r="Q28" s="43">
        <f t="shared" si="2"/>
        <v>0</v>
      </c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291" t="s">
        <v>2871</v>
      </c>
      <c r="C29" s="292" t="s">
        <v>1650</v>
      </c>
      <c r="D29" s="292" t="s">
        <v>421</v>
      </c>
      <c r="E29" s="293" t="s">
        <v>338</v>
      </c>
      <c r="F29" s="294">
        <v>43.0</v>
      </c>
      <c r="G29" s="294" t="s">
        <v>476</v>
      </c>
      <c r="H29" s="294" t="s">
        <v>480</v>
      </c>
      <c r="I29" s="295">
        <v>9.272501462E9</v>
      </c>
      <c r="J29" s="54">
        <v>31.0</v>
      </c>
      <c r="K29" s="55">
        <v>19.0</v>
      </c>
      <c r="L29" s="55">
        <v>0.0</v>
      </c>
      <c r="M29" s="55">
        <v>8.0</v>
      </c>
      <c r="N29" s="43">
        <f t="shared" si="1"/>
        <v>8</v>
      </c>
      <c r="O29" s="55">
        <v>1.0</v>
      </c>
      <c r="P29" s="55">
        <v>4.0</v>
      </c>
      <c r="Q29" s="43">
        <f t="shared" si="2"/>
        <v>13</v>
      </c>
      <c r="R29" s="43"/>
      <c r="S29" s="55" t="s">
        <v>277</v>
      </c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291" t="s">
        <v>3365</v>
      </c>
      <c r="C30" s="292" t="s">
        <v>3366</v>
      </c>
      <c r="D30" s="292" t="s">
        <v>3359</v>
      </c>
      <c r="E30" s="293" t="s">
        <v>338</v>
      </c>
      <c r="F30" s="294">
        <v>39.0</v>
      </c>
      <c r="G30" s="294" t="s">
        <v>476</v>
      </c>
      <c r="H30" s="294" t="s">
        <v>2658</v>
      </c>
      <c r="I30" s="295">
        <v>9.353661523E9</v>
      </c>
      <c r="J30" s="54">
        <v>26.0</v>
      </c>
      <c r="K30" s="55">
        <v>24.0</v>
      </c>
      <c r="L30" s="55">
        <v>0.0</v>
      </c>
      <c r="M30" s="55">
        <v>0.0</v>
      </c>
      <c r="N30" s="43">
        <f t="shared" si="1"/>
        <v>0</v>
      </c>
      <c r="O30" s="55">
        <v>6.0</v>
      </c>
      <c r="P30" s="55">
        <v>2.0</v>
      </c>
      <c r="Q30" s="43">
        <f t="shared" si="2"/>
        <v>8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291" t="s">
        <v>3367</v>
      </c>
      <c r="C31" s="292" t="s">
        <v>3368</v>
      </c>
      <c r="D31" s="292" t="s">
        <v>3369</v>
      </c>
      <c r="E31" s="293" t="s">
        <v>338</v>
      </c>
      <c r="F31" s="294">
        <v>38.0</v>
      </c>
      <c r="G31" s="294" t="s">
        <v>476</v>
      </c>
      <c r="H31" s="294" t="s">
        <v>2625</v>
      </c>
      <c r="I31" s="295">
        <v>9.605314755E9</v>
      </c>
      <c r="J31" s="42"/>
      <c r="K31" s="43"/>
      <c r="L31" s="43"/>
      <c r="M31" s="43"/>
      <c r="N31" s="43">
        <f t="shared" si="1"/>
        <v>0</v>
      </c>
      <c r="O31" s="43"/>
      <c r="P31" s="43"/>
      <c r="Q31" s="43">
        <f t="shared" si="2"/>
        <v>0</v>
      </c>
      <c r="R31" s="43"/>
      <c r="S31" s="43"/>
      <c r="T31" s="43"/>
      <c r="U31" s="43"/>
      <c r="V31" s="43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291" t="s">
        <v>3367</v>
      </c>
      <c r="C32" s="292" t="s">
        <v>3370</v>
      </c>
      <c r="D32" s="292" t="s">
        <v>3371</v>
      </c>
      <c r="E32" s="293" t="s">
        <v>338</v>
      </c>
      <c r="F32" s="294">
        <v>43.0</v>
      </c>
      <c r="G32" s="294" t="s">
        <v>584</v>
      </c>
      <c r="H32" s="294" t="s">
        <v>2658</v>
      </c>
      <c r="I32" s="295">
        <v>9.605314396E9</v>
      </c>
      <c r="J32" s="54">
        <v>15.0</v>
      </c>
      <c r="K32" s="55">
        <v>11.0</v>
      </c>
      <c r="L32" s="55">
        <v>2.0</v>
      </c>
      <c r="M32" s="55">
        <v>1.0</v>
      </c>
      <c r="N32" s="43">
        <f t="shared" si="1"/>
        <v>3</v>
      </c>
      <c r="O32" s="55">
        <v>16.0</v>
      </c>
      <c r="P32" s="55">
        <v>1.0</v>
      </c>
      <c r="Q32" s="43">
        <f t="shared" si="2"/>
        <v>20</v>
      </c>
      <c r="R32" s="43"/>
      <c r="S32" s="55" t="s">
        <v>88</v>
      </c>
      <c r="T32" s="43"/>
      <c r="U32" s="43"/>
      <c r="V32" s="43"/>
      <c r="W32" s="56" t="s">
        <v>46</v>
      </c>
      <c r="Z32" s="61" t="s">
        <v>139</v>
      </c>
      <c r="AA32" s="61" t="s">
        <v>140</v>
      </c>
      <c r="AB32" s="66">
        <f>COUNTIF(T7:T157, "G")</f>
        <v>1</v>
      </c>
      <c r="AC32" s="34"/>
      <c r="AD32" s="34"/>
    </row>
    <row r="33" ht="13.5" customHeight="1">
      <c r="A33" s="28">
        <v>27.0</v>
      </c>
      <c r="B33" s="291" t="s">
        <v>3372</v>
      </c>
      <c r="C33" s="292" t="s">
        <v>3373</v>
      </c>
      <c r="D33" s="292" t="s">
        <v>3374</v>
      </c>
      <c r="E33" s="293" t="s">
        <v>338</v>
      </c>
      <c r="F33" s="294">
        <v>33.0</v>
      </c>
      <c r="G33" s="294" t="s">
        <v>476</v>
      </c>
      <c r="H33" s="294" t="s">
        <v>480</v>
      </c>
      <c r="I33" s="295">
        <v>9.476063591E9</v>
      </c>
      <c r="J33" s="54">
        <v>22.0</v>
      </c>
      <c r="K33" s="55">
        <v>15.0</v>
      </c>
      <c r="L33" s="55">
        <v>0.0</v>
      </c>
      <c r="M33" s="55">
        <v>3.0</v>
      </c>
      <c r="N33" s="43">
        <f t="shared" si="1"/>
        <v>3</v>
      </c>
      <c r="O33" s="55">
        <v>10.0</v>
      </c>
      <c r="P33" s="55">
        <v>4.0</v>
      </c>
      <c r="Q33" s="43">
        <f t="shared" si="2"/>
        <v>17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91" t="s">
        <v>3375</v>
      </c>
      <c r="C34" s="292" t="s">
        <v>1521</v>
      </c>
      <c r="D34" s="292" t="s">
        <v>3376</v>
      </c>
      <c r="E34" s="293" t="s">
        <v>338</v>
      </c>
      <c r="F34" s="315">
        <v>29.0</v>
      </c>
      <c r="G34" s="294" t="s">
        <v>476</v>
      </c>
      <c r="H34" s="294" t="s">
        <v>2672</v>
      </c>
      <c r="I34" s="295">
        <v>9.488719041E9</v>
      </c>
      <c r="J34" s="54">
        <v>31.0</v>
      </c>
      <c r="K34" s="55">
        <v>29.0</v>
      </c>
      <c r="L34" s="55">
        <v>0.0</v>
      </c>
      <c r="M34" s="55">
        <v>0.0</v>
      </c>
      <c r="N34" s="43">
        <f t="shared" si="1"/>
        <v>0</v>
      </c>
      <c r="O34" s="55">
        <v>1.0</v>
      </c>
      <c r="P34" s="55">
        <v>2.0</v>
      </c>
      <c r="Q34" s="43">
        <f t="shared" si="2"/>
        <v>3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291" t="s">
        <v>3377</v>
      </c>
      <c r="C35" s="292" t="s">
        <v>1220</v>
      </c>
      <c r="D35" s="292" t="s">
        <v>3378</v>
      </c>
      <c r="E35" s="293" t="s">
        <v>338</v>
      </c>
      <c r="F35" s="315">
        <v>46.0</v>
      </c>
      <c r="G35" s="294" t="s">
        <v>476</v>
      </c>
      <c r="H35" s="294" t="s">
        <v>2658</v>
      </c>
      <c r="I35" s="295">
        <v>9.351483181E9</v>
      </c>
      <c r="J35" s="161">
        <v>27.0</v>
      </c>
      <c r="K35" s="55">
        <v>24.0</v>
      </c>
      <c r="L35" s="55">
        <v>0.0</v>
      </c>
      <c r="M35" s="55">
        <v>1.0</v>
      </c>
      <c r="N35" s="43">
        <f t="shared" si="1"/>
        <v>1</v>
      </c>
      <c r="O35" s="55">
        <v>5.0</v>
      </c>
      <c r="P35" s="55">
        <v>1.0</v>
      </c>
      <c r="Q35" s="43">
        <f t="shared" si="2"/>
        <v>7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291" t="s">
        <v>3379</v>
      </c>
      <c r="C36" s="292" t="s">
        <v>3380</v>
      </c>
      <c r="D36" s="292" t="s">
        <v>3381</v>
      </c>
      <c r="E36" s="293" t="s">
        <v>338</v>
      </c>
      <c r="F36" s="294">
        <v>40.0</v>
      </c>
      <c r="G36" s="294" t="s">
        <v>476</v>
      </c>
      <c r="H36" s="294" t="s">
        <v>480</v>
      </c>
      <c r="I36" s="295">
        <v>9.496464341E9</v>
      </c>
      <c r="J36" s="87">
        <v>32.0</v>
      </c>
      <c r="K36" s="55">
        <v>28.0</v>
      </c>
      <c r="L36" s="55">
        <v>0.0</v>
      </c>
      <c r="M36" s="55">
        <v>4.0</v>
      </c>
      <c r="N36" s="43">
        <f t="shared" si="1"/>
        <v>4</v>
      </c>
      <c r="O36" s="55">
        <v>0.0</v>
      </c>
      <c r="P36" s="55">
        <v>0.0</v>
      </c>
      <c r="Q36" s="43">
        <f t="shared" si="2"/>
        <v>4</v>
      </c>
      <c r="R36" s="43"/>
      <c r="S36" s="43"/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291" t="s">
        <v>1858</v>
      </c>
      <c r="C37" s="292" t="s">
        <v>3382</v>
      </c>
      <c r="D37" s="292" t="s">
        <v>1860</v>
      </c>
      <c r="E37" s="293" t="s">
        <v>338</v>
      </c>
      <c r="F37" s="294">
        <v>41.0</v>
      </c>
      <c r="G37" s="294" t="s">
        <v>584</v>
      </c>
      <c r="H37" s="294" t="s">
        <v>2658</v>
      </c>
      <c r="I37" s="295">
        <v>9.506852698E9</v>
      </c>
      <c r="J37" s="87">
        <v>17.0</v>
      </c>
      <c r="K37" s="55">
        <v>14.0</v>
      </c>
      <c r="L37" s="55">
        <v>0.0</v>
      </c>
      <c r="M37" s="55">
        <v>2.0</v>
      </c>
      <c r="N37" s="43">
        <f t="shared" si="1"/>
        <v>2</v>
      </c>
      <c r="O37" s="55">
        <v>15.0</v>
      </c>
      <c r="P37" s="55">
        <v>1.0</v>
      </c>
      <c r="Q37" s="43">
        <f t="shared" si="2"/>
        <v>18</v>
      </c>
      <c r="R37" s="43"/>
      <c r="S37" s="55" t="s">
        <v>88</v>
      </c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291" t="s">
        <v>3383</v>
      </c>
      <c r="C38" s="292" t="s">
        <v>3384</v>
      </c>
      <c r="D38" s="292" t="s">
        <v>3385</v>
      </c>
      <c r="E38" s="293" t="s">
        <v>338</v>
      </c>
      <c r="F38" s="294">
        <v>40.0</v>
      </c>
      <c r="G38" s="294" t="s">
        <v>476</v>
      </c>
      <c r="H38" s="294" t="s">
        <v>2672</v>
      </c>
      <c r="I38" s="295">
        <v>9.915068803E9</v>
      </c>
      <c r="J38" s="87">
        <v>27.0</v>
      </c>
      <c r="K38" s="55">
        <v>19.0</v>
      </c>
      <c r="L38" s="55">
        <v>0.0</v>
      </c>
      <c r="M38" s="55">
        <v>1.0</v>
      </c>
      <c r="N38" s="43">
        <f t="shared" si="1"/>
        <v>1</v>
      </c>
      <c r="O38" s="55">
        <v>5.0</v>
      </c>
      <c r="P38" s="55">
        <v>6.0</v>
      </c>
      <c r="Q38" s="43">
        <f t="shared" si="2"/>
        <v>12</v>
      </c>
      <c r="R38" s="43"/>
      <c r="S38" s="43"/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291" t="s">
        <v>3386</v>
      </c>
      <c r="C39" s="292" t="s">
        <v>3387</v>
      </c>
      <c r="D39" s="292" t="s">
        <v>3388</v>
      </c>
      <c r="E39" s="293" t="s">
        <v>338</v>
      </c>
      <c r="F39" s="294">
        <v>31.0</v>
      </c>
      <c r="G39" s="294" t="s">
        <v>476</v>
      </c>
      <c r="H39" s="294" t="s">
        <v>480</v>
      </c>
      <c r="I39" s="295">
        <v>9.065258116E9</v>
      </c>
      <c r="J39" s="87">
        <v>25.0</v>
      </c>
      <c r="K39" s="55">
        <v>15.0</v>
      </c>
      <c r="L39" s="55">
        <v>0.0</v>
      </c>
      <c r="M39" s="55">
        <v>1.0</v>
      </c>
      <c r="N39" s="43">
        <f t="shared" si="1"/>
        <v>1</v>
      </c>
      <c r="O39" s="55">
        <v>3.0</v>
      </c>
      <c r="P39" s="55">
        <v>9.0</v>
      </c>
      <c r="Q39" s="43">
        <f t="shared" si="2"/>
        <v>13</v>
      </c>
      <c r="R39" s="43"/>
      <c r="S39" s="55"/>
      <c r="T39" s="43"/>
      <c r="U39" s="43"/>
      <c r="V39" s="55" t="s">
        <v>3389</v>
      </c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291" t="s">
        <v>3390</v>
      </c>
      <c r="C40" s="292" t="s">
        <v>2403</v>
      </c>
      <c r="D40" s="292" t="s">
        <v>1091</v>
      </c>
      <c r="E40" s="293" t="s">
        <v>338</v>
      </c>
      <c r="F40" s="294">
        <v>40.0</v>
      </c>
      <c r="G40" s="294" t="s">
        <v>476</v>
      </c>
      <c r="H40" s="294" t="s">
        <v>2658</v>
      </c>
      <c r="I40" s="295">
        <v>9.395196766E9</v>
      </c>
      <c r="J40" s="87">
        <v>22.0</v>
      </c>
      <c r="K40" s="55">
        <v>16.0</v>
      </c>
      <c r="L40" s="55">
        <v>0.0</v>
      </c>
      <c r="M40" s="55">
        <v>0.0</v>
      </c>
      <c r="N40" s="43">
        <f t="shared" si="1"/>
        <v>0</v>
      </c>
      <c r="O40" s="55">
        <v>10.0</v>
      </c>
      <c r="P40" s="55">
        <v>6.0</v>
      </c>
      <c r="Q40" s="43">
        <f t="shared" si="2"/>
        <v>16</v>
      </c>
      <c r="R40" s="43"/>
      <c r="S40" s="55" t="s">
        <v>88</v>
      </c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291" t="s">
        <v>3391</v>
      </c>
      <c r="C41" s="292" t="s">
        <v>3392</v>
      </c>
      <c r="D41" s="292" t="s">
        <v>3393</v>
      </c>
      <c r="E41" s="293" t="s">
        <v>338</v>
      </c>
      <c r="F41" s="294">
        <v>48.0</v>
      </c>
      <c r="G41" s="294" t="s">
        <v>476</v>
      </c>
      <c r="H41" s="294" t="s">
        <v>2658</v>
      </c>
      <c r="I41" s="295">
        <v>9.269300426E9</v>
      </c>
      <c r="J41" s="87">
        <v>18.0</v>
      </c>
      <c r="K41" s="55">
        <v>10.0</v>
      </c>
      <c r="L41" s="55">
        <v>1.0</v>
      </c>
      <c r="M41" s="55">
        <v>7.0</v>
      </c>
      <c r="N41" s="43">
        <f t="shared" si="1"/>
        <v>8</v>
      </c>
      <c r="O41" s="55">
        <v>14.0</v>
      </c>
      <c r="P41" s="55">
        <v>0.0</v>
      </c>
      <c r="Q41" s="43">
        <f t="shared" si="2"/>
        <v>22</v>
      </c>
      <c r="R41" s="43"/>
      <c r="S41" s="55" t="s">
        <v>88</v>
      </c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291" t="s">
        <v>3394</v>
      </c>
      <c r="C42" s="292" t="s">
        <v>3355</v>
      </c>
      <c r="D42" s="292" t="s">
        <v>1071</v>
      </c>
      <c r="E42" s="293" t="s">
        <v>338</v>
      </c>
      <c r="F42" s="294">
        <v>30.0</v>
      </c>
      <c r="G42" s="294" t="s">
        <v>476</v>
      </c>
      <c r="H42" s="294" t="s">
        <v>2658</v>
      </c>
      <c r="I42" s="295">
        <v>9.753563807E9</v>
      </c>
      <c r="J42" s="87">
        <v>28.0</v>
      </c>
      <c r="K42" s="55">
        <v>19.0</v>
      </c>
      <c r="L42" s="55">
        <v>0.0</v>
      </c>
      <c r="M42" s="55">
        <v>5.0</v>
      </c>
      <c r="N42" s="43">
        <f t="shared" si="1"/>
        <v>5</v>
      </c>
      <c r="O42" s="55">
        <v>4.0</v>
      </c>
      <c r="P42" s="55">
        <v>4.0</v>
      </c>
      <c r="Q42" s="43">
        <f t="shared" si="2"/>
        <v>13</v>
      </c>
      <c r="R42" s="43"/>
      <c r="S42" s="43"/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291" t="s">
        <v>3395</v>
      </c>
      <c r="C43" s="292" t="s">
        <v>3396</v>
      </c>
      <c r="D43" s="292" t="s">
        <v>1439</v>
      </c>
      <c r="E43" s="293" t="s">
        <v>338</v>
      </c>
      <c r="F43" s="294">
        <v>43.0</v>
      </c>
      <c r="G43" s="294" t="s">
        <v>476</v>
      </c>
      <c r="H43" s="294" t="s">
        <v>2658</v>
      </c>
      <c r="I43" s="295">
        <v>9.463477184E9</v>
      </c>
      <c r="J43" s="87">
        <v>25.0</v>
      </c>
      <c r="K43" s="55">
        <v>21.0</v>
      </c>
      <c r="L43" s="55">
        <v>0.0</v>
      </c>
      <c r="M43" s="55">
        <v>1.0</v>
      </c>
      <c r="N43" s="43">
        <f t="shared" si="1"/>
        <v>1</v>
      </c>
      <c r="O43" s="55">
        <v>7.0</v>
      </c>
      <c r="P43" s="55">
        <v>3.0</v>
      </c>
      <c r="Q43" s="43">
        <f t="shared" si="2"/>
        <v>11</v>
      </c>
      <c r="R43" s="43"/>
      <c r="S43" s="43"/>
      <c r="T43" s="43"/>
      <c r="U43" s="43"/>
      <c r="V43" s="43"/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291" t="s">
        <v>1952</v>
      </c>
      <c r="C44" s="292" t="s">
        <v>3041</v>
      </c>
      <c r="D44" s="292" t="s">
        <v>3397</v>
      </c>
      <c r="E44" s="293" t="s">
        <v>338</v>
      </c>
      <c r="F44" s="294">
        <v>53.0</v>
      </c>
      <c r="G44" s="294" t="s">
        <v>476</v>
      </c>
      <c r="H44" s="294" t="s">
        <v>480</v>
      </c>
      <c r="I44" s="295">
        <v>9.984388059E9</v>
      </c>
      <c r="J44" s="87">
        <v>23.0</v>
      </c>
      <c r="K44" s="55">
        <v>22.0</v>
      </c>
      <c r="L44" s="55">
        <v>0.0</v>
      </c>
      <c r="M44" s="55">
        <v>1.0</v>
      </c>
      <c r="N44" s="43">
        <f t="shared" si="1"/>
        <v>1</v>
      </c>
      <c r="O44" s="55">
        <v>9.0</v>
      </c>
      <c r="P44" s="55">
        <v>0.0</v>
      </c>
      <c r="Q44" s="43">
        <f t="shared" si="2"/>
        <v>10</v>
      </c>
      <c r="R44" s="43"/>
      <c r="S44" s="43"/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291" t="s">
        <v>3398</v>
      </c>
      <c r="C45" s="292" t="s">
        <v>196</v>
      </c>
      <c r="D45" s="292" t="s">
        <v>3399</v>
      </c>
      <c r="E45" s="293" t="s">
        <v>338</v>
      </c>
      <c r="F45" s="294">
        <v>43.0</v>
      </c>
      <c r="G45" s="294" t="s">
        <v>476</v>
      </c>
      <c r="H45" s="294" t="s">
        <v>2658</v>
      </c>
      <c r="I45" s="295">
        <v>9.154020369E9</v>
      </c>
      <c r="J45" s="87">
        <v>28.0</v>
      </c>
      <c r="K45" s="55">
        <v>23.0</v>
      </c>
      <c r="L45" s="55">
        <v>0.0</v>
      </c>
      <c r="M45" s="55">
        <v>0.0</v>
      </c>
      <c r="N45" s="43">
        <f t="shared" si="1"/>
        <v>0</v>
      </c>
      <c r="O45" s="55">
        <v>4.0</v>
      </c>
      <c r="P45" s="55">
        <v>5.0</v>
      </c>
      <c r="Q45" s="43">
        <f t="shared" si="2"/>
        <v>9</v>
      </c>
      <c r="R45" s="43"/>
      <c r="S45" s="43"/>
      <c r="T45" s="43"/>
      <c r="U45" s="43"/>
      <c r="V45" s="43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291" t="s">
        <v>3400</v>
      </c>
      <c r="C46" s="292" t="s">
        <v>3401</v>
      </c>
      <c r="D46" s="292" t="s">
        <v>2279</v>
      </c>
      <c r="E46" s="293" t="s">
        <v>338</v>
      </c>
      <c r="F46" s="294">
        <v>41.0</v>
      </c>
      <c r="G46" s="294" t="s">
        <v>476</v>
      </c>
      <c r="H46" s="294" t="s">
        <v>480</v>
      </c>
      <c r="I46" s="295">
        <v>9.684997805E9</v>
      </c>
      <c r="J46" s="87">
        <v>29.0</v>
      </c>
      <c r="K46" s="55">
        <v>25.0</v>
      </c>
      <c r="L46" s="55">
        <v>1.0</v>
      </c>
      <c r="M46" s="55">
        <v>2.0</v>
      </c>
      <c r="N46" s="43">
        <f t="shared" si="1"/>
        <v>3</v>
      </c>
      <c r="O46" s="55">
        <v>3.0</v>
      </c>
      <c r="P46" s="55">
        <v>2.0</v>
      </c>
      <c r="Q46" s="43">
        <f t="shared" si="2"/>
        <v>8</v>
      </c>
      <c r="R46" s="43"/>
      <c r="S46" s="43"/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291" t="s">
        <v>3402</v>
      </c>
      <c r="C47" s="292" t="s">
        <v>3403</v>
      </c>
      <c r="D47" s="292" t="s">
        <v>477</v>
      </c>
      <c r="E47" s="293" t="s">
        <v>338</v>
      </c>
      <c r="F47" s="294">
        <v>40.0</v>
      </c>
      <c r="G47" s="294" t="s">
        <v>476</v>
      </c>
      <c r="H47" s="294" t="s">
        <v>480</v>
      </c>
      <c r="I47" s="295">
        <v>9.46581569E9</v>
      </c>
      <c r="J47" s="87">
        <v>31.0</v>
      </c>
      <c r="K47" s="55">
        <v>24.0</v>
      </c>
      <c r="L47" s="55">
        <v>0.0</v>
      </c>
      <c r="M47" s="55">
        <v>1.0</v>
      </c>
      <c r="N47" s="43">
        <f t="shared" si="1"/>
        <v>1</v>
      </c>
      <c r="O47" s="55">
        <v>1.0</v>
      </c>
      <c r="P47" s="55">
        <v>6.0</v>
      </c>
      <c r="Q47" s="43">
        <f t="shared" si="2"/>
        <v>8</v>
      </c>
      <c r="R47" s="43"/>
      <c r="S47" s="43"/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291" t="s">
        <v>421</v>
      </c>
      <c r="C48" s="292" t="s">
        <v>3404</v>
      </c>
      <c r="D48" s="292" t="s">
        <v>3405</v>
      </c>
      <c r="E48" s="293" t="s">
        <v>338</v>
      </c>
      <c r="F48" s="294">
        <v>34.0</v>
      </c>
      <c r="G48" s="294" t="s">
        <v>476</v>
      </c>
      <c r="H48" s="294" t="s">
        <v>480</v>
      </c>
      <c r="I48" s="295">
        <v>9.167985897E9</v>
      </c>
      <c r="J48" s="87">
        <v>30.0</v>
      </c>
      <c r="K48" s="55">
        <v>28.0</v>
      </c>
      <c r="L48" s="55">
        <v>0.0</v>
      </c>
      <c r="M48" s="55">
        <v>1.0</v>
      </c>
      <c r="N48" s="43">
        <f t="shared" si="1"/>
        <v>1</v>
      </c>
      <c r="O48" s="55">
        <v>2.0</v>
      </c>
      <c r="P48" s="55">
        <v>1.0</v>
      </c>
      <c r="Q48" s="43">
        <f t="shared" si="2"/>
        <v>4</v>
      </c>
      <c r="R48" s="43"/>
      <c r="S48" s="43"/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309" t="s">
        <v>2988</v>
      </c>
      <c r="C49" s="310" t="s">
        <v>3406</v>
      </c>
      <c r="D49" s="310" t="s">
        <v>1154</v>
      </c>
      <c r="E49" s="311" t="s">
        <v>338</v>
      </c>
      <c r="F49" s="313">
        <v>32.0</v>
      </c>
      <c r="G49" s="313" t="s">
        <v>476</v>
      </c>
      <c r="H49" s="294" t="s">
        <v>480</v>
      </c>
      <c r="I49" s="316">
        <v>9.508177939E9</v>
      </c>
      <c r="J49" s="83"/>
      <c r="K49" s="43"/>
      <c r="L49" s="43"/>
      <c r="M49" s="43"/>
      <c r="N49" s="43">
        <f t="shared" si="1"/>
        <v>0</v>
      </c>
      <c r="O49" s="43"/>
      <c r="P49" s="43"/>
      <c r="Q49" s="43">
        <f t="shared" si="2"/>
        <v>0</v>
      </c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291" t="s">
        <v>2097</v>
      </c>
      <c r="C50" s="292" t="s">
        <v>409</v>
      </c>
      <c r="D50" s="292" t="s">
        <v>1843</v>
      </c>
      <c r="E50" s="293" t="s">
        <v>338</v>
      </c>
      <c r="F50" s="294">
        <v>44.0</v>
      </c>
      <c r="G50" s="294" t="s">
        <v>476</v>
      </c>
      <c r="H50" s="294" t="s">
        <v>2658</v>
      </c>
      <c r="I50" s="295">
        <v>9.560923003E9</v>
      </c>
      <c r="J50" s="87">
        <v>30.0</v>
      </c>
      <c r="K50" s="55">
        <v>30.0</v>
      </c>
      <c r="L50" s="55">
        <v>0.0</v>
      </c>
      <c r="M50" s="55">
        <v>0.0</v>
      </c>
      <c r="N50" s="43">
        <f t="shared" si="1"/>
        <v>0</v>
      </c>
      <c r="O50" s="55">
        <v>0.0</v>
      </c>
      <c r="P50" s="55">
        <v>0.0</v>
      </c>
      <c r="Q50" s="43">
        <f t="shared" si="2"/>
        <v>0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291" t="s">
        <v>2447</v>
      </c>
      <c r="C51" s="292" t="s">
        <v>3407</v>
      </c>
      <c r="D51" s="292" t="s">
        <v>881</v>
      </c>
      <c r="E51" s="293" t="s">
        <v>338</v>
      </c>
      <c r="F51" s="294">
        <v>41.0</v>
      </c>
      <c r="G51" s="294" t="s">
        <v>476</v>
      </c>
      <c r="H51" s="294" t="s">
        <v>2625</v>
      </c>
      <c r="I51" s="295">
        <v>9.47462849E9</v>
      </c>
      <c r="J51" s="87">
        <v>28.0</v>
      </c>
      <c r="K51" s="55">
        <v>22.0</v>
      </c>
      <c r="L51" s="55">
        <v>0.0</v>
      </c>
      <c r="M51" s="55">
        <v>0.0</v>
      </c>
      <c r="N51" s="43">
        <f t="shared" si="1"/>
        <v>0</v>
      </c>
      <c r="O51" s="55">
        <v>1.0</v>
      </c>
      <c r="P51" s="55">
        <v>5.0</v>
      </c>
      <c r="Q51" s="43">
        <f t="shared" si="2"/>
        <v>6</v>
      </c>
      <c r="R51" s="43"/>
      <c r="S51" s="43"/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291" t="s">
        <v>3408</v>
      </c>
      <c r="C52" s="292" t="s">
        <v>3409</v>
      </c>
      <c r="D52" s="292" t="s">
        <v>3410</v>
      </c>
      <c r="E52" s="293" t="s">
        <v>338</v>
      </c>
      <c r="F52" s="294">
        <v>33.0</v>
      </c>
      <c r="G52" s="294" t="s">
        <v>476</v>
      </c>
      <c r="H52" s="294" t="s">
        <v>2658</v>
      </c>
      <c r="I52" s="295">
        <v>9.566320534E9</v>
      </c>
      <c r="J52" s="87">
        <v>32.0</v>
      </c>
      <c r="K52" s="55">
        <v>25.0</v>
      </c>
      <c r="L52" s="55">
        <v>0.0</v>
      </c>
      <c r="M52" s="55">
        <v>5.0</v>
      </c>
      <c r="N52" s="43">
        <f t="shared" si="1"/>
        <v>5</v>
      </c>
      <c r="O52" s="55">
        <v>2.0</v>
      </c>
      <c r="P52" s="55">
        <v>0.0</v>
      </c>
      <c r="Q52" s="43">
        <f t="shared" si="2"/>
        <v>7</v>
      </c>
      <c r="R52" s="43"/>
      <c r="S52" s="43"/>
      <c r="T52" s="43"/>
      <c r="U52" s="43"/>
      <c r="V52" s="43"/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47.0</v>
      </c>
      <c r="B53" s="291" t="s">
        <v>1247</v>
      </c>
      <c r="C53" s="292" t="s">
        <v>3411</v>
      </c>
      <c r="D53" s="292" t="s">
        <v>488</v>
      </c>
      <c r="E53" s="293" t="s">
        <v>338</v>
      </c>
      <c r="F53" s="294">
        <v>38.0</v>
      </c>
      <c r="G53" s="294" t="s">
        <v>476</v>
      </c>
      <c r="H53" s="294" t="s">
        <v>2658</v>
      </c>
      <c r="I53" s="295">
        <v>9.166321509E9</v>
      </c>
      <c r="J53" s="87">
        <v>29.0</v>
      </c>
      <c r="K53" s="55">
        <v>22.0</v>
      </c>
      <c r="L53" s="55">
        <v>0.0</v>
      </c>
      <c r="M53" s="55">
        <v>7.0</v>
      </c>
      <c r="N53" s="43">
        <f t="shared" si="1"/>
        <v>7</v>
      </c>
      <c r="O53" s="55">
        <v>2.0</v>
      </c>
      <c r="P53" s="55">
        <v>0.0</v>
      </c>
      <c r="Q53" s="43">
        <f t="shared" si="2"/>
        <v>9</v>
      </c>
      <c r="R53" s="43"/>
      <c r="S53" s="43"/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291" t="s">
        <v>3412</v>
      </c>
      <c r="C54" s="292" t="s">
        <v>3413</v>
      </c>
      <c r="D54" s="292" t="s">
        <v>2183</v>
      </c>
      <c r="E54" s="293" t="s">
        <v>338</v>
      </c>
      <c r="F54" s="294">
        <v>49.0</v>
      </c>
      <c r="G54" s="294" t="s">
        <v>476</v>
      </c>
      <c r="H54" s="294" t="s">
        <v>480</v>
      </c>
      <c r="I54" s="295">
        <v>9.21933381E9</v>
      </c>
      <c r="J54" s="87">
        <v>2.0</v>
      </c>
      <c r="K54" s="55">
        <v>1.0</v>
      </c>
      <c r="L54" s="55">
        <v>1.0</v>
      </c>
      <c r="M54" s="55">
        <v>0.0</v>
      </c>
      <c r="N54" s="43">
        <v>0.0</v>
      </c>
      <c r="O54" s="55">
        <v>30.0</v>
      </c>
      <c r="P54" s="55">
        <v>0.0</v>
      </c>
      <c r="Q54" s="43">
        <f t="shared" si="2"/>
        <v>30</v>
      </c>
      <c r="R54" s="43"/>
      <c r="S54" s="55" t="s">
        <v>74</v>
      </c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291" t="s">
        <v>3414</v>
      </c>
      <c r="C55" s="292" t="s">
        <v>3415</v>
      </c>
      <c r="D55" s="292" t="s">
        <v>1903</v>
      </c>
      <c r="E55" s="293" t="s">
        <v>338</v>
      </c>
      <c r="F55" s="294">
        <v>38.0</v>
      </c>
      <c r="G55" s="294" t="s">
        <v>476</v>
      </c>
      <c r="H55" s="294" t="s">
        <v>2625</v>
      </c>
      <c r="I55" s="295">
        <v>9.674467434E9</v>
      </c>
      <c r="J55" s="87">
        <v>26.0</v>
      </c>
      <c r="K55" s="55">
        <v>19.0</v>
      </c>
      <c r="L55" s="55">
        <v>0.0</v>
      </c>
      <c r="M55" s="55">
        <v>5.0</v>
      </c>
      <c r="N55" s="43">
        <f t="shared" ref="N55:N73" si="3">SUM(L55,M55)</f>
        <v>5</v>
      </c>
      <c r="O55" s="55">
        <v>6.0</v>
      </c>
      <c r="P55" s="55">
        <v>2.0</v>
      </c>
      <c r="Q55" s="43">
        <f t="shared" si="2"/>
        <v>13</v>
      </c>
      <c r="R55" s="43"/>
      <c r="S55" s="43"/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291" t="s">
        <v>3416</v>
      </c>
      <c r="C56" s="292" t="s">
        <v>3417</v>
      </c>
      <c r="D56" s="292" t="s">
        <v>3418</v>
      </c>
      <c r="E56" s="293" t="s">
        <v>338</v>
      </c>
      <c r="F56" s="294">
        <v>42.0</v>
      </c>
      <c r="G56" s="294" t="s">
        <v>476</v>
      </c>
      <c r="H56" s="294" t="s">
        <v>2672</v>
      </c>
      <c r="I56" s="295">
        <v>9.999987525E9</v>
      </c>
      <c r="J56" s="87">
        <v>31.0</v>
      </c>
      <c r="K56" s="55">
        <v>29.0</v>
      </c>
      <c r="L56" s="55">
        <v>0.0</v>
      </c>
      <c r="M56" s="55">
        <v>1.0</v>
      </c>
      <c r="N56" s="43">
        <f t="shared" si="3"/>
        <v>1</v>
      </c>
      <c r="O56" s="55">
        <v>1.0</v>
      </c>
      <c r="P56" s="55">
        <v>1.0</v>
      </c>
      <c r="Q56" s="43">
        <f t="shared" si="2"/>
        <v>3</v>
      </c>
      <c r="R56" s="43"/>
      <c r="S56" s="43"/>
      <c r="T56" s="43"/>
      <c r="U56" s="43"/>
      <c r="V56" s="43"/>
      <c r="W56" s="56" t="s">
        <v>46</v>
      </c>
      <c r="Z56" s="61"/>
      <c r="AA56" s="61"/>
      <c r="AB56" s="66"/>
      <c r="AC56" s="34"/>
      <c r="AD56" s="34"/>
    </row>
    <row r="57" ht="13.5" customHeight="1">
      <c r="A57" s="28">
        <v>51.0</v>
      </c>
      <c r="B57" s="309" t="s">
        <v>3419</v>
      </c>
      <c r="C57" s="310" t="s">
        <v>3420</v>
      </c>
      <c r="D57" s="310" t="s">
        <v>3421</v>
      </c>
      <c r="E57" s="311" t="s">
        <v>338</v>
      </c>
      <c r="F57" s="313">
        <v>39.0</v>
      </c>
      <c r="G57" s="313" t="s">
        <v>476</v>
      </c>
      <c r="H57" s="294" t="s">
        <v>480</v>
      </c>
      <c r="I57" s="316">
        <v>9.568978378E9</v>
      </c>
      <c r="J57" s="87">
        <v>32.0</v>
      </c>
      <c r="K57" s="55">
        <v>27.0</v>
      </c>
      <c r="L57" s="55">
        <v>0.0</v>
      </c>
      <c r="M57" s="55">
        <v>0.0</v>
      </c>
      <c r="N57" s="43">
        <f t="shared" si="3"/>
        <v>0</v>
      </c>
      <c r="O57" s="55">
        <v>0.0</v>
      </c>
      <c r="P57" s="55">
        <v>5.0</v>
      </c>
      <c r="Q57" s="43">
        <f t="shared" si="2"/>
        <v>5</v>
      </c>
      <c r="R57" s="43"/>
      <c r="S57" s="55" t="s">
        <v>277</v>
      </c>
      <c r="T57" s="43"/>
      <c r="U57" s="43"/>
      <c r="V57" s="43"/>
      <c r="W57" s="56" t="s">
        <v>46</v>
      </c>
      <c r="Z57" s="61"/>
      <c r="AA57" s="61"/>
      <c r="AB57" s="66"/>
      <c r="AC57" s="34"/>
      <c r="AD57" s="34"/>
    </row>
    <row r="58" ht="13.5" customHeight="1">
      <c r="A58" s="28">
        <v>52.0</v>
      </c>
      <c r="B58" s="291" t="s">
        <v>3422</v>
      </c>
      <c r="C58" s="292" t="s">
        <v>984</v>
      </c>
      <c r="D58" s="292" t="s">
        <v>3423</v>
      </c>
      <c r="E58" s="293" t="s">
        <v>338</v>
      </c>
      <c r="F58" s="294">
        <v>33.0</v>
      </c>
      <c r="G58" s="294" t="s">
        <v>476</v>
      </c>
      <c r="H58" s="294" t="s">
        <v>2658</v>
      </c>
      <c r="I58" s="295">
        <v>9.605314384E9</v>
      </c>
      <c r="J58" s="87">
        <v>22.0</v>
      </c>
      <c r="K58" s="55">
        <v>15.0</v>
      </c>
      <c r="L58" s="55">
        <v>0.0</v>
      </c>
      <c r="M58" s="55">
        <v>7.0</v>
      </c>
      <c r="N58" s="43">
        <f t="shared" si="3"/>
        <v>7</v>
      </c>
      <c r="O58" s="55">
        <v>9.0</v>
      </c>
      <c r="P58" s="55">
        <v>0.0</v>
      </c>
      <c r="Q58" s="43">
        <f t="shared" si="2"/>
        <v>16</v>
      </c>
      <c r="R58" s="43"/>
      <c r="S58" s="43"/>
      <c r="T58" s="43"/>
      <c r="U58" s="43"/>
      <c r="V58" s="43"/>
      <c r="W58" s="56" t="s">
        <v>46</v>
      </c>
      <c r="Z58" s="61"/>
      <c r="AA58" s="61"/>
      <c r="AB58" s="66"/>
      <c r="AC58" s="34"/>
      <c r="AD58" s="34"/>
    </row>
    <row r="59" ht="13.5" customHeight="1">
      <c r="A59" s="28">
        <v>53.0</v>
      </c>
      <c r="B59" s="291" t="s">
        <v>3424</v>
      </c>
      <c r="C59" s="292" t="s">
        <v>3425</v>
      </c>
      <c r="D59" s="292" t="s">
        <v>3426</v>
      </c>
      <c r="E59" s="293" t="s">
        <v>338</v>
      </c>
      <c r="F59" s="294">
        <v>32.0</v>
      </c>
      <c r="G59" s="294" t="s">
        <v>476</v>
      </c>
      <c r="H59" s="294" t="s">
        <v>480</v>
      </c>
      <c r="I59" s="295">
        <v>9.154332207E9</v>
      </c>
      <c r="J59" s="87">
        <v>28.0</v>
      </c>
      <c r="K59" s="55">
        <v>27.0</v>
      </c>
      <c r="L59" s="55">
        <v>0.0</v>
      </c>
      <c r="M59" s="55">
        <v>0.0</v>
      </c>
      <c r="N59" s="43">
        <f t="shared" si="3"/>
        <v>0</v>
      </c>
      <c r="O59" s="55">
        <v>4.0</v>
      </c>
      <c r="P59" s="55">
        <v>1.0</v>
      </c>
      <c r="Q59" s="43">
        <f t="shared" si="2"/>
        <v>5</v>
      </c>
      <c r="R59" s="43"/>
      <c r="S59" s="55" t="s">
        <v>277</v>
      </c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317" t="s">
        <v>3427</v>
      </c>
      <c r="C60" s="292" t="s">
        <v>3428</v>
      </c>
      <c r="D60" s="318" t="s">
        <v>3429</v>
      </c>
      <c r="E60" s="293" t="s">
        <v>338</v>
      </c>
      <c r="F60" s="294">
        <v>47.0</v>
      </c>
      <c r="G60" s="294" t="s">
        <v>476</v>
      </c>
      <c r="H60" s="294" t="s">
        <v>2672</v>
      </c>
      <c r="I60" s="319">
        <v>9.81758198E9</v>
      </c>
      <c r="J60" s="87">
        <v>22.0</v>
      </c>
      <c r="K60" s="55">
        <v>12.0</v>
      </c>
      <c r="L60" s="55">
        <v>5.0</v>
      </c>
      <c r="M60" s="55">
        <v>0.0</v>
      </c>
      <c r="N60" s="43">
        <f t="shared" si="3"/>
        <v>5</v>
      </c>
      <c r="O60" s="55">
        <v>10.0</v>
      </c>
      <c r="P60" s="55">
        <v>3.0</v>
      </c>
      <c r="Q60" s="43">
        <f t="shared" si="2"/>
        <v>18</v>
      </c>
      <c r="R60" s="43"/>
      <c r="S60" s="55" t="s">
        <v>88</v>
      </c>
      <c r="T60" s="43"/>
      <c r="U60" s="43"/>
      <c r="V60" s="43"/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291" t="s">
        <v>439</v>
      </c>
      <c r="C61" s="292" t="s">
        <v>1395</v>
      </c>
      <c r="D61" s="292" t="s">
        <v>3430</v>
      </c>
      <c r="E61" s="293" t="s">
        <v>338</v>
      </c>
      <c r="F61" s="294">
        <v>41.0</v>
      </c>
      <c r="G61" s="294" t="s">
        <v>476</v>
      </c>
      <c r="H61" s="294" t="s">
        <v>480</v>
      </c>
      <c r="I61" s="295">
        <v>9.757761745E9</v>
      </c>
      <c r="J61" s="83"/>
      <c r="K61" s="43"/>
      <c r="L61" s="43"/>
      <c r="M61" s="43"/>
      <c r="N61" s="43">
        <f t="shared" si="3"/>
        <v>0</v>
      </c>
      <c r="O61" s="43"/>
      <c r="P61" s="43"/>
      <c r="Q61" s="43">
        <f t="shared" si="2"/>
        <v>0</v>
      </c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291" t="s">
        <v>439</v>
      </c>
      <c r="C62" s="292" t="s">
        <v>3431</v>
      </c>
      <c r="D62" s="292" t="s">
        <v>3432</v>
      </c>
      <c r="E62" s="293" t="s">
        <v>338</v>
      </c>
      <c r="F62" s="294">
        <v>35.0</v>
      </c>
      <c r="G62" s="294" t="s">
        <v>476</v>
      </c>
      <c r="H62" s="294" t="s">
        <v>480</v>
      </c>
      <c r="I62" s="295">
        <v>9.292853761E9</v>
      </c>
      <c r="J62" s="87">
        <v>24.0</v>
      </c>
      <c r="K62" s="55">
        <v>23.0</v>
      </c>
      <c r="L62" s="55">
        <v>0.0</v>
      </c>
      <c r="M62" s="55">
        <v>0.0</v>
      </c>
      <c r="N62" s="43">
        <f t="shared" si="3"/>
        <v>0</v>
      </c>
      <c r="O62" s="55">
        <v>8.0</v>
      </c>
      <c r="P62" s="55">
        <v>1.0</v>
      </c>
      <c r="Q62" s="43">
        <f t="shared" si="2"/>
        <v>9</v>
      </c>
      <c r="R62" s="43"/>
      <c r="S62" s="55" t="s">
        <v>277</v>
      </c>
      <c r="T62" s="43"/>
      <c r="U62" s="43"/>
      <c r="V62" s="43"/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291" t="s">
        <v>2072</v>
      </c>
      <c r="C63" s="292" t="s">
        <v>3433</v>
      </c>
      <c r="D63" s="292" t="s">
        <v>1537</v>
      </c>
      <c r="E63" s="293" t="s">
        <v>338</v>
      </c>
      <c r="F63" s="294">
        <v>43.0</v>
      </c>
      <c r="G63" s="294" t="s">
        <v>476</v>
      </c>
      <c r="H63" s="294" t="s">
        <v>2625</v>
      </c>
      <c r="I63" s="295">
        <v>9.397633161E9</v>
      </c>
      <c r="J63" s="87">
        <v>23.0</v>
      </c>
      <c r="K63" s="55">
        <v>21.0</v>
      </c>
      <c r="L63" s="55">
        <v>0.0</v>
      </c>
      <c r="M63" s="55">
        <v>2.0</v>
      </c>
      <c r="N63" s="43">
        <f t="shared" si="3"/>
        <v>2</v>
      </c>
      <c r="O63" s="55">
        <v>9.0</v>
      </c>
      <c r="P63" s="55">
        <v>0.0</v>
      </c>
      <c r="Q63" s="43">
        <f t="shared" si="2"/>
        <v>11</v>
      </c>
      <c r="R63" s="43"/>
      <c r="S63" s="55" t="s">
        <v>88</v>
      </c>
      <c r="T63" s="43"/>
      <c r="U63" s="43"/>
      <c r="V63" s="43"/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291" t="s">
        <v>3434</v>
      </c>
      <c r="C64" s="292" t="s">
        <v>2168</v>
      </c>
      <c r="D64" s="292" t="s">
        <v>148</v>
      </c>
      <c r="E64" s="293" t="s">
        <v>338</v>
      </c>
      <c r="F64" s="294">
        <v>40.0</v>
      </c>
      <c r="G64" s="294" t="s">
        <v>476</v>
      </c>
      <c r="H64" s="294" t="s">
        <v>480</v>
      </c>
      <c r="I64" s="295">
        <v>9.289381325E9</v>
      </c>
      <c r="J64" s="87">
        <v>32.0</v>
      </c>
      <c r="K64" s="55">
        <v>23.0</v>
      </c>
      <c r="L64" s="55">
        <v>0.0</v>
      </c>
      <c r="M64" s="55">
        <v>9.0</v>
      </c>
      <c r="N64" s="43">
        <f t="shared" si="3"/>
        <v>9</v>
      </c>
      <c r="O64" s="55">
        <v>0.0</v>
      </c>
      <c r="P64" s="55">
        <v>0.0</v>
      </c>
      <c r="Q64" s="43">
        <f t="shared" si="2"/>
        <v>9</v>
      </c>
      <c r="R64" s="43"/>
      <c r="S64" s="43"/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291" t="s">
        <v>3435</v>
      </c>
      <c r="C65" s="292" t="s">
        <v>3436</v>
      </c>
      <c r="D65" s="292" t="s">
        <v>3437</v>
      </c>
      <c r="E65" s="293" t="s">
        <v>338</v>
      </c>
      <c r="F65" s="294">
        <v>40.0</v>
      </c>
      <c r="G65" s="294" t="s">
        <v>476</v>
      </c>
      <c r="H65" s="294" t="s">
        <v>2658</v>
      </c>
      <c r="I65" s="295">
        <v>9.366120502E9</v>
      </c>
      <c r="J65" s="87">
        <v>23.0</v>
      </c>
      <c r="K65" s="55">
        <v>19.0</v>
      </c>
      <c r="L65" s="55">
        <v>0.0</v>
      </c>
      <c r="M65" s="55">
        <v>4.0</v>
      </c>
      <c r="N65" s="43">
        <f t="shared" si="3"/>
        <v>4</v>
      </c>
      <c r="O65" s="55">
        <v>9.0</v>
      </c>
      <c r="P65" s="55">
        <v>0.0</v>
      </c>
      <c r="Q65" s="43">
        <f t="shared" si="2"/>
        <v>13</v>
      </c>
      <c r="R65" s="43"/>
      <c r="S65" s="55" t="s">
        <v>88</v>
      </c>
      <c r="T65" s="43"/>
      <c r="U65" s="43"/>
      <c r="V65" s="43"/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291" t="s">
        <v>202</v>
      </c>
      <c r="C66" s="292" t="s">
        <v>2212</v>
      </c>
      <c r="D66" s="292" t="s">
        <v>3438</v>
      </c>
      <c r="E66" s="293" t="s">
        <v>338</v>
      </c>
      <c r="F66" s="294">
        <v>40.0</v>
      </c>
      <c r="G66" s="294" t="s">
        <v>476</v>
      </c>
      <c r="H66" s="294" t="s">
        <v>2658</v>
      </c>
      <c r="I66" s="295">
        <v>9.481830318E9</v>
      </c>
      <c r="J66" s="87">
        <v>30.0</v>
      </c>
      <c r="K66" s="55">
        <v>21.0</v>
      </c>
      <c r="L66" s="55">
        <v>0.0</v>
      </c>
      <c r="M66" s="55">
        <v>2.0</v>
      </c>
      <c r="N66" s="43">
        <f t="shared" si="3"/>
        <v>2</v>
      </c>
      <c r="O66" s="55">
        <v>2.0</v>
      </c>
      <c r="P66" s="55">
        <v>7.0</v>
      </c>
      <c r="Q66" s="43">
        <f t="shared" si="2"/>
        <v>11</v>
      </c>
      <c r="R66" s="43"/>
      <c r="S66" s="43"/>
      <c r="T66" s="43"/>
      <c r="U66" s="43"/>
      <c r="V66" s="43"/>
      <c r="W66" s="56" t="s">
        <v>46</v>
      </c>
      <c r="Z66" s="61"/>
      <c r="AA66" s="61"/>
      <c r="AB66" s="66"/>
      <c r="AC66" s="34"/>
      <c r="AD66" s="34"/>
    </row>
    <row r="67" ht="13.5" customHeight="1">
      <c r="A67" s="28">
        <v>61.0</v>
      </c>
      <c r="B67" s="291" t="s">
        <v>3439</v>
      </c>
      <c r="C67" s="292" t="s">
        <v>3440</v>
      </c>
      <c r="D67" s="292" t="s">
        <v>3441</v>
      </c>
      <c r="E67" s="293" t="s">
        <v>338</v>
      </c>
      <c r="F67" s="294">
        <v>41.0</v>
      </c>
      <c r="G67" s="294" t="s">
        <v>476</v>
      </c>
      <c r="H67" s="294" t="s">
        <v>2658</v>
      </c>
      <c r="I67" s="295">
        <v>9.17371917E9</v>
      </c>
      <c r="J67" s="83"/>
      <c r="K67" s="43"/>
      <c r="L67" s="43"/>
      <c r="M67" s="43"/>
      <c r="N67" s="43">
        <f t="shared" si="3"/>
        <v>0</v>
      </c>
      <c r="O67" s="43"/>
      <c r="P67" s="43"/>
      <c r="Q67" s="43">
        <f t="shared" si="2"/>
        <v>0</v>
      </c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291" t="s">
        <v>3442</v>
      </c>
      <c r="C68" s="292" t="s">
        <v>1853</v>
      </c>
      <c r="D68" s="292" t="s">
        <v>2284</v>
      </c>
      <c r="E68" s="293" t="s">
        <v>338</v>
      </c>
      <c r="F68" s="294">
        <v>54.0</v>
      </c>
      <c r="G68" s="294" t="s">
        <v>476</v>
      </c>
      <c r="H68" s="294" t="s">
        <v>2672</v>
      </c>
      <c r="I68" s="295">
        <v>9.214510678E9</v>
      </c>
      <c r="J68" s="87">
        <v>26.0</v>
      </c>
      <c r="K68" s="55">
        <v>21.0</v>
      </c>
      <c r="L68" s="55">
        <v>1.0</v>
      </c>
      <c r="M68" s="55">
        <v>2.0</v>
      </c>
      <c r="N68" s="43">
        <f t="shared" si="3"/>
        <v>3</v>
      </c>
      <c r="O68" s="55">
        <v>6.0</v>
      </c>
      <c r="P68" s="55">
        <v>1.0</v>
      </c>
      <c r="Q68" s="43">
        <f t="shared" si="2"/>
        <v>10</v>
      </c>
      <c r="R68" s="43"/>
      <c r="S68" s="43"/>
      <c r="T68" s="43"/>
      <c r="U68" s="43"/>
      <c r="V68" s="43"/>
      <c r="W68" s="56" t="s">
        <v>46</v>
      </c>
      <c r="Z68" s="61"/>
      <c r="AA68" s="61"/>
      <c r="AB68" s="66"/>
      <c r="AC68" s="34"/>
      <c r="AD68" s="34"/>
    </row>
    <row r="69" ht="13.5" customHeight="1">
      <c r="A69" s="28">
        <v>63.0</v>
      </c>
      <c r="B69" s="291" t="s">
        <v>112</v>
      </c>
      <c r="C69" s="292" t="s">
        <v>3443</v>
      </c>
      <c r="D69" s="292" t="s">
        <v>3444</v>
      </c>
      <c r="E69" s="293" t="s">
        <v>338</v>
      </c>
      <c r="F69" s="294">
        <v>35.0</v>
      </c>
      <c r="G69" s="294" t="s">
        <v>476</v>
      </c>
      <c r="H69" s="294" t="s">
        <v>2658</v>
      </c>
      <c r="I69" s="295">
        <v>9.310970544E9</v>
      </c>
      <c r="J69" s="83"/>
      <c r="K69" s="43"/>
      <c r="L69" s="43"/>
      <c r="M69" s="43"/>
      <c r="N69" s="43">
        <f t="shared" si="3"/>
        <v>0</v>
      </c>
      <c r="O69" s="43"/>
      <c r="P69" s="43"/>
      <c r="Q69" s="43">
        <f t="shared" si="2"/>
        <v>0</v>
      </c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291" t="s">
        <v>893</v>
      </c>
      <c r="C70" s="292" t="s">
        <v>3445</v>
      </c>
      <c r="D70" s="292" t="s">
        <v>3446</v>
      </c>
      <c r="E70" s="293" t="s">
        <v>338</v>
      </c>
      <c r="F70" s="294">
        <v>41.0</v>
      </c>
      <c r="G70" s="294" t="s">
        <v>584</v>
      </c>
      <c r="H70" s="294" t="s">
        <v>2625</v>
      </c>
      <c r="I70" s="295">
        <v>9.234059678E9</v>
      </c>
      <c r="J70" s="87">
        <v>28.0</v>
      </c>
      <c r="K70" s="55">
        <v>23.0</v>
      </c>
      <c r="L70" s="55">
        <v>0.0</v>
      </c>
      <c r="M70" s="55">
        <v>1.0</v>
      </c>
      <c r="N70" s="43">
        <f t="shared" si="3"/>
        <v>1</v>
      </c>
      <c r="O70" s="55">
        <v>4.0</v>
      </c>
      <c r="P70" s="55">
        <v>4.0</v>
      </c>
      <c r="Q70" s="43">
        <f t="shared" si="2"/>
        <v>9</v>
      </c>
      <c r="R70" s="43"/>
      <c r="S70" s="43"/>
      <c r="T70" s="43"/>
      <c r="U70" s="43"/>
      <c r="V70" s="43"/>
      <c r="W70" s="56" t="s">
        <v>46</v>
      </c>
      <c r="Z70" s="61"/>
      <c r="AA70" s="61"/>
      <c r="AB70" s="66"/>
      <c r="AC70" s="34"/>
      <c r="AD70" s="34"/>
    </row>
    <row r="71" ht="13.5" customHeight="1">
      <c r="A71" s="28">
        <v>65.0</v>
      </c>
      <c r="B71" s="291" t="s">
        <v>3447</v>
      </c>
      <c r="C71" s="292" t="s">
        <v>1193</v>
      </c>
      <c r="D71" s="292" t="s">
        <v>3448</v>
      </c>
      <c r="E71" s="293" t="s">
        <v>338</v>
      </c>
      <c r="F71" s="294">
        <v>42.0</v>
      </c>
      <c r="G71" s="294" t="s">
        <v>476</v>
      </c>
      <c r="H71" s="294" t="s">
        <v>2658</v>
      </c>
      <c r="I71" s="295">
        <v>9.279362906E9</v>
      </c>
      <c r="J71" s="87">
        <v>28.0</v>
      </c>
      <c r="K71" s="55">
        <v>20.0</v>
      </c>
      <c r="L71" s="55">
        <v>0.0</v>
      </c>
      <c r="M71" s="55">
        <v>2.0</v>
      </c>
      <c r="N71" s="43">
        <f t="shared" si="3"/>
        <v>2</v>
      </c>
      <c r="O71" s="55">
        <v>4.0</v>
      </c>
      <c r="P71" s="55">
        <v>6.0</v>
      </c>
      <c r="Q71" s="43">
        <f t="shared" si="2"/>
        <v>12</v>
      </c>
      <c r="R71" s="43"/>
      <c r="S71" s="43"/>
      <c r="T71" s="43"/>
      <c r="U71" s="43"/>
      <c r="V71" s="43"/>
      <c r="W71" s="56" t="s">
        <v>46</v>
      </c>
      <c r="Z71" s="61"/>
      <c r="AA71" s="61"/>
      <c r="AB71" s="66"/>
      <c r="AC71" s="34"/>
      <c r="AD71" s="34"/>
    </row>
    <row r="72" ht="13.5" customHeight="1">
      <c r="A72" s="28">
        <v>66.0</v>
      </c>
      <c r="B72" s="291" t="s">
        <v>3449</v>
      </c>
      <c r="C72" s="292" t="s">
        <v>482</v>
      </c>
      <c r="D72" s="292" t="s">
        <v>1654</v>
      </c>
      <c r="E72" s="293" t="s">
        <v>338</v>
      </c>
      <c r="F72" s="294">
        <v>44.0</v>
      </c>
      <c r="G72" s="294" t="s">
        <v>476</v>
      </c>
      <c r="H72" s="294" t="s">
        <v>480</v>
      </c>
      <c r="I72" s="295">
        <v>9.053161597E9</v>
      </c>
      <c r="J72" s="87">
        <v>30.0</v>
      </c>
      <c r="K72" s="55">
        <v>26.0</v>
      </c>
      <c r="L72" s="55">
        <v>0.0</v>
      </c>
      <c r="M72" s="55">
        <v>0.0</v>
      </c>
      <c r="N72" s="43">
        <f t="shared" si="3"/>
        <v>0</v>
      </c>
      <c r="O72" s="55">
        <v>2.0</v>
      </c>
      <c r="P72" s="55">
        <v>4.0</v>
      </c>
      <c r="Q72" s="43">
        <f t="shared" si="2"/>
        <v>6</v>
      </c>
      <c r="R72" s="43"/>
      <c r="S72" s="43"/>
      <c r="T72" s="43"/>
      <c r="U72" s="43"/>
      <c r="V72" s="43"/>
      <c r="W72" s="56" t="s">
        <v>46</v>
      </c>
      <c r="Z72" s="61"/>
      <c r="AA72" s="61"/>
      <c r="AB72" s="66"/>
      <c r="AC72" s="34"/>
      <c r="AD72" s="34"/>
    </row>
    <row r="73" ht="13.5" customHeight="1">
      <c r="A73" s="28">
        <v>67.0</v>
      </c>
      <c r="B73" s="309" t="s">
        <v>3450</v>
      </c>
      <c r="C73" s="310" t="s">
        <v>2088</v>
      </c>
      <c r="D73" s="310" t="s">
        <v>3451</v>
      </c>
      <c r="E73" s="311" t="s">
        <v>338</v>
      </c>
      <c r="F73" s="313">
        <v>29.0</v>
      </c>
      <c r="G73" s="313" t="s">
        <v>476</v>
      </c>
      <c r="H73" s="294" t="s">
        <v>480</v>
      </c>
      <c r="I73" s="316">
        <v>9.073725859E9</v>
      </c>
      <c r="J73" s="83"/>
      <c r="K73" s="43"/>
      <c r="L73" s="43"/>
      <c r="M73" s="43"/>
      <c r="N73" s="43">
        <f t="shared" si="3"/>
        <v>0</v>
      </c>
      <c r="O73" s="43"/>
      <c r="P73" s="43"/>
      <c r="Q73" s="43">
        <f t="shared" si="2"/>
        <v>0</v>
      </c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291" t="s">
        <v>3452</v>
      </c>
      <c r="C74" s="292" t="s">
        <v>3453</v>
      </c>
      <c r="D74" s="292" t="s">
        <v>3454</v>
      </c>
      <c r="E74" s="293" t="s">
        <v>338</v>
      </c>
      <c r="F74" s="294">
        <v>39.0</v>
      </c>
      <c r="G74" s="294" t="s">
        <v>476</v>
      </c>
      <c r="H74" s="294" t="s">
        <v>2658</v>
      </c>
      <c r="I74" s="295">
        <v>9.125209765E9</v>
      </c>
      <c r="J74" s="87">
        <v>24.0</v>
      </c>
      <c r="K74" s="55">
        <v>16.0</v>
      </c>
      <c r="L74" s="55">
        <v>1.0</v>
      </c>
      <c r="M74" s="55">
        <v>6.0</v>
      </c>
      <c r="N74" s="43">
        <v>0.0</v>
      </c>
      <c r="O74" s="55">
        <v>5.0</v>
      </c>
      <c r="P74" s="55">
        <v>1.0</v>
      </c>
      <c r="Q74" s="43">
        <f t="shared" si="2"/>
        <v>6</v>
      </c>
      <c r="R74" s="43"/>
      <c r="S74" s="43"/>
      <c r="T74" s="43"/>
      <c r="U74" s="43"/>
      <c r="V74" s="43"/>
      <c r="W74" s="56" t="s">
        <v>46</v>
      </c>
      <c r="Z74" s="61"/>
      <c r="AA74" s="61"/>
      <c r="AB74" s="66"/>
      <c r="AC74" s="34"/>
      <c r="AD74" s="34"/>
    </row>
    <row r="75" ht="13.5" customHeight="1">
      <c r="A75" s="28">
        <v>69.0</v>
      </c>
      <c r="B75" s="291" t="s">
        <v>3455</v>
      </c>
      <c r="C75" s="292" t="s">
        <v>3456</v>
      </c>
      <c r="D75" s="292" t="s">
        <v>3457</v>
      </c>
      <c r="E75" s="293" t="s">
        <v>338</v>
      </c>
      <c r="F75" s="294">
        <v>43.0</v>
      </c>
      <c r="G75" s="294" t="s">
        <v>476</v>
      </c>
      <c r="H75" s="294" t="s">
        <v>480</v>
      </c>
      <c r="I75" s="295">
        <v>9.07095622E9</v>
      </c>
      <c r="J75" s="87">
        <v>30.0</v>
      </c>
      <c r="K75" s="55">
        <v>26.0</v>
      </c>
      <c r="L75" s="55">
        <v>1.0</v>
      </c>
      <c r="M75" s="55">
        <v>3.0</v>
      </c>
      <c r="N75" s="43">
        <f t="shared" ref="N75:N78" si="4">SUM(L75,M75)</f>
        <v>4</v>
      </c>
      <c r="O75" s="55">
        <v>2.0</v>
      </c>
      <c r="P75" s="55">
        <v>0.0</v>
      </c>
      <c r="Q75" s="43">
        <f t="shared" si="2"/>
        <v>6</v>
      </c>
      <c r="R75" s="43"/>
      <c r="S75" s="43"/>
      <c r="T75" s="43"/>
      <c r="U75" s="43"/>
      <c r="V75" s="43"/>
      <c r="W75" s="56" t="s">
        <v>46</v>
      </c>
      <c r="Z75" s="61"/>
      <c r="AA75" s="61"/>
      <c r="AB75" s="66"/>
      <c r="AC75" s="34"/>
      <c r="AD75" s="34"/>
    </row>
    <row r="76" ht="13.5" customHeight="1">
      <c r="A76" s="28">
        <v>70.0</v>
      </c>
      <c r="B76" s="291" t="s">
        <v>3458</v>
      </c>
      <c r="C76" s="292" t="s">
        <v>1548</v>
      </c>
      <c r="D76" s="292" t="s">
        <v>3459</v>
      </c>
      <c r="E76" s="293" t="s">
        <v>338</v>
      </c>
      <c r="F76" s="294">
        <v>49.0</v>
      </c>
      <c r="G76" s="294" t="s">
        <v>476</v>
      </c>
      <c r="H76" s="294" t="s">
        <v>480</v>
      </c>
      <c r="I76" s="295">
        <v>9.50174187E9</v>
      </c>
      <c r="J76" s="54">
        <v>18.0</v>
      </c>
      <c r="K76" s="55">
        <v>18.0</v>
      </c>
      <c r="L76" s="55">
        <v>0.0</v>
      </c>
      <c r="M76" s="55">
        <v>0.0</v>
      </c>
      <c r="N76" s="43">
        <f t="shared" si="4"/>
        <v>0</v>
      </c>
      <c r="O76" s="55">
        <v>13.0</v>
      </c>
      <c r="P76" s="55">
        <v>0.0</v>
      </c>
      <c r="Q76" s="43">
        <f t="shared" si="2"/>
        <v>13</v>
      </c>
      <c r="R76" s="43"/>
      <c r="S76" s="55" t="s">
        <v>237</v>
      </c>
      <c r="T76" s="43"/>
      <c r="U76" s="43"/>
      <c r="V76" s="43"/>
      <c r="W76" s="56" t="s">
        <v>46</v>
      </c>
      <c r="Z76" s="61"/>
      <c r="AA76" s="61"/>
      <c r="AB76" s="66"/>
      <c r="AC76" s="34"/>
      <c r="AD76" s="34"/>
    </row>
    <row r="77" ht="13.5" customHeight="1">
      <c r="A77" s="28">
        <v>71.0</v>
      </c>
      <c r="B77" s="291" t="s">
        <v>410</v>
      </c>
      <c r="C77" s="292" t="s">
        <v>1284</v>
      </c>
      <c r="D77" s="292" t="s">
        <v>3421</v>
      </c>
      <c r="E77" s="293" t="s">
        <v>338</v>
      </c>
      <c r="F77" s="294">
        <v>45.0</v>
      </c>
      <c r="G77" s="294" t="s">
        <v>476</v>
      </c>
      <c r="H77" s="294" t="s">
        <v>2672</v>
      </c>
      <c r="I77" s="295">
        <v>9.474620596E9</v>
      </c>
      <c r="J77" s="54">
        <v>28.0</v>
      </c>
      <c r="K77" s="55">
        <v>23.0</v>
      </c>
      <c r="L77" s="55">
        <v>0.0</v>
      </c>
      <c r="M77" s="55">
        <v>0.0</v>
      </c>
      <c r="N77" s="43">
        <f t="shared" si="4"/>
        <v>0</v>
      </c>
      <c r="O77" s="55">
        <v>4.0</v>
      </c>
      <c r="P77" s="55">
        <v>5.0</v>
      </c>
      <c r="Q77" s="43">
        <f t="shared" si="2"/>
        <v>9</v>
      </c>
      <c r="R77" s="43"/>
      <c r="S77" s="43"/>
      <c r="T77" s="43"/>
      <c r="U77" s="43"/>
      <c r="V77" s="43"/>
      <c r="W77" s="56" t="s">
        <v>46</v>
      </c>
      <c r="Z77" s="61"/>
      <c r="AA77" s="61"/>
      <c r="AB77" s="66"/>
      <c r="AC77" s="34"/>
      <c r="AD77" s="34"/>
    </row>
    <row r="78" ht="13.5" customHeight="1">
      <c r="A78" s="28">
        <v>72.0</v>
      </c>
      <c r="B78" s="291" t="s">
        <v>3460</v>
      </c>
      <c r="C78" s="292" t="s">
        <v>3461</v>
      </c>
      <c r="D78" s="292" t="s">
        <v>2881</v>
      </c>
      <c r="E78" s="293" t="s">
        <v>338</v>
      </c>
      <c r="F78" s="294">
        <v>38.0</v>
      </c>
      <c r="G78" s="294" t="s">
        <v>476</v>
      </c>
      <c r="H78" s="294" t="s">
        <v>2672</v>
      </c>
      <c r="I78" s="295">
        <v>9.272555698E9</v>
      </c>
      <c r="J78" s="54">
        <v>30.0</v>
      </c>
      <c r="K78" s="55">
        <v>23.0</v>
      </c>
      <c r="L78" s="55">
        <v>2.0</v>
      </c>
      <c r="M78" s="55">
        <v>4.0</v>
      </c>
      <c r="N78" s="43">
        <f t="shared" si="4"/>
        <v>6</v>
      </c>
      <c r="O78" s="55">
        <v>2.0</v>
      </c>
      <c r="P78" s="55">
        <v>1.0</v>
      </c>
      <c r="Q78" s="43">
        <f t="shared" si="2"/>
        <v>9</v>
      </c>
      <c r="R78" s="43"/>
      <c r="S78" s="43"/>
      <c r="T78" s="43"/>
      <c r="U78" s="43"/>
      <c r="V78" s="43"/>
      <c r="W78" s="56" t="s">
        <v>46</v>
      </c>
      <c r="Z78" s="61"/>
      <c r="AA78" s="61"/>
      <c r="AB78" s="66"/>
      <c r="AC78" s="34"/>
      <c r="AD78" s="34"/>
    </row>
    <row r="79" ht="13.5" customHeight="1">
      <c r="A79" s="28">
        <v>73.0</v>
      </c>
      <c r="B79" s="291" t="s">
        <v>3462</v>
      </c>
      <c r="C79" s="292" t="s">
        <v>3463</v>
      </c>
      <c r="D79" s="292" t="s">
        <v>3464</v>
      </c>
      <c r="E79" s="293" t="s">
        <v>338</v>
      </c>
      <c r="F79" s="294">
        <v>36.0</v>
      </c>
      <c r="G79" s="294" t="s">
        <v>476</v>
      </c>
      <c r="H79" s="294" t="s">
        <v>480</v>
      </c>
      <c r="I79" s="295">
        <v>9.765553727E9</v>
      </c>
      <c r="J79" s="54">
        <v>28.0</v>
      </c>
      <c r="K79" s="55">
        <v>24.0</v>
      </c>
      <c r="L79" s="55">
        <v>0.0</v>
      </c>
      <c r="M79" s="55">
        <v>4.0</v>
      </c>
      <c r="N79" s="43">
        <v>0.0</v>
      </c>
      <c r="O79" s="55">
        <v>4.0</v>
      </c>
      <c r="P79" s="55">
        <v>0.0</v>
      </c>
      <c r="Q79" s="43">
        <v>0.0</v>
      </c>
      <c r="R79" s="43"/>
      <c r="S79" s="55" t="s">
        <v>277</v>
      </c>
      <c r="T79" s="43"/>
      <c r="U79" s="43"/>
      <c r="V79" s="55" t="s">
        <v>3465</v>
      </c>
      <c r="W79" s="56" t="s">
        <v>46</v>
      </c>
      <c r="Z79" s="61"/>
      <c r="AA79" s="61"/>
      <c r="AB79" s="66"/>
      <c r="AC79" s="34"/>
      <c r="AD79" s="34"/>
    </row>
    <row r="80" ht="13.5" customHeight="1">
      <c r="A80" s="28">
        <v>74.0</v>
      </c>
      <c r="B80" s="291" t="s">
        <v>3466</v>
      </c>
      <c r="C80" s="292" t="s">
        <v>3467</v>
      </c>
      <c r="D80" s="292" t="s">
        <v>1749</v>
      </c>
      <c r="E80" s="293" t="s">
        <v>338</v>
      </c>
      <c r="F80" s="294">
        <v>58.0</v>
      </c>
      <c r="G80" s="294" t="s">
        <v>584</v>
      </c>
      <c r="H80" s="294" t="s">
        <v>2658</v>
      </c>
      <c r="I80" s="295">
        <v>9.230813079E9</v>
      </c>
      <c r="J80" s="54">
        <v>25.0</v>
      </c>
      <c r="K80" s="55">
        <v>24.0</v>
      </c>
      <c r="L80" s="55">
        <v>0.0</v>
      </c>
      <c r="M80" s="55">
        <v>0.0</v>
      </c>
      <c r="N80" s="43">
        <f t="shared" ref="N80:N106" si="5">SUM(L80,M80)</f>
        <v>0</v>
      </c>
      <c r="O80" s="55">
        <v>7.0</v>
      </c>
      <c r="P80" s="55">
        <v>1.0</v>
      </c>
      <c r="Q80" s="43">
        <f t="shared" ref="Q80:Q106" si="6">SUM(N80,O80,P80)</f>
        <v>8</v>
      </c>
      <c r="R80" s="43"/>
      <c r="S80" s="55" t="s">
        <v>88</v>
      </c>
      <c r="T80" s="43"/>
      <c r="U80" s="43"/>
      <c r="V80" s="43"/>
      <c r="W80" s="56" t="s">
        <v>46</v>
      </c>
      <c r="Z80" s="61"/>
      <c r="AA80" s="61"/>
      <c r="AB80" s="66"/>
      <c r="AC80" s="34"/>
      <c r="AD80" s="34"/>
    </row>
    <row r="81" ht="13.5" customHeight="1">
      <c r="A81" s="28">
        <v>75.0</v>
      </c>
      <c r="B81" s="291" t="s">
        <v>2575</v>
      </c>
      <c r="C81" s="292" t="s">
        <v>3468</v>
      </c>
      <c r="D81" s="292" t="s">
        <v>866</v>
      </c>
      <c r="E81" s="293" t="s">
        <v>338</v>
      </c>
      <c r="F81" s="294">
        <v>36.0</v>
      </c>
      <c r="G81" s="294" t="s">
        <v>476</v>
      </c>
      <c r="H81" s="294" t="s">
        <v>2658</v>
      </c>
      <c r="I81" s="295">
        <v>9.107601749E9</v>
      </c>
      <c r="J81" s="54">
        <v>28.0</v>
      </c>
      <c r="K81" s="55">
        <v>20.0</v>
      </c>
      <c r="L81" s="55">
        <v>5.0</v>
      </c>
      <c r="M81" s="55">
        <v>1.0</v>
      </c>
      <c r="N81" s="43">
        <f t="shared" si="5"/>
        <v>6</v>
      </c>
      <c r="O81" s="55">
        <v>4.0</v>
      </c>
      <c r="P81" s="55">
        <v>2.0</v>
      </c>
      <c r="Q81" s="43">
        <f t="shared" si="6"/>
        <v>12</v>
      </c>
      <c r="R81" s="43"/>
      <c r="S81" s="55" t="s">
        <v>277</v>
      </c>
      <c r="T81" s="43"/>
      <c r="U81" s="43"/>
      <c r="V81" s="43"/>
      <c r="W81" s="56" t="s">
        <v>46</v>
      </c>
      <c r="Z81" s="61"/>
      <c r="AA81" s="61"/>
      <c r="AB81" s="66"/>
      <c r="AC81" s="34"/>
      <c r="AD81" s="34"/>
    </row>
    <row r="82" ht="13.5" customHeight="1">
      <c r="A82" s="28">
        <v>76.0</v>
      </c>
      <c r="B82" s="291" t="s">
        <v>171</v>
      </c>
      <c r="C82" s="292" t="s">
        <v>1828</v>
      </c>
      <c r="D82" s="292" t="s">
        <v>3469</v>
      </c>
      <c r="E82" s="293" t="s">
        <v>338</v>
      </c>
      <c r="F82" s="294">
        <v>38.0</v>
      </c>
      <c r="G82" s="294" t="s">
        <v>476</v>
      </c>
      <c r="H82" s="294" t="s">
        <v>480</v>
      </c>
      <c r="I82" s="295">
        <v>9.759635489E9</v>
      </c>
      <c r="J82" s="54">
        <v>30.0</v>
      </c>
      <c r="K82" s="55">
        <v>26.0</v>
      </c>
      <c r="L82" s="55">
        <v>0.0</v>
      </c>
      <c r="M82" s="55">
        <v>4.0</v>
      </c>
      <c r="N82" s="43">
        <f t="shared" si="5"/>
        <v>4</v>
      </c>
      <c r="O82" s="55">
        <v>2.0</v>
      </c>
      <c r="P82" s="55">
        <v>0.0</v>
      </c>
      <c r="Q82" s="43">
        <f t="shared" si="6"/>
        <v>6</v>
      </c>
      <c r="R82" s="43"/>
      <c r="S82" s="43"/>
      <c r="T82" s="43"/>
      <c r="U82" s="43"/>
      <c r="V82" s="43"/>
      <c r="W82" s="56" t="s">
        <v>46</v>
      </c>
      <c r="Z82" s="61"/>
      <c r="AA82" s="61"/>
      <c r="AB82" s="66"/>
      <c r="AC82" s="34"/>
      <c r="AD82" s="34"/>
    </row>
    <row r="83" ht="13.5" customHeight="1">
      <c r="A83" s="28">
        <v>77.0</v>
      </c>
      <c r="B83" s="291" t="s">
        <v>2386</v>
      </c>
      <c r="C83" s="292" t="s">
        <v>3470</v>
      </c>
      <c r="D83" s="292" t="s">
        <v>3471</v>
      </c>
      <c r="E83" s="293" t="s">
        <v>338</v>
      </c>
      <c r="F83" s="294">
        <v>42.0</v>
      </c>
      <c r="G83" s="294" t="s">
        <v>476</v>
      </c>
      <c r="H83" s="294" t="s">
        <v>2658</v>
      </c>
      <c r="I83" s="295">
        <v>9.298096364E9</v>
      </c>
      <c r="J83" s="54">
        <v>19.0</v>
      </c>
      <c r="K83" s="55">
        <v>12.0</v>
      </c>
      <c r="L83" s="55">
        <v>3.0</v>
      </c>
      <c r="M83" s="55">
        <v>4.0</v>
      </c>
      <c r="N83" s="43">
        <f t="shared" si="5"/>
        <v>7</v>
      </c>
      <c r="O83" s="55">
        <v>13.0</v>
      </c>
      <c r="P83" s="55">
        <v>0.0</v>
      </c>
      <c r="Q83" s="43">
        <f t="shared" si="6"/>
        <v>20</v>
      </c>
      <c r="R83" s="43"/>
      <c r="S83" s="55" t="s">
        <v>88</v>
      </c>
      <c r="T83" s="43"/>
      <c r="U83" s="43"/>
      <c r="V83" s="43"/>
      <c r="W83" s="56" t="s">
        <v>46</v>
      </c>
      <c r="Z83" s="61"/>
      <c r="AA83" s="61"/>
      <c r="AB83" s="66"/>
      <c r="AC83" s="34"/>
      <c r="AD83" s="34"/>
    </row>
    <row r="84" ht="13.5" customHeight="1">
      <c r="A84" s="28">
        <v>78.0</v>
      </c>
      <c r="B84" s="291" t="s">
        <v>3472</v>
      </c>
      <c r="C84" s="292" t="s">
        <v>3473</v>
      </c>
      <c r="D84" s="292" t="s">
        <v>3474</v>
      </c>
      <c r="E84" s="293" t="s">
        <v>338</v>
      </c>
      <c r="F84" s="294">
        <v>49.0</v>
      </c>
      <c r="G84" s="294" t="s">
        <v>476</v>
      </c>
      <c r="H84" s="294" t="s">
        <v>2658</v>
      </c>
      <c r="I84" s="295">
        <v>9.212803694E9</v>
      </c>
      <c r="J84" s="54">
        <v>27.0</v>
      </c>
      <c r="K84" s="55">
        <v>17.0</v>
      </c>
      <c r="L84" s="55">
        <v>0.0</v>
      </c>
      <c r="M84" s="55">
        <v>0.0</v>
      </c>
      <c r="N84" s="43">
        <f t="shared" si="5"/>
        <v>0</v>
      </c>
      <c r="O84" s="55">
        <v>10.0</v>
      </c>
      <c r="P84" s="55">
        <v>5.0</v>
      </c>
      <c r="Q84" s="43">
        <f t="shared" si="6"/>
        <v>15</v>
      </c>
      <c r="R84" s="43"/>
      <c r="S84" s="55" t="s">
        <v>88</v>
      </c>
      <c r="T84" s="43"/>
      <c r="U84" s="43"/>
      <c r="V84" s="43"/>
      <c r="W84" s="56" t="s">
        <v>46</v>
      </c>
      <c r="Z84" s="61"/>
      <c r="AA84" s="61"/>
      <c r="AB84" s="66"/>
      <c r="AC84" s="34"/>
      <c r="AD84" s="34"/>
    </row>
    <row r="85" ht="13.5" customHeight="1">
      <c r="A85" s="28">
        <v>79.0</v>
      </c>
      <c r="B85" s="291" t="s">
        <v>3475</v>
      </c>
      <c r="C85" s="292" t="s">
        <v>3476</v>
      </c>
      <c r="D85" s="292" t="s">
        <v>3421</v>
      </c>
      <c r="E85" s="293" t="s">
        <v>338</v>
      </c>
      <c r="F85" s="294">
        <v>42.0</v>
      </c>
      <c r="G85" s="294" t="s">
        <v>476</v>
      </c>
      <c r="H85" s="294" t="s">
        <v>480</v>
      </c>
      <c r="I85" s="295">
        <v>9.354928613E9</v>
      </c>
      <c r="J85" s="54">
        <v>28.0</v>
      </c>
      <c r="K85" s="55">
        <v>19.0</v>
      </c>
      <c r="L85" s="55">
        <v>0.0</v>
      </c>
      <c r="M85" s="55">
        <v>0.0</v>
      </c>
      <c r="N85" s="43">
        <f t="shared" si="5"/>
        <v>0</v>
      </c>
      <c r="O85" s="55">
        <v>4.0</v>
      </c>
      <c r="P85" s="55">
        <v>9.0</v>
      </c>
      <c r="Q85" s="43">
        <f t="shared" si="6"/>
        <v>13</v>
      </c>
      <c r="R85" s="43"/>
      <c r="S85" s="55" t="s">
        <v>277</v>
      </c>
      <c r="T85" s="43"/>
      <c r="U85" s="43"/>
      <c r="V85" s="55" t="s">
        <v>3477</v>
      </c>
      <c r="W85" s="56" t="s">
        <v>46</v>
      </c>
      <c r="Z85" s="61"/>
      <c r="AA85" s="61"/>
      <c r="AB85" s="66"/>
      <c r="AC85" s="34"/>
      <c r="AD85" s="34"/>
    </row>
    <row r="86" ht="13.5" customHeight="1">
      <c r="A86" s="28">
        <v>80.0</v>
      </c>
      <c r="B86" s="291" t="s">
        <v>3478</v>
      </c>
      <c r="C86" s="292" t="s">
        <v>3479</v>
      </c>
      <c r="D86" s="292" t="s">
        <v>3480</v>
      </c>
      <c r="E86" s="293" t="s">
        <v>338</v>
      </c>
      <c r="F86" s="294">
        <v>32.0</v>
      </c>
      <c r="G86" s="294" t="s">
        <v>476</v>
      </c>
      <c r="H86" s="294" t="s">
        <v>480</v>
      </c>
      <c r="I86" s="295">
        <v>9.92324834E9</v>
      </c>
      <c r="J86" s="54">
        <v>29.0</v>
      </c>
      <c r="K86" s="55">
        <v>24.0</v>
      </c>
      <c r="L86" s="55">
        <v>0.0</v>
      </c>
      <c r="M86" s="55">
        <v>4.0</v>
      </c>
      <c r="N86" s="43">
        <f t="shared" si="5"/>
        <v>4</v>
      </c>
      <c r="O86" s="55">
        <v>1.0</v>
      </c>
      <c r="P86" s="55">
        <v>1.0</v>
      </c>
      <c r="Q86" s="43">
        <f t="shared" si="6"/>
        <v>6</v>
      </c>
      <c r="R86" s="43"/>
      <c r="S86" s="43"/>
      <c r="T86" s="43"/>
      <c r="U86" s="43"/>
      <c r="V86" s="43"/>
      <c r="W86" s="56" t="s">
        <v>46</v>
      </c>
      <c r="Z86" s="61"/>
      <c r="AA86" s="61"/>
      <c r="AB86" s="66"/>
      <c r="AC86" s="34"/>
      <c r="AD86" s="34"/>
    </row>
    <row r="87" ht="13.5" customHeight="1">
      <c r="A87" s="28">
        <v>81.0</v>
      </c>
      <c r="B87" s="291" t="s">
        <v>3481</v>
      </c>
      <c r="C87" s="292" t="s">
        <v>1289</v>
      </c>
      <c r="D87" s="292" t="s">
        <v>3482</v>
      </c>
      <c r="E87" s="293" t="s">
        <v>338</v>
      </c>
      <c r="F87" s="294">
        <v>47.0</v>
      </c>
      <c r="G87" s="294" t="s">
        <v>476</v>
      </c>
      <c r="H87" s="294" t="s">
        <v>2658</v>
      </c>
      <c r="I87" s="295">
        <v>9.684997738E9</v>
      </c>
      <c r="J87" s="54">
        <v>13.0</v>
      </c>
      <c r="K87" s="55">
        <v>12.0</v>
      </c>
      <c r="L87" s="55">
        <v>0.0</v>
      </c>
      <c r="M87" s="55">
        <v>1.0</v>
      </c>
      <c r="N87" s="43">
        <f t="shared" si="5"/>
        <v>1</v>
      </c>
      <c r="O87" s="55">
        <v>19.0</v>
      </c>
      <c r="P87" s="55">
        <v>0.0</v>
      </c>
      <c r="Q87" s="43">
        <f t="shared" si="6"/>
        <v>20</v>
      </c>
      <c r="R87" s="43"/>
      <c r="S87" s="55" t="s">
        <v>88</v>
      </c>
      <c r="T87" s="43"/>
      <c r="U87" s="43"/>
      <c r="V87" s="43"/>
      <c r="W87" s="56" t="s">
        <v>46</v>
      </c>
      <c r="Z87" s="61"/>
      <c r="AA87" s="61"/>
      <c r="AB87" s="66"/>
      <c r="AC87" s="34"/>
      <c r="AD87" s="34"/>
    </row>
    <row r="88" ht="13.5" customHeight="1">
      <c r="A88" s="28">
        <v>82.0</v>
      </c>
      <c r="B88" s="291" t="s">
        <v>3397</v>
      </c>
      <c r="C88" s="292" t="s">
        <v>3483</v>
      </c>
      <c r="D88" s="292" t="s">
        <v>3484</v>
      </c>
      <c r="E88" s="293" t="s">
        <v>338</v>
      </c>
      <c r="F88" s="294">
        <v>35.0</v>
      </c>
      <c r="G88" s="294" t="s">
        <v>476</v>
      </c>
      <c r="H88" s="294" t="s">
        <v>480</v>
      </c>
      <c r="I88" s="295">
        <v>9.46456839E9</v>
      </c>
      <c r="J88" s="54">
        <v>25.0</v>
      </c>
      <c r="K88" s="55">
        <v>22.0</v>
      </c>
      <c r="L88" s="55">
        <v>1.0</v>
      </c>
      <c r="M88" s="55">
        <v>0.0</v>
      </c>
      <c r="N88" s="43">
        <f t="shared" si="5"/>
        <v>1</v>
      </c>
      <c r="O88" s="55">
        <v>7.0</v>
      </c>
      <c r="P88" s="55">
        <v>2.0</v>
      </c>
      <c r="Q88" s="43">
        <f t="shared" si="6"/>
        <v>10</v>
      </c>
      <c r="R88" s="43"/>
      <c r="S88" s="43"/>
      <c r="T88" s="43"/>
      <c r="U88" s="43"/>
      <c r="V88" s="43"/>
      <c r="W88" s="56" t="s">
        <v>46</v>
      </c>
      <c r="Z88" s="61"/>
      <c r="AA88" s="61"/>
      <c r="AB88" s="66"/>
      <c r="AC88" s="34"/>
      <c r="AD88" s="34"/>
    </row>
    <row r="89" ht="13.5" customHeight="1">
      <c r="A89" s="28">
        <v>83.0</v>
      </c>
      <c r="B89" s="291" t="s">
        <v>1715</v>
      </c>
      <c r="C89" s="292" t="s">
        <v>459</v>
      </c>
      <c r="D89" s="292" t="s">
        <v>405</v>
      </c>
      <c r="E89" s="293" t="s">
        <v>338</v>
      </c>
      <c r="F89" s="294">
        <v>53.0</v>
      </c>
      <c r="G89" s="294" t="s">
        <v>476</v>
      </c>
      <c r="H89" s="294" t="s">
        <v>2658</v>
      </c>
      <c r="I89" s="295">
        <v>9.289413739E9</v>
      </c>
      <c r="J89" s="54">
        <v>28.0</v>
      </c>
      <c r="K89" s="55">
        <v>26.0</v>
      </c>
      <c r="L89" s="55">
        <v>0.0</v>
      </c>
      <c r="M89" s="55">
        <v>0.0</v>
      </c>
      <c r="N89" s="43">
        <f t="shared" si="5"/>
        <v>0</v>
      </c>
      <c r="O89" s="55">
        <v>0.0</v>
      </c>
      <c r="P89" s="55">
        <v>2.0</v>
      </c>
      <c r="Q89" s="43">
        <f t="shared" si="6"/>
        <v>2</v>
      </c>
      <c r="R89" s="43"/>
      <c r="S89" s="43"/>
      <c r="T89" s="43"/>
      <c r="U89" s="43"/>
      <c r="V89" s="55" t="s">
        <v>3485</v>
      </c>
      <c r="W89" s="56" t="s">
        <v>46</v>
      </c>
      <c r="Z89" s="61"/>
      <c r="AA89" s="61"/>
      <c r="AB89" s="66"/>
      <c r="AC89" s="34"/>
      <c r="AD89" s="34"/>
    </row>
    <row r="90" ht="13.5" customHeight="1">
      <c r="A90" s="28">
        <v>84.0</v>
      </c>
      <c r="B90" s="291" t="s">
        <v>3486</v>
      </c>
      <c r="C90" s="292" t="s">
        <v>3487</v>
      </c>
      <c r="D90" s="292" t="s">
        <v>3488</v>
      </c>
      <c r="E90" s="293" t="s">
        <v>338</v>
      </c>
      <c r="F90" s="294">
        <v>40.0</v>
      </c>
      <c r="G90" s="294" t="s">
        <v>476</v>
      </c>
      <c r="H90" s="294" t="s">
        <v>480</v>
      </c>
      <c r="I90" s="295">
        <v>9.532142535E9</v>
      </c>
      <c r="J90" s="54">
        <v>13.0</v>
      </c>
      <c r="K90" s="55">
        <v>11.0</v>
      </c>
      <c r="L90" s="55">
        <v>0.0</v>
      </c>
      <c r="M90" s="55">
        <v>1.0</v>
      </c>
      <c r="N90" s="43">
        <f t="shared" si="5"/>
        <v>1</v>
      </c>
      <c r="O90" s="55">
        <v>19.0</v>
      </c>
      <c r="P90" s="55">
        <v>1.0</v>
      </c>
      <c r="Q90" s="43">
        <f t="shared" si="6"/>
        <v>21</v>
      </c>
      <c r="R90" s="43"/>
      <c r="S90" s="55" t="s">
        <v>88</v>
      </c>
      <c r="T90" s="43"/>
      <c r="U90" s="43"/>
      <c r="V90" s="43"/>
      <c r="W90" s="56" t="s">
        <v>46</v>
      </c>
      <c r="Z90" s="61"/>
      <c r="AA90" s="61"/>
      <c r="AB90" s="66"/>
      <c r="AC90" s="34"/>
      <c r="AD90" s="34"/>
    </row>
    <row r="91" ht="13.5" customHeight="1">
      <c r="A91" s="28">
        <v>85.0</v>
      </c>
      <c r="B91" s="291" t="s">
        <v>3153</v>
      </c>
      <c r="C91" s="292" t="s">
        <v>3154</v>
      </c>
      <c r="D91" s="292" t="s">
        <v>3155</v>
      </c>
      <c r="E91" s="293" t="s">
        <v>338</v>
      </c>
      <c r="F91" s="294">
        <v>25.0</v>
      </c>
      <c r="G91" s="294" t="s">
        <v>584</v>
      </c>
      <c r="H91" s="294" t="s">
        <v>508</v>
      </c>
      <c r="I91" s="295">
        <v>9.557868922E9</v>
      </c>
      <c r="J91" s="54">
        <v>28.0</v>
      </c>
      <c r="K91" s="55">
        <v>24.0</v>
      </c>
      <c r="L91" s="55">
        <v>0.0</v>
      </c>
      <c r="M91" s="55">
        <v>1.0</v>
      </c>
      <c r="N91" s="43">
        <f t="shared" si="5"/>
        <v>1</v>
      </c>
      <c r="O91" s="55">
        <v>0.0</v>
      </c>
      <c r="P91" s="55">
        <v>3.0</v>
      </c>
      <c r="Q91" s="43">
        <f t="shared" si="6"/>
        <v>4</v>
      </c>
      <c r="R91" s="43"/>
      <c r="S91" s="43"/>
      <c r="T91" s="43"/>
      <c r="U91" s="43"/>
      <c r="V91" s="43"/>
      <c r="W91" s="56" t="s">
        <v>46</v>
      </c>
      <c r="Z91" s="61"/>
      <c r="AA91" s="61"/>
      <c r="AB91" s="66"/>
      <c r="AC91" s="34"/>
      <c r="AD91" s="34"/>
    </row>
    <row r="92" ht="13.5" customHeight="1">
      <c r="A92" s="28">
        <v>86.0</v>
      </c>
      <c r="B92" s="291" t="s">
        <v>2047</v>
      </c>
      <c r="C92" s="292" t="s">
        <v>1871</v>
      </c>
      <c r="D92" s="292" t="s">
        <v>3489</v>
      </c>
      <c r="E92" s="293" t="s">
        <v>338</v>
      </c>
      <c r="F92" s="294">
        <v>44.0</v>
      </c>
      <c r="G92" s="294" t="s">
        <v>476</v>
      </c>
      <c r="H92" s="294" t="s">
        <v>2658</v>
      </c>
      <c r="I92" s="295">
        <v>9.319335982E9</v>
      </c>
      <c r="J92" s="54">
        <v>29.0</v>
      </c>
      <c r="K92" s="55">
        <v>26.0</v>
      </c>
      <c r="L92" s="55">
        <v>0.0</v>
      </c>
      <c r="M92" s="55">
        <v>3.0</v>
      </c>
      <c r="N92" s="43">
        <f t="shared" si="5"/>
        <v>3</v>
      </c>
      <c r="O92" s="55">
        <v>3.0</v>
      </c>
      <c r="P92" s="55">
        <v>0.0</v>
      </c>
      <c r="Q92" s="43">
        <f t="shared" si="6"/>
        <v>6</v>
      </c>
      <c r="R92" s="43"/>
      <c r="S92" s="55" t="s">
        <v>277</v>
      </c>
      <c r="T92" s="43"/>
      <c r="U92" s="43"/>
      <c r="V92" s="43"/>
      <c r="W92" s="56" t="s">
        <v>46</v>
      </c>
      <c r="Z92" s="61"/>
      <c r="AA92" s="61"/>
      <c r="AB92" s="66"/>
      <c r="AC92" s="34"/>
      <c r="AD92" s="34"/>
    </row>
    <row r="93" ht="13.5" customHeight="1">
      <c r="A93" s="28">
        <v>87.0</v>
      </c>
      <c r="B93" s="291" t="s">
        <v>3490</v>
      </c>
      <c r="C93" s="292" t="s">
        <v>3491</v>
      </c>
      <c r="D93" s="292" t="s">
        <v>953</v>
      </c>
      <c r="E93" s="293" t="s">
        <v>338</v>
      </c>
      <c r="F93" s="294">
        <v>46.0</v>
      </c>
      <c r="G93" s="294" t="s">
        <v>476</v>
      </c>
      <c r="H93" s="294" t="s">
        <v>2625</v>
      </c>
      <c r="I93" s="295">
        <v>9.764162866E9</v>
      </c>
      <c r="J93" s="54">
        <v>25.0</v>
      </c>
      <c r="K93" s="55">
        <v>19.0</v>
      </c>
      <c r="L93" s="55">
        <v>0.0</v>
      </c>
      <c r="M93" s="55">
        <v>0.0</v>
      </c>
      <c r="N93" s="43">
        <f t="shared" si="5"/>
        <v>0</v>
      </c>
      <c r="O93" s="55">
        <v>7.0</v>
      </c>
      <c r="P93" s="55">
        <v>6.0</v>
      </c>
      <c r="Q93" s="43">
        <f t="shared" si="6"/>
        <v>13</v>
      </c>
      <c r="R93" s="43"/>
      <c r="S93" s="43"/>
      <c r="T93" s="43"/>
      <c r="U93" s="43"/>
      <c r="V93" s="43"/>
      <c r="W93" s="56" t="s">
        <v>46</v>
      </c>
      <c r="Z93" s="61"/>
      <c r="AA93" s="61"/>
      <c r="AB93" s="66"/>
      <c r="AC93" s="34"/>
      <c r="AD93" s="34"/>
    </row>
    <row r="94" ht="13.5" customHeight="1">
      <c r="A94" s="28">
        <v>88.0</v>
      </c>
      <c r="B94" s="291" t="s">
        <v>2323</v>
      </c>
      <c r="C94" s="292" t="s">
        <v>3492</v>
      </c>
      <c r="D94" s="292" t="s">
        <v>1931</v>
      </c>
      <c r="E94" s="293" t="s">
        <v>338</v>
      </c>
      <c r="F94" s="294">
        <v>60.0</v>
      </c>
      <c r="G94" s="294" t="s">
        <v>476</v>
      </c>
      <c r="H94" s="294" t="s">
        <v>2658</v>
      </c>
      <c r="I94" s="295">
        <v>9.636515659E9</v>
      </c>
      <c r="J94" s="54">
        <v>23.0</v>
      </c>
      <c r="K94" s="55">
        <v>21.0</v>
      </c>
      <c r="L94" s="55">
        <v>1.0</v>
      </c>
      <c r="M94" s="55">
        <v>1.0</v>
      </c>
      <c r="N94" s="43">
        <f t="shared" si="5"/>
        <v>2</v>
      </c>
      <c r="O94" s="55">
        <v>9.0</v>
      </c>
      <c r="P94" s="55">
        <v>0.0</v>
      </c>
      <c r="Q94" s="43">
        <f t="shared" si="6"/>
        <v>11</v>
      </c>
      <c r="R94" s="43"/>
      <c r="S94" s="55" t="s">
        <v>88</v>
      </c>
      <c r="T94" s="43"/>
      <c r="U94" s="43"/>
      <c r="V94" s="43"/>
      <c r="W94" s="56" t="s">
        <v>46</v>
      </c>
      <c r="Z94" s="61"/>
      <c r="AA94" s="61"/>
      <c r="AB94" s="66"/>
      <c r="AC94" s="34"/>
      <c r="AD94" s="34"/>
    </row>
    <row r="95" ht="13.5" customHeight="1">
      <c r="A95" s="28">
        <v>89.0</v>
      </c>
      <c r="B95" s="291" t="s">
        <v>3493</v>
      </c>
      <c r="C95" s="292" t="s">
        <v>3494</v>
      </c>
      <c r="D95" s="292" t="s">
        <v>3495</v>
      </c>
      <c r="E95" s="293" t="s">
        <v>338</v>
      </c>
      <c r="F95" s="294">
        <v>37.0</v>
      </c>
      <c r="G95" s="294" t="s">
        <v>476</v>
      </c>
      <c r="H95" s="294" t="s">
        <v>480</v>
      </c>
      <c r="I95" s="295">
        <v>9.066232571E9</v>
      </c>
      <c r="J95" s="54">
        <v>30.0</v>
      </c>
      <c r="K95" s="55">
        <v>22.0</v>
      </c>
      <c r="L95" s="55">
        <v>0.0</v>
      </c>
      <c r="M95" s="55">
        <v>1.0</v>
      </c>
      <c r="N95" s="43">
        <f t="shared" si="5"/>
        <v>1</v>
      </c>
      <c r="O95" s="55">
        <v>2.0</v>
      </c>
      <c r="P95" s="55">
        <v>7.0</v>
      </c>
      <c r="Q95" s="43">
        <f t="shared" si="6"/>
        <v>10</v>
      </c>
      <c r="R95" s="43"/>
      <c r="S95" s="43"/>
      <c r="T95" s="43"/>
      <c r="U95" s="43"/>
      <c r="V95" s="43"/>
      <c r="W95" s="56" t="s">
        <v>46</v>
      </c>
      <c r="Z95" s="61"/>
      <c r="AA95" s="61"/>
      <c r="AB95" s="66"/>
      <c r="AC95" s="34"/>
      <c r="AD95" s="34"/>
    </row>
    <row r="96" ht="13.5" customHeight="1">
      <c r="A96" s="28">
        <v>90.0</v>
      </c>
      <c r="B96" s="309" t="s">
        <v>3496</v>
      </c>
      <c r="C96" s="310" t="s">
        <v>3497</v>
      </c>
      <c r="D96" s="310" t="s">
        <v>3498</v>
      </c>
      <c r="E96" s="311" t="s">
        <v>338</v>
      </c>
      <c r="F96" s="313">
        <v>31.0</v>
      </c>
      <c r="G96" s="313" t="s">
        <v>476</v>
      </c>
      <c r="H96" s="294" t="s">
        <v>480</v>
      </c>
      <c r="I96" s="316" t="s">
        <v>3499</v>
      </c>
      <c r="J96" s="42"/>
      <c r="K96" s="43"/>
      <c r="L96" s="43"/>
      <c r="M96" s="43"/>
      <c r="N96" s="43">
        <f t="shared" si="5"/>
        <v>0</v>
      </c>
      <c r="O96" s="43"/>
      <c r="P96" s="43"/>
      <c r="Q96" s="43">
        <f t="shared" si="6"/>
        <v>0</v>
      </c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291" t="s">
        <v>3500</v>
      </c>
      <c r="C97" s="292" t="s">
        <v>3501</v>
      </c>
      <c r="D97" s="292" t="s">
        <v>3502</v>
      </c>
      <c r="E97" s="293" t="s">
        <v>338</v>
      </c>
      <c r="F97" s="294">
        <v>39.0</v>
      </c>
      <c r="G97" s="294" t="s">
        <v>476</v>
      </c>
      <c r="H97" s="294" t="s">
        <v>480</v>
      </c>
      <c r="I97" s="295">
        <v>9.76308006E9</v>
      </c>
      <c r="J97" s="54">
        <v>19.0</v>
      </c>
      <c r="K97" s="55">
        <v>10.0</v>
      </c>
      <c r="L97" s="55">
        <v>3.0</v>
      </c>
      <c r="M97" s="55">
        <v>6.0</v>
      </c>
      <c r="N97" s="43">
        <f t="shared" si="5"/>
        <v>9</v>
      </c>
      <c r="O97" s="55">
        <v>12.0</v>
      </c>
      <c r="P97" s="55">
        <v>0.0</v>
      </c>
      <c r="Q97" s="43">
        <f t="shared" si="6"/>
        <v>21</v>
      </c>
      <c r="R97" s="43"/>
      <c r="S97" s="55" t="s">
        <v>88</v>
      </c>
      <c r="T97" s="43"/>
      <c r="U97" s="43"/>
      <c r="V97" s="43"/>
      <c r="W97" s="56" t="s">
        <v>46</v>
      </c>
      <c r="Z97" s="61"/>
      <c r="AA97" s="61"/>
      <c r="AB97" s="66"/>
      <c r="AC97" s="34"/>
      <c r="AD97" s="34"/>
    </row>
    <row r="98" ht="13.5" customHeight="1">
      <c r="A98" s="28">
        <v>92.0</v>
      </c>
      <c r="B98" s="291" t="s">
        <v>3503</v>
      </c>
      <c r="C98" s="292" t="s">
        <v>1421</v>
      </c>
      <c r="D98" s="292" t="s">
        <v>1715</v>
      </c>
      <c r="E98" s="293" t="s">
        <v>338</v>
      </c>
      <c r="F98" s="294">
        <v>43.0</v>
      </c>
      <c r="G98" s="294" t="s">
        <v>476</v>
      </c>
      <c r="H98" s="294" t="s">
        <v>2658</v>
      </c>
      <c r="I98" s="295">
        <v>9.18279898E9</v>
      </c>
      <c r="J98" s="54">
        <v>27.0</v>
      </c>
      <c r="K98" s="55">
        <v>24.0</v>
      </c>
      <c r="L98" s="55">
        <v>0.0</v>
      </c>
      <c r="M98" s="55">
        <v>0.0</v>
      </c>
      <c r="N98" s="43">
        <f t="shared" si="5"/>
        <v>0</v>
      </c>
      <c r="O98" s="55">
        <v>1.0</v>
      </c>
      <c r="P98" s="55">
        <v>3.0</v>
      </c>
      <c r="Q98" s="43">
        <f t="shared" si="6"/>
        <v>4</v>
      </c>
      <c r="R98" s="43"/>
      <c r="S98" s="55" t="s">
        <v>277</v>
      </c>
      <c r="T98" s="43"/>
      <c r="U98" s="43"/>
      <c r="V98" s="43"/>
      <c r="W98" s="56" t="s">
        <v>46</v>
      </c>
      <c r="Z98" s="61"/>
      <c r="AA98" s="61"/>
      <c r="AB98" s="66"/>
      <c r="AC98" s="34"/>
      <c r="AD98" s="34"/>
    </row>
    <row r="99" ht="13.5" customHeight="1">
      <c r="A99" s="28">
        <v>93.0</v>
      </c>
      <c r="B99" s="291" t="s">
        <v>2469</v>
      </c>
      <c r="C99" s="292" t="s">
        <v>3504</v>
      </c>
      <c r="D99" s="292" t="s">
        <v>3505</v>
      </c>
      <c r="E99" s="293" t="s">
        <v>338</v>
      </c>
      <c r="F99" s="294">
        <v>36.0</v>
      </c>
      <c r="G99" s="294" t="s">
        <v>476</v>
      </c>
      <c r="H99" s="294" t="s">
        <v>2658</v>
      </c>
      <c r="I99" s="295">
        <v>9.508522396E9</v>
      </c>
      <c r="J99" s="42"/>
      <c r="K99" s="43"/>
      <c r="L99" s="43"/>
      <c r="M99" s="43"/>
      <c r="N99" s="43">
        <f t="shared" si="5"/>
        <v>0</v>
      </c>
      <c r="O99" s="43"/>
      <c r="P99" s="43"/>
      <c r="Q99" s="43">
        <f t="shared" si="6"/>
        <v>0</v>
      </c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291" t="s">
        <v>1098</v>
      </c>
      <c r="C100" s="292" t="s">
        <v>3506</v>
      </c>
      <c r="D100" s="292" t="s">
        <v>3507</v>
      </c>
      <c r="E100" s="293" t="s">
        <v>338</v>
      </c>
      <c r="F100" s="294">
        <v>34.0</v>
      </c>
      <c r="G100" s="294" t="s">
        <v>476</v>
      </c>
      <c r="H100" s="294" t="s">
        <v>2658</v>
      </c>
      <c r="I100" s="295">
        <v>9.557058386E9</v>
      </c>
      <c r="J100" s="54">
        <v>30.0</v>
      </c>
      <c r="K100" s="55">
        <v>30.0</v>
      </c>
      <c r="L100" s="55">
        <v>0.0</v>
      </c>
      <c r="M100" s="55">
        <v>0.0</v>
      </c>
      <c r="N100" s="43">
        <f t="shared" si="5"/>
        <v>0</v>
      </c>
      <c r="O100" s="55">
        <v>2.0</v>
      </c>
      <c r="P100" s="55">
        <v>0.0</v>
      </c>
      <c r="Q100" s="43">
        <f t="shared" si="6"/>
        <v>2</v>
      </c>
      <c r="R100" s="43"/>
      <c r="S100" s="43"/>
      <c r="T100" s="43"/>
      <c r="U100" s="43"/>
      <c r="V100" s="43"/>
      <c r="W100" s="56" t="s">
        <v>46</v>
      </c>
      <c r="Z100" s="61"/>
      <c r="AA100" s="61"/>
      <c r="AB100" s="66"/>
      <c r="AC100" s="34"/>
      <c r="AD100" s="34"/>
    </row>
    <row r="101" ht="13.5" customHeight="1">
      <c r="A101" s="28">
        <v>95.0</v>
      </c>
      <c r="B101" s="291" t="s">
        <v>3508</v>
      </c>
      <c r="C101" s="292" t="s">
        <v>3509</v>
      </c>
      <c r="D101" s="292" t="s">
        <v>3510</v>
      </c>
      <c r="E101" s="293" t="s">
        <v>338</v>
      </c>
      <c r="F101" s="294">
        <v>28.0</v>
      </c>
      <c r="G101" s="294" t="s">
        <v>476</v>
      </c>
      <c r="H101" s="294" t="s">
        <v>480</v>
      </c>
      <c r="I101" s="295">
        <v>9.652781718E9</v>
      </c>
      <c r="J101" s="54">
        <v>28.0</v>
      </c>
      <c r="K101" s="55">
        <v>27.0</v>
      </c>
      <c r="L101" s="55">
        <v>0.0</v>
      </c>
      <c r="M101" s="55">
        <v>1.0</v>
      </c>
      <c r="N101" s="43">
        <f t="shared" si="5"/>
        <v>1</v>
      </c>
      <c r="O101" s="55">
        <v>2.0</v>
      </c>
      <c r="P101" s="55">
        <v>0.0</v>
      </c>
      <c r="Q101" s="43">
        <f t="shared" si="6"/>
        <v>3</v>
      </c>
      <c r="R101" s="43"/>
      <c r="S101" s="55" t="s">
        <v>3511</v>
      </c>
      <c r="T101" s="43"/>
      <c r="U101" s="43"/>
      <c r="V101" s="43"/>
      <c r="W101" s="56" t="s">
        <v>46</v>
      </c>
      <c r="Z101" s="61"/>
      <c r="AA101" s="61"/>
      <c r="AB101" s="66"/>
      <c r="AC101" s="34"/>
      <c r="AD101" s="34"/>
    </row>
    <row r="102" ht="13.5" customHeight="1">
      <c r="A102" s="28">
        <v>96.0</v>
      </c>
      <c r="B102" s="291" t="s">
        <v>2216</v>
      </c>
      <c r="C102" s="292" t="s">
        <v>3512</v>
      </c>
      <c r="D102" s="292" t="s">
        <v>3513</v>
      </c>
      <c r="E102" s="293" t="s">
        <v>338</v>
      </c>
      <c r="F102" s="294">
        <v>29.0</v>
      </c>
      <c r="G102" s="294" t="s">
        <v>476</v>
      </c>
      <c r="H102" s="294" t="s">
        <v>480</v>
      </c>
      <c r="I102" s="295">
        <v>9.061420317E9</v>
      </c>
      <c r="J102" s="54">
        <v>27.0</v>
      </c>
      <c r="K102" s="55">
        <v>21.0</v>
      </c>
      <c r="L102" s="55">
        <v>0.0</v>
      </c>
      <c r="M102" s="55">
        <v>4.0</v>
      </c>
      <c r="N102" s="43">
        <f t="shared" si="5"/>
        <v>4</v>
      </c>
      <c r="O102" s="55">
        <v>2.0</v>
      </c>
      <c r="P102" s="55">
        <v>2.0</v>
      </c>
      <c r="Q102" s="43">
        <f t="shared" si="6"/>
        <v>8</v>
      </c>
      <c r="R102" s="43"/>
      <c r="S102" s="55" t="s">
        <v>277</v>
      </c>
      <c r="T102" s="43"/>
      <c r="U102" s="43"/>
      <c r="V102" s="43"/>
      <c r="W102" s="56" t="s">
        <v>46</v>
      </c>
      <c r="Z102" s="61"/>
      <c r="AA102" s="61"/>
      <c r="AB102" s="66"/>
      <c r="AC102" s="34"/>
      <c r="AD102" s="34"/>
    </row>
    <row r="103" ht="13.5" customHeight="1">
      <c r="A103" s="28">
        <v>97.0</v>
      </c>
      <c r="B103" s="291" t="s">
        <v>1424</v>
      </c>
      <c r="C103" s="292" t="s">
        <v>3514</v>
      </c>
      <c r="D103" s="292" t="s">
        <v>953</v>
      </c>
      <c r="E103" s="293" t="s">
        <v>338</v>
      </c>
      <c r="F103" s="294">
        <v>36.0</v>
      </c>
      <c r="G103" s="294" t="s">
        <v>476</v>
      </c>
      <c r="H103" s="294" t="s">
        <v>480</v>
      </c>
      <c r="I103" s="295">
        <v>9.666471441E9</v>
      </c>
      <c r="J103" s="54">
        <v>29.0</v>
      </c>
      <c r="K103" s="55">
        <v>26.0</v>
      </c>
      <c r="L103" s="55">
        <v>0.0</v>
      </c>
      <c r="M103" s="55">
        <v>3.0</v>
      </c>
      <c r="N103" s="43">
        <f t="shared" si="5"/>
        <v>3</v>
      </c>
      <c r="O103" s="55">
        <v>1.0</v>
      </c>
      <c r="P103" s="55">
        <v>0.0</v>
      </c>
      <c r="Q103" s="43">
        <f t="shared" si="6"/>
        <v>4</v>
      </c>
      <c r="R103" s="43"/>
      <c r="S103" s="43"/>
      <c r="T103" s="43"/>
      <c r="U103" s="43"/>
      <c r="V103" s="43"/>
      <c r="W103" s="56" t="s">
        <v>46</v>
      </c>
      <c r="Z103" s="61"/>
      <c r="AA103" s="61"/>
      <c r="AB103" s="66"/>
      <c r="AC103" s="34"/>
      <c r="AD103" s="34"/>
    </row>
    <row r="104" ht="13.5" customHeight="1">
      <c r="A104" s="28">
        <v>98.0</v>
      </c>
      <c r="B104" s="291" t="s">
        <v>1923</v>
      </c>
      <c r="C104" s="292" t="s">
        <v>459</v>
      </c>
      <c r="D104" s="292" t="s">
        <v>37</v>
      </c>
      <c r="E104" s="293" t="s">
        <v>338</v>
      </c>
      <c r="F104" s="320">
        <v>49.0</v>
      </c>
      <c r="G104" s="294" t="s">
        <v>476</v>
      </c>
      <c r="H104" s="294" t="s">
        <v>2658</v>
      </c>
      <c r="I104" s="295">
        <v>9.057668974E9</v>
      </c>
      <c r="J104" s="54">
        <v>20.0</v>
      </c>
      <c r="K104" s="55">
        <v>17.0</v>
      </c>
      <c r="L104" s="55">
        <v>0.0</v>
      </c>
      <c r="M104" s="55">
        <v>0.0</v>
      </c>
      <c r="N104" s="43">
        <f t="shared" si="5"/>
        <v>0</v>
      </c>
      <c r="O104" s="55">
        <v>12.0</v>
      </c>
      <c r="P104" s="55">
        <v>3.0</v>
      </c>
      <c r="Q104" s="43">
        <f t="shared" si="6"/>
        <v>15</v>
      </c>
      <c r="R104" s="43"/>
      <c r="S104" s="55" t="s">
        <v>88</v>
      </c>
      <c r="T104" s="43"/>
      <c r="U104" s="43"/>
      <c r="V104" s="43"/>
      <c r="W104" s="56" t="s">
        <v>46</v>
      </c>
      <c r="Z104" s="61"/>
      <c r="AA104" s="61"/>
      <c r="AB104" s="66"/>
      <c r="AC104" s="34"/>
      <c r="AD104" s="34"/>
    </row>
    <row r="105" ht="13.5" customHeight="1">
      <c r="A105" s="28">
        <v>99.0</v>
      </c>
      <c r="B105" s="291" t="s">
        <v>3515</v>
      </c>
      <c r="C105" s="292" t="s">
        <v>370</v>
      </c>
      <c r="D105" s="292" t="s">
        <v>131</v>
      </c>
      <c r="E105" s="293" t="s">
        <v>338</v>
      </c>
      <c r="F105" s="294">
        <v>36.0</v>
      </c>
      <c r="G105" s="294" t="s">
        <v>476</v>
      </c>
      <c r="H105" s="294" t="s">
        <v>480</v>
      </c>
      <c r="I105" s="295">
        <v>9.948023585E9</v>
      </c>
      <c r="J105" s="54">
        <v>18.0</v>
      </c>
      <c r="K105" s="55">
        <v>12.0</v>
      </c>
      <c r="L105" s="55">
        <v>0.0</v>
      </c>
      <c r="M105" s="55">
        <v>6.0</v>
      </c>
      <c r="N105" s="43">
        <f t="shared" si="5"/>
        <v>6</v>
      </c>
      <c r="O105" s="55">
        <v>14.0</v>
      </c>
      <c r="P105" s="55">
        <v>0.0</v>
      </c>
      <c r="Q105" s="43">
        <f t="shared" si="6"/>
        <v>20</v>
      </c>
      <c r="R105" s="43"/>
      <c r="S105" s="55" t="s">
        <v>88</v>
      </c>
      <c r="T105" s="43"/>
      <c r="U105" s="43"/>
      <c r="V105" s="43"/>
      <c r="W105" s="56" t="s">
        <v>46</v>
      </c>
      <c r="Z105" s="61"/>
      <c r="AA105" s="61"/>
      <c r="AB105" s="66"/>
      <c r="AC105" s="34"/>
      <c r="AD105" s="34"/>
    </row>
    <row r="106" ht="13.5" customHeight="1">
      <c r="A106" s="28">
        <v>100.0</v>
      </c>
      <c r="B106" s="291" t="s">
        <v>1214</v>
      </c>
      <c r="C106" s="292" t="s">
        <v>2168</v>
      </c>
      <c r="D106" s="292" t="s">
        <v>3516</v>
      </c>
      <c r="E106" s="293" t="s">
        <v>338</v>
      </c>
      <c r="F106" s="294">
        <v>60.0</v>
      </c>
      <c r="G106" s="294" t="s">
        <v>476</v>
      </c>
      <c r="H106" s="294" t="s">
        <v>2658</v>
      </c>
      <c r="I106" s="295">
        <v>9.922921937E9</v>
      </c>
      <c r="J106" s="42"/>
      <c r="K106" s="43"/>
      <c r="L106" s="43"/>
      <c r="M106" s="43"/>
      <c r="N106" s="43">
        <f t="shared" si="5"/>
        <v>0</v>
      </c>
      <c r="O106" s="43"/>
      <c r="P106" s="43"/>
      <c r="Q106" s="43">
        <f t="shared" si="6"/>
        <v>0</v>
      </c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291" t="s">
        <v>3517</v>
      </c>
      <c r="C107" s="292" t="s">
        <v>1193</v>
      </c>
      <c r="D107" s="292" t="s">
        <v>3518</v>
      </c>
      <c r="E107" s="293" t="s">
        <v>338</v>
      </c>
      <c r="F107" s="294">
        <v>35.0</v>
      </c>
      <c r="G107" s="294" t="s">
        <v>476</v>
      </c>
      <c r="H107" s="294" t="s">
        <v>480</v>
      </c>
      <c r="I107" s="295">
        <v>9.565606961E9</v>
      </c>
      <c r="J107" s="54">
        <v>26.0</v>
      </c>
      <c r="K107" s="55">
        <v>20.0</v>
      </c>
      <c r="L107" s="55">
        <v>0.0</v>
      </c>
      <c r="M107" s="55">
        <v>2.0</v>
      </c>
      <c r="N107" s="43">
        <v>0.0</v>
      </c>
      <c r="O107" s="55">
        <v>4.0</v>
      </c>
      <c r="P107" s="55">
        <v>4.0</v>
      </c>
      <c r="Q107" s="43">
        <v>0.0</v>
      </c>
      <c r="R107" s="43"/>
      <c r="S107" s="43"/>
      <c r="T107" s="43"/>
      <c r="U107" s="43"/>
      <c r="V107" s="43"/>
      <c r="W107" s="56" t="s">
        <v>46</v>
      </c>
      <c r="Z107" s="61"/>
      <c r="AA107" s="61"/>
      <c r="AB107" s="66"/>
      <c r="AC107" s="34"/>
      <c r="AD107" s="34"/>
    </row>
    <row r="108" ht="13.5" customHeight="1">
      <c r="A108" s="28">
        <v>102.0</v>
      </c>
      <c r="B108" s="309" t="s">
        <v>2641</v>
      </c>
      <c r="C108" s="310" t="s">
        <v>3519</v>
      </c>
      <c r="D108" s="310" t="s">
        <v>3520</v>
      </c>
      <c r="E108" s="311" t="s">
        <v>338</v>
      </c>
      <c r="F108" s="313">
        <v>27.0</v>
      </c>
      <c r="G108" s="313" t="s">
        <v>476</v>
      </c>
      <c r="H108" s="294" t="s">
        <v>480</v>
      </c>
      <c r="I108" s="316">
        <v>9.611506974E9</v>
      </c>
      <c r="J108" s="54">
        <v>30.0</v>
      </c>
      <c r="K108" s="55">
        <v>27.0</v>
      </c>
      <c r="L108" s="55">
        <v>0.0</v>
      </c>
      <c r="M108" s="55">
        <v>3.0</v>
      </c>
      <c r="N108" s="43">
        <f t="shared" ref="N108:N164" si="7">SUM(L108,M108)</f>
        <v>3</v>
      </c>
      <c r="O108" s="55">
        <v>0.0</v>
      </c>
      <c r="P108" s="55">
        <v>0.0</v>
      </c>
      <c r="Q108" s="43">
        <f t="shared" ref="Q108:Q127" si="8">SUM(N108,O108,P108)</f>
        <v>3</v>
      </c>
      <c r="R108" s="43"/>
      <c r="S108" s="43"/>
      <c r="T108" s="43"/>
      <c r="U108" s="43"/>
      <c r="V108" s="43"/>
      <c r="W108" s="56" t="s">
        <v>46</v>
      </c>
      <c r="Z108" s="61"/>
      <c r="AA108" s="61"/>
      <c r="AB108" s="66"/>
      <c r="AC108" s="34"/>
      <c r="AD108" s="34"/>
    </row>
    <row r="109" ht="13.5" customHeight="1">
      <c r="A109" s="28">
        <v>103.0</v>
      </c>
      <c r="B109" s="291" t="s">
        <v>104</v>
      </c>
      <c r="C109" s="292" t="s">
        <v>1708</v>
      </c>
      <c r="D109" s="292" t="s">
        <v>3521</v>
      </c>
      <c r="E109" s="293" t="s">
        <v>338</v>
      </c>
      <c r="F109" s="294">
        <v>37.0</v>
      </c>
      <c r="G109" s="294" t="s">
        <v>476</v>
      </c>
      <c r="H109" s="294" t="s">
        <v>2658</v>
      </c>
      <c r="I109" s="295">
        <v>9.294939345E9</v>
      </c>
      <c r="J109" s="42"/>
      <c r="K109" s="43"/>
      <c r="L109" s="43"/>
      <c r="M109" s="43"/>
      <c r="N109" s="43">
        <f t="shared" si="7"/>
        <v>0</v>
      </c>
      <c r="O109" s="43"/>
      <c r="P109" s="43"/>
      <c r="Q109" s="43">
        <f t="shared" si="8"/>
        <v>0</v>
      </c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321" t="s">
        <v>104</v>
      </c>
      <c r="C110" s="292" t="s">
        <v>3522</v>
      </c>
      <c r="D110" s="292" t="s">
        <v>3523</v>
      </c>
      <c r="E110" s="293" t="s">
        <v>338</v>
      </c>
      <c r="F110" s="294">
        <v>37.0</v>
      </c>
      <c r="G110" s="294" t="s">
        <v>476</v>
      </c>
      <c r="H110" s="294" t="s">
        <v>2658</v>
      </c>
      <c r="I110" s="295">
        <v>9.431343878E9</v>
      </c>
      <c r="J110" s="54">
        <v>24.0</v>
      </c>
      <c r="K110" s="55">
        <v>9.0</v>
      </c>
      <c r="L110" s="55">
        <v>2.0</v>
      </c>
      <c r="M110" s="55">
        <v>4.0</v>
      </c>
      <c r="N110" s="43">
        <f t="shared" si="7"/>
        <v>6</v>
      </c>
      <c r="O110" s="55">
        <v>4.0</v>
      </c>
      <c r="P110" s="55">
        <v>9.0</v>
      </c>
      <c r="Q110" s="43">
        <f t="shared" si="8"/>
        <v>19</v>
      </c>
      <c r="R110" s="43"/>
      <c r="S110" s="55" t="s">
        <v>105</v>
      </c>
      <c r="T110" s="43"/>
      <c r="U110" s="43"/>
      <c r="V110" s="55" t="s">
        <v>3524</v>
      </c>
      <c r="W110" s="56" t="s">
        <v>46</v>
      </c>
      <c r="Z110" s="61"/>
      <c r="AA110" s="61"/>
      <c r="AB110" s="66"/>
      <c r="AC110" s="34"/>
      <c r="AD110" s="34"/>
    </row>
    <row r="111" ht="13.5" customHeight="1">
      <c r="A111" s="28">
        <v>105.0</v>
      </c>
      <c r="B111" s="291" t="s">
        <v>3525</v>
      </c>
      <c r="C111" s="292" t="s">
        <v>1378</v>
      </c>
      <c r="D111" s="292" t="s">
        <v>2223</v>
      </c>
      <c r="E111" s="293" t="s">
        <v>338</v>
      </c>
      <c r="F111" s="294">
        <v>42.0</v>
      </c>
      <c r="G111" s="294" t="s">
        <v>476</v>
      </c>
      <c r="H111" s="294" t="s">
        <v>480</v>
      </c>
      <c r="I111" s="295">
        <v>9.167383359E9</v>
      </c>
      <c r="J111" s="54">
        <v>20.0</v>
      </c>
      <c r="K111" s="55">
        <v>13.0</v>
      </c>
      <c r="L111" s="55">
        <v>2.0</v>
      </c>
      <c r="M111" s="55">
        <v>4.0</v>
      </c>
      <c r="N111" s="43">
        <f t="shared" si="7"/>
        <v>6</v>
      </c>
      <c r="O111" s="55">
        <v>12.0</v>
      </c>
      <c r="P111" s="55">
        <v>1.0</v>
      </c>
      <c r="Q111" s="43">
        <f t="shared" si="8"/>
        <v>19</v>
      </c>
      <c r="R111" s="43"/>
      <c r="S111" s="55" t="s">
        <v>88</v>
      </c>
      <c r="T111" s="43"/>
      <c r="U111" s="43"/>
      <c r="V111" s="43"/>
      <c r="W111" s="56" t="s">
        <v>46</v>
      </c>
      <c r="Z111" s="61"/>
      <c r="AA111" s="61"/>
      <c r="AB111" s="66"/>
      <c r="AC111" s="34"/>
      <c r="AD111" s="34"/>
    </row>
    <row r="112" ht="13.5" customHeight="1">
      <c r="A112" s="28">
        <v>106.0</v>
      </c>
      <c r="B112" s="291" t="s">
        <v>3526</v>
      </c>
      <c r="C112" s="292" t="s">
        <v>3527</v>
      </c>
      <c r="D112" s="292" t="s">
        <v>3528</v>
      </c>
      <c r="E112" s="293" t="s">
        <v>338</v>
      </c>
      <c r="F112" s="294">
        <v>40.0</v>
      </c>
      <c r="G112" s="294" t="s">
        <v>476</v>
      </c>
      <c r="H112" s="294" t="s">
        <v>480</v>
      </c>
      <c r="I112" s="295">
        <v>9.159184139E9</v>
      </c>
      <c r="J112" s="54">
        <v>23.0</v>
      </c>
      <c r="K112" s="55">
        <v>17.0</v>
      </c>
      <c r="L112" s="55">
        <v>2.0</v>
      </c>
      <c r="M112" s="55">
        <v>4.0</v>
      </c>
      <c r="N112" s="43">
        <f t="shared" si="7"/>
        <v>6</v>
      </c>
      <c r="O112" s="55">
        <v>9.0</v>
      </c>
      <c r="P112" s="55">
        <v>0.0</v>
      </c>
      <c r="Q112" s="43">
        <f t="shared" si="8"/>
        <v>15</v>
      </c>
      <c r="R112" s="43"/>
      <c r="S112" s="55" t="s">
        <v>88</v>
      </c>
      <c r="T112" s="43"/>
      <c r="U112" s="43"/>
      <c r="V112" s="43"/>
      <c r="W112" s="56" t="s">
        <v>46</v>
      </c>
      <c r="Z112" s="61"/>
      <c r="AA112" s="61"/>
      <c r="AB112" s="66"/>
      <c r="AC112" s="34"/>
      <c r="AD112" s="34"/>
    </row>
    <row r="113" ht="13.5" customHeight="1">
      <c r="A113" s="28">
        <v>107.0</v>
      </c>
      <c r="B113" s="309" t="s">
        <v>3529</v>
      </c>
      <c r="C113" s="310" t="s">
        <v>3530</v>
      </c>
      <c r="D113" s="310" t="s">
        <v>3531</v>
      </c>
      <c r="E113" s="311" t="s">
        <v>338</v>
      </c>
      <c r="F113" s="313">
        <v>45.0</v>
      </c>
      <c r="G113" s="313" t="s">
        <v>476</v>
      </c>
      <c r="H113" s="294" t="s">
        <v>480</v>
      </c>
      <c r="I113" s="316">
        <v>9.976410519E9</v>
      </c>
      <c r="J113" s="54">
        <v>25.0</v>
      </c>
      <c r="K113" s="55">
        <v>21.0</v>
      </c>
      <c r="L113" s="55">
        <v>0.0</v>
      </c>
      <c r="M113" s="55">
        <v>0.0</v>
      </c>
      <c r="N113" s="43">
        <f t="shared" si="7"/>
        <v>0</v>
      </c>
      <c r="O113" s="55">
        <v>4.0</v>
      </c>
      <c r="P113" s="55">
        <v>4.0</v>
      </c>
      <c r="Q113" s="43">
        <f t="shared" si="8"/>
        <v>8</v>
      </c>
      <c r="R113" s="43"/>
      <c r="S113" s="55"/>
      <c r="T113" s="43" t="s">
        <v>116</v>
      </c>
      <c r="U113" s="43"/>
      <c r="V113" s="43"/>
      <c r="W113" s="56" t="s">
        <v>46</v>
      </c>
      <c r="Z113" s="61"/>
      <c r="AA113" s="61"/>
      <c r="AB113" s="66"/>
      <c r="AC113" s="34"/>
      <c r="AD113" s="34"/>
    </row>
    <row r="114" ht="13.5" customHeight="1">
      <c r="A114" s="28">
        <v>108.0</v>
      </c>
      <c r="B114" s="291" t="s">
        <v>3532</v>
      </c>
      <c r="C114" s="292" t="s">
        <v>3533</v>
      </c>
      <c r="D114" s="292" t="s">
        <v>2288</v>
      </c>
      <c r="E114" s="293" t="s">
        <v>338</v>
      </c>
      <c r="F114" s="294">
        <v>31.0</v>
      </c>
      <c r="G114" s="294" t="s">
        <v>476</v>
      </c>
      <c r="H114" s="294" t="s">
        <v>480</v>
      </c>
      <c r="I114" s="295">
        <v>9.17157784E9</v>
      </c>
      <c r="J114" s="54">
        <v>26.0</v>
      </c>
      <c r="K114" s="55">
        <v>15.0</v>
      </c>
      <c r="L114" s="55">
        <v>1.0</v>
      </c>
      <c r="M114" s="55">
        <v>3.0</v>
      </c>
      <c r="N114" s="43">
        <f t="shared" si="7"/>
        <v>4</v>
      </c>
      <c r="O114" s="55">
        <v>6.0</v>
      </c>
      <c r="P114" s="55">
        <v>7.0</v>
      </c>
      <c r="Q114" s="43">
        <f t="shared" si="8"/>
        <v>17</v>
      </c>
      <c r="R114" s="43"/>
      <c r="S114" s="43"/>
      <c r="T114" s="43"/>
      <c r="U114" s="43"/>
      <c r="V114" s="43"/>
      <c r="W114" s="56" t="s">
        <v>46</v>
      </c>
      <c r="Z114" s="61"/>
      <c r="AA114" s="61"/>
      <c r="AB114" s="66"/>
      <c r="AC114" s="34"/>
      <c r="AD114" s="34"/>
    </row>
    <row r="115" ht="13.5" customHeight="1">
      <c r="A115" s="28">
        <v>109.0</v>
      </c>
      <c r="B115" s="291" t="s">
        <v>1372</v>
      </c>
      <c r="C115" s="292" t="s">
        <v>3534</v>
      </c>
      <c r="D115" s="292" t="s">
        <v>3535</v>
      </c>
      <c r="E115" s="293" t="s">
        <v>338</v>
      </c>
      <c r="F115" s="294">
        <v>37.0</v>
      </c>
      <c r="G115" s="294" t="s">
        <v>476</v>
      </c>
      <c r="H115" s="294" t="s">
        <v>480</v>
      </c>
      <c r="I115" s="295">
        <v>9.27269651E9</v>
      </c>
      <c r="J115" s="54">
        <v>30.0</v>
      </c>
      <c r="K115" s="55">
        <v>28.0</v>
      </c>
      <c r="L115" s="55">
        <v>0.0</v>
      </c>
      <c r="M115" s="55">
        <v>1.0</v>
      </c>
      <c r="N115" s="43">
        <f t="shared" si="7"/>
        <v>1</v>
      </c>
      <c r="O115" s="55">
        <v>2.0</v>
      </c>
      <c r="P115" s="55">
        <v>1.0</v>
      </c>
      <c r="Q115" s="43">
        <f t="shared" si="8"/>
        <v>4</v>
      </c>
      <c r="R115" s="43"/>
      <c r="S115" s="55" t="s">
        <v>277</v>
      </c>
      <c r="T115" s="43"/>
      <c r="U115" s="43"/>
      <c r="V115" s="43"/>
      <c r="W115" s="56" t="s">
        <v>46</v>
      </c>
      <c r="Z115" s="61"/>
      <c r="AA115" s="61"/>
      <c r="AB115" s="66"/>
      <c r="AC115" s="34"/>
      <c r="AD115" s="34"/>
    </row>
    <row r="116" ht="13.5" customHeight="1">
      <c r="A116" s="28">
        <v>110.0</v>
      </c>
      <c r="B116" s="291" t="s">
        <v>927</v>
      </c>
      <c r="C116" s="292" t="s">
        <v>3536</v>
      </c>
      <c r="D116" s="292" t="s">
        <v>3537</v>
      </c>
      <c r="E116" s="293" t="s">
        <v>338</v>
      </c>
      <c r="F116" s="294">
        <v>28.0</v>
      </c>
      <c r="G116" s="294" t="s">
        <v>476</v>
      </c>
      <c r="H116" s="294" t="s">
        <v>480</v>
      </c>
      <c r="I116" s="295">
        <v>9.05877957E9</v>
      </c>
      <c r="J116" s="54">
        <v>29.0</v>
      </c>
      <c r="K116" s="55">
        <v>25.0</v>
      </c>
      <c r="L116" s="55">
        <v>0.0</v>
      </c>
      <c r="M116" s="55">
        <v>4.0</v>
      </c>
      <c r="N116" s="43">
        <f t="shared" si="7"/>
        <v>4</v>
      </c>
      <c r="O116" s="55">
        <v>3.0</v>
      </c>
      <c r="P116" s="55">
        <v>0.0</v>
      </c>
      <c r="Q116" s="43">
        <f t="shared" si="8"/>
        <v>7</v>
      </c>
      <c r="R116" s="43"/>
      <c r="S116" s="55" t="s">
        <v>277</v>
      </c>
      <c r="T116" s="43"/>
      <c r="U116" s="43"/>
      <c r="V116" s="43"/>
      <c r="W116" s="56" t="s">
        <v>46</v>
      </c>
      <c r="Z116" s="61"/>
      <c r="AA116" s="61"/>
      <c r="AB116" s="66"/>
      <c r="AC116" s="34"/>
      <c r="AD116" s="34"/>
    </row>
    <row r="117" ht="13.5" customHeight="1">
      <c r="A117" s="28">
        <v>111.0</v>
      </c>
      <c r="B117" s="309" t="s">
        <v>3538</v>
      </c>
      <c r="C117" s="310" t="s">
        <v>3539</v>
      </c>
      <c r="D117" s="310" t="s">
        <v>3540</v>
      </c>
      <c r="E117" s="311" t="s">
        <v>338</v>
      </c>
      <c r="F117" s="313">
        <v>29.0</v>
      </c>
      <c r="G117" s="313" t="s">
        <v>476</v>
      </c>
      <c r="H117" s="294" t="s">
        <v>480</v>
      </c>
      <c r="I117" s="316" t="s">
        <v>3541</v>
      </c>
      <c r="J117" s="42"/>
      <c r="K117" s="43"/>
      <c r="L117" s="43"/>
      <c r="M117" s="43"/>
      <c r="N117" s="43">
        <f t="shared" si="7"/>
        <v>0</v>
      </c>
      <c r="O117" s="43"/>
      <c r="P117" s="43"/>
      <c r="Q117" s="43">
        <f t="shared" si="8"/>
        <v>0</v>
      </c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291" t="s">
        <v>3542</v>
      </c>
      <c r="C118" s="292" t="s">
        <v>3543</v>
      </c>
      <c r="D118" s="292" t="s">
        <v>3544</v>
      </c>
      <c r="E118" s="293" t="s">
        <v>338</v>
      </c>
      <c r="F118" s="294">
        <v>39.0</v>
      </c>
      <c r="G118" s="294" t="s">
        <v>476</v>
      </c>
      <c r="H118" s="294" t="s">
        <v>2658</v>
      </c>
      <c r="I118" s="295">
        <v>9.637858976E9</v>
      </c>
      <c r="J118" s="54">
        <v>25.0</v>
      </c>
      <c r="K118" s="55">
        <v>23.0</v>
      </c>
      <c r="L118" s="55">
        <v>0.0</v>
      </c>
      <c r="M118" s="55">
        <v>0.0</v>
      </c>
      <c r="N118" s="43">
        <f t="shared" si="7"/>
        <v>0</v>
      </c>
      <c r="O118" s="55">
        <v>7.0</v>
      </c>
      <c r="P118" s="55">
        <v>2.0</v>
      </c>
      <c r="Q118" s="43">
        <f t="shared" si="8"/>
        <v>9</v>
      </c>
      <c r="R118" s="43"/>
      <c r="S118" s="43"/>
      <c r="T118" s="43"/>
      <c r="U118" s="43"/>
      <c r="V118" s="43"/>
      <c r="W118" s="56" t="s">
        <v>46</v>
      </c>
      <c r="Z118" s="61"/>
      <c r="AA118" s="61"/>
      <c r="AB118" s="66"/>
      <c r="AC118" s="34"/>
      <c r="AD118" s="34"/>
    </row>
    <row r="119" ht="13.5" customHeight="1">
      <c r="A119" s="28">
        <v>113.0</v>
      </c>
      <c r="B119" s="321" t="s">
        <v>3545</v>
      </c>
      <c r="C119" s="322" t="s">
        <v>993</v>
      </c>
      <c r="D119" s="322" t="s">
        <v>3546</v>
      </c>
      <c r="E119" s="293" t="s">
        <v>338</v>
      </c>
      <c r="F119" s="323">
        <v>41.0</v>
      </c>
      <c r="G119" s="294" t="s">
        <v>476</v>
      </c>
      <c r="H119" s="294" t="s">
        <v>2625</v>
      </c>
      <c r="I119" s="295">
        <v>9.637858976E9</v>
      </c>
      <c r="J119" s="54">
        <v>32.0</v>
      </c>
      <c r="K119" s="55">
        <v>22.0</v>
      </c>
      <c r="L119" s="55">
        <v>0.0</v>
      </c>
      <c r="M119" s="55">
        <v>0.0</v>
      </c>
      <c r="N119" s="43">
        <f t="shared" si="7"/>
        <v>0</v>
      </c>
      <c r="O119" s="55">
        <v>0.0</v>
      </c>
      <c r="P119" s="55">
        <v>10.0</v>
      </c>
      <c r="Q119" s="43">
        <f t="shared" si="8"/>
        <v>10</v>
      </c>
      <c r="R119" s="43"/>
      <c r="S119" s="43"/>
      <c r="T119" s="43"/>
      <c r="U119" s="43"/>
      <c r="V119" s="43"/>
      <c r="W119" s="56" t="s">
        <v>46</v>
      </c>
      <c r="Z119" s="61"/>
      <c r="AA119" s="61"/>
      <c r="AB119" s="66"/>
      <c r="AC119" s="34"/>
      <c r="AD119" s="34"/>
    </row>
    <row r="120" ht="13.5" customHeight="1">
      <c r="A120" s="28">
        <v>114.0</v>
      </c>
      <c r="B120" s="291" t="s">
        <v>3547</v>
      </c>
      <c r="C120" s="292" t="s">
        <v>3548</v>
      </c>
      <c r="D120" s="292" t="s">
        <v>3549</v>
      </c>
      <c r="E120" s="293" t="s">
        <v>338</v>
      </c>
      <c r="F120" s="294">
        <v>47.0</v>
      </c>
      <c r="G120" s="294" t="s">
        <v>476</v>
      </c>
      <c r="H120" s="294" t="s">
        <v>480</v>
      </c>
      <c r="I120" s="295">
        <v>9.612030519E9</v>
      </c>
      <c r="J120" s="54">
        <v>10.0</v>
      </c>
      <c r="K120" s="55">
        <v>10.0</v>
      </c>
      <c r="L120" s="55">
        <v>0.0</v>
      </c>
      <c r="M120" s="55">
        <v>0.0</v>
      </c>
      <c r="N120" s="43">
        <f t="shared" si="7"/>
        <v>0</v>
      </c>
      <c r="O120" s="55">
        <v>22.0</v>
      </c>
      <c r="P120" s="55">
        <v>0.0</v>
      </c>
      <c r="Q120" s="43">
        <f t="shared" si="8"/>
        <v>22</v>
      </c>
      <c r="R120" s="43"/>
      <c r="S120" s="55" t="s">
        <v>79</v>
      </c>
      <c r="T120" s="43"/>
      <c r="U120" s="43"/>
      <c r="V120" s="43"/>
      <c r="W120" s="56" t="s">
        <v>46</v>
      </c>
      <c r="Z120" s="61"/>
      <c r="AA120" s="61"/>
      <c r="AB120" s="66"/>
      <c r="AC120" s="34"/>
      <c r="AD120" s="34"/>
    </row>
    <row r="121" ht="13.5" customHeight="1">
      <c r="A121" s="28">
        <v>115.0</v>
      </c>
      <c r="B121" s="291" t="s">
        <v>3550</v>
      </c>
      <c r="C121" s="292" t="s">
        <v>3551</v>
      </c>
      <c r="D121" s="292" t="s">
        <v>1192</v>
      </c>
      <c r="E121" s="293" t="s">
        <v>338</v>
      </c>
      <c r="F121" s="294">
        <v>52.0</v>
      </c>
      <c r="G121" s="294" t="s">
        <v>476</v>
      </c>
      <c r="H121" s="294" t="s">
        <v>480</v>
      </c>
      <c r="I121" s="295">
        <v>9.618141308E9</v>
      </c>
      <c r="J121" s="54">
        <v>18.0</v>
      </c>
      <c r="K121" s="55">
        <v>14.0</v>
      </c>
      <c r="L121" s="55">
        <v>1.0</v>
      </c>
      <c r="M121" s="55">
        <v>1.0</v>
      </c>
      <c r="N121" s="43">
        <f t="shared" si="7"/>
        <v>2</v>
      </c>
      <c r="O121" s="55">
        <v>14.0</v>
      </c>
      <c r="P121" s="55">
        <v>2.0</v>
      </c>
      <c r="Q121" s="43">
        <f t="shared" si="8"/>
        <v>18</v>
      </c>
      <c r="R121" s="43"/>
      <c r="S121" s="55" t="s">
        <v>88</v>
      </c>
      <c r="T121" s="43"/>
      <c r="U121" s="43"/>
      <c r="V121" s="43"/>
      <c r="W121" s="56" t="s">
        <v>46</v>
      </c>
      <c r="Z121" s="61"/>
      <c r="AA121" s="61"/>
      <c r="AB121" s="66"/>
      <c r="AC121" s="34"/>
      <c r="AD121" s="34"/>
    </row>
    <row r="122" ht="13.5" customHeight="1">
      <c r="A122" s="28">
        <v>116.0</v>
      </c>
      <c r="B122" s="291" t="s">
        <v>3552</v>
      </c>
      <c r="C122" s="292" t="s">
        <v>3553</v>
      </c>
      <c r="D122" s="292" t="s">
        <v>878</v>
      </c>
      <c r="E122" s="293" t="s">
        <v>338</v>
      </c>
      <c r="F122" s="294">
        <v>30.0</v>
      </c>
      <c r="G122" s="294" t="s">
        <v>476</v>
      </c>
      <c r="H122" s="294" t="s">
        <v>480</v>
      </c>
      <c r="I122" s="295">
        <v>9.919739308E9</v>
      </c>
      <c r="J122" s="54">
        <v>28.0</v>
      </c>
      <c r="K122" s="55">
        <v>25.0</v>
      </c>
      <c r="L122" s="55">
        <v>0.0</v>
      </c>
      <c r="M122" s="55">
        <v>0.0</v>
      </c>
      <c r="N122" s="43">
        <f t="shared" si="7"/>
        <v>0</v>
      </c>
      <c r="O122" s="55">
        <v>4.0</v>
      </c>
      <c r="P122" s="55">
        <v>3.0</v>
      </c>
      <c r="Q122" s="43">
        <f t="shared" si="8"/>
        <v>7</v>
      </c>
      <c r="R122" s="43"/>
      <c r="S122" s="55" t="s">
        <v>277</v>
      </c>
      <c r="T122" s="43"/>
      <c r="U122" s="43"/>
      <c r="V122" s="43"/>
      <c r="W122" s="56" t="s">
        <v>46</v>
      </c>
      <c r="Z122" s="61"/>
      <c r="AA122" s="61"/>
      <c r="AB122" s="66"/>
      <c r="AC122" s="34"/>
      <c r="AD122" s="34"/>
    </row>
    <row r="123" ht="13.5" customHeight="1">
      <c r="A123" s="28">
        <v>117.0</v>
      </c>
      <c r="B123" s="291" t="s">
        <v>3554</v>
      </c>
      <c r="C123" s="292" t="s">
        <v>3555</v>
      </c>
      <c r="D123" s="292" t="s">
        <v>3556</v>
      </c>
      <c r="E123" s="293" t="s">
        <v>338</v>
      </c>
      <c r="F123" s="294">
        <v>51.0</v>
      </c>
      <c r="G123" s="294" t="s">
        <v>476</v>
      </c>
      <c r="H123" s="294" t="s">
        <v>2658</v>
      </c>
      <c r="I123" s="295">
        <v>9.465635426E9</v>
      </c>
      <c r="J123" s="54">
        <v>17.0</v>
      </c>
      <c r="K123" s="55">
        <v>15.0</v>
      </c>
      <c r="L123" s="55">
        <v>1.0</v>
      </c>
      <c r="M123" s="55">
        <v>1.0</v>
      </c>
      <c r="N123" s="43">
        <f t="shared" si="7"/>
        <v>2</v>
      </c>
      <c r="O123" s="55">
        <v>15.0</v>
      </c>
      <c r="P123" s="55">
        <v>0.0</v>
      </c>
      <c r="Q123" s="43">
        <f t="shared" si="8"/>
        <v>17</v>
      </c>
      <c r="R123" s="43"/>
      <c r="S123" s="55" t="s">
        <v>97</v>
      </c>
      <c r="T123" s="43"/>
      <c r="U123" s="43"/>
      <c r="V123" s="43"/>
      <c r="W123" s="56" t="s">
        <v>46</v>
      </c>
      <c r="Z123" s="61"/>
      <c r="AA123" s="61"/>
      <c r="AB123" s="66"/>
      <c r="AC123" s="34"/>
      <c r="AD123" s="34"/>
    </row>
    <row r="124" ht="13.5" customHeight="1">
      <c r="A124" s="28">
        <v>118.0</v>
      </c>
      <c r="B124" s="291" t="s">
        <v>3557</v>
      </c>
      <c r="C124" s="292" t="s">
        <v>3558</v>
      </c>
      <c r="D124" s="292" t="s">
        <v>3559</v>
      </c>
      <c r="E124" s="293" t="s">
        <v>338</v>
      </c>
      <c r="F124" s="294">
        <v>38.0</v>
      </c>
      <c r="G124" s="294" t="s">
        <v>476</v>
      </c>
      <c r="H124" s="294" t="s">
        <v>480</v>
      </c>
      <c r="I124" s="295">
        <v>9.162871652E9</v>
      </c>
      <c r="J124" s="54">
        <v>30.0</v>
      </c>
      <c r="K124" s="55">
        <v>27.0</v>
      </c>
      <c r="L124" s="55">
        <v>0.0</v>
      </c>
      <c r="M124" s="55">
        <v>3.0</v>
      </c>
      <c r="N124" s="43">
        <f t="shared" si="7"/>
        <v>3</v>
      </c>
      <c r="O124" s="55">
        <v>2.0</v>
      </c>
      <c r="P124" s="55">
        <v>0.0</v>
      </c>
      <c r="Q124" s="43">
        <f t="shared" si="8"/>
        <v>5</v>
      </c>
      <c r="R124" s="43"/>
      <c r="S124" s="43"/>
      <c r="T124" s="43"/>
      <c r="U124" s="43"/>
      <c r="V124" s="43"/>
      <c r="W124" s="56" t="s">
        <v>46</v>
      </c>
      <c r="Z124" s="61"/>
      <c r="AA124" s="61"/>
      <c r="AB124" s="66"/>
      <c r="AC124" s="34"/>
      <c r="AD124" s="34"/>
    </row>
    <row r="125" ht="13.5" customHeight="1">
      <c r="A125" s="28">
        <v>119.0</v>
      </c>
      <c r="B125" s="291" t="s">
        <v>3560</v>
      </c>
      <c r="C125" s="292" t="s">
        <v>1728</v>
      </c>
      <c r="D125" s="292" t="s">
        <v>3561</v>
      </c>
      <c r="E125" s="293" t="s">
        <v>338</v>
      </c>
      <c r="F125" s="294">
        <v>46.0</v>
      </c>
      <c r="G125" s="294" t="s">
        <v>476</v>
      </c>
      <c r="H125" s="294" t="s">
        <v>2658</v>
      </c>
      <c r="I125" s="295">
        <v>9.097163995E9</v>
      </c>
      <c r="J125" s="54">
        <v>25.0</v>
      </c>
      <c r="K125" s="55">
        <v>22.0</v>
      </c>
      <c r="L125" s="55">
        <v>2.0</v>
      </c>
      <c r="M125" s="55">
        <v>1.0</v>
      </c>
      <c r="N125" s="43">
        <f t="shared" si="7"/>
        <v>3</v>
      </c>
      <c r="O125" s="55">
        <v>7.0</v>
      </c>
      <c r="P125" s="55">
        <v>0.0</v>
      </c>
      <c r="Q125" s="43">
        <f t="shared" si="8"/>
        <v>10</v>
      </c>
      <c r="R125" s="43"/>
      <c r="S125" s="43"/>
      <c r="T125" s="43"/>
      <c r="U125" s="43"/>
      <c r="V125" s="43"/>
      <c r="W125" s="56" t="s">
        <v>46</v>
      </c>
      <c r="Z125" s="61"/>
      <c r="AA125" s="61"/>
      <c r="AB125" s="66"/>
      <c r="AC125" s="34"/>
      <c r="AD125" s="34"/>
    </row>
    <row r="126" ht="13.5" customHeight="1">
      <c r="A126" s="28">
        <v>120.0</v>
      </c>
      <c r="B126" s="291" t="s">
        <v>1821</v>
      </c>
      <c r="C126" s="292" t="s">
        <v>3562</v>
      </c>
      <c r="D126" s="292" t="s">
        <v>3563</v>
      </c>
      <c r="E126" s="293" t="s">
        <v>338</v>
      </c>
      <c r="F126" s="294">
        <v>34.0</v>
      </c>
      <c r="G126" s="294" t="s">
        <v>476</v>
      </c>
      <c r="H126" s="294" t="s">
        <v>480</v>
      </c>
      <c r="I126" s="295">
        <v>9.557033816E9</v>
      </c>
      <c r="J126" s="54">
        <v>29.0</v>
      </c>
      <c r="K126" s="55">
        <v>28.0</v>
      </c>
      <c r="L126" s="55">
        <v>0.0</v>
      </c>
      <c r="M126" s="55">
        <v>1.0</v>
      </c>
      <c r="N126" s="43">
        <f t="shared" si="7"/>
        <v>1</v>
      </c>
      <c r="O126" s="55">
        <v>3.0</v>
      </c>
      <c r="P126" s="55">
        <v>0.0</v>
      </c>
      <c r="Q126" s="43">
        <f t="shared" si="8"/>
        <v>4</v>
      </c>
      <c r="R126" s="43"/>
      <c r="S126" s="43"/>
      <c r="T126" s="43"/>
      <c r="U126" s="43"/>
      <c r="V126" s="43"/>
      <c r="W126" s="56" t="s">
        <v>46</v>
      </c>
      <c r="Z126" s="61"/>
      <c r="AA126" s="61"/>
      <c r="AB126" s="66"/>
      <c r="AC126" s="34"/>
      <c r="AD126" s="34"/>
    </row>
    <row r="127" ht="13.5" customHeight="1">
      <c r="A127" s="28">
        <v>121.0</v>
      </c>
      <c r="B127" s="291" t="s">
        <v>3564</v>
      </c>
      <c r="C127" s="292" t="s">
        <v>3565</v>
      </c>
      <c r="D127" s="292" t="s">
        <v>3566</v>
      </c>
      <c r="E127" s="293" t="s">
        <v>338</v>
      </c>
      <c r="F127" s="294">
        <v>39.0</v>
      </c>
      <c r="G127" s="294" t="s">
        <v>476</v>
      </c>
      <c r="H127" s="294" t="s">
        <v>480</v>
      </c>
      <c r="I127" s="295">
        <v>9.150589802E9</v>
      </c>
      <c r="J127" s="54">
        <v>18.0</v>
      </c>
      <c r="K127" s="55">
        <v>12.0</v>
      </c>
      <c r="L127" s="55">
        <v>2.0</v>
      </c>
      <c r="M127" s="55">
        <v>4.0</v>
      </c>
      <c r="N127" s="43">
        <f t="shared" si="7"/>
        <v>6</v>
      </c>
      <c r="O127" s="55">
        <v>14.0</v>
      </c>
      <c r="P127" s="55">
        <v>0.0</v>
      </c>
      <c r="Q127" s="43">
        <f t="shared" si="8"/>
        <v>20</v>
      </c>
      <c r="R127" s="43"/>
      <c r="S127" s="55" t="s">
        <v>88</v>
      </c>
      <c r="T127" s="43"/>
      <c r="U127" s="43"/>
      <c r="V127" s="43"/>
      <c r="W127" s="56" t="s">
        <v>46</v>
      </c>
      <c r="Z127" s="61"/>
      <c r="AA127" s="61"/>
      <c r="AB127" s="66"/>
      <c r="AC127" s="34"/>
      <c r="AD127" s="34"/>
    </row>
    <row r="128" ht="13.5" customHeight="1">
      <c r="A128" s="28">
        <v>122.0</v>
      </c>
      <c r="B128" s="291" t="s">
        <v>932</v>
      </c>
      <c r="C128" s="292" t="s">
        <v>3567</v>
      </c>
      <c r="D128" s="292" t="s">
        <v>2664</v>
      </c>
      <c r="E128" s="293" t="s">
        <v>338</v>
      </c>
      <c r="F128" s="294">
        <v>36.0</v>
      </c>
      <c r="G128" s="294" t="s">
        <v>476</v>
      </c>
      <c r="H128" s="294" t="s">
        <v>2658</v>
      </c>
      <c r="I128" s="295">
        <v>9.159452374E9</v>
      </c>
      <c r="J128" s="54">
        <v>29.0</v>
      </c>
      <c r="K128" s="55">
        <v>19.0</v>
      </c>
      <c r="L128" s="55">
        <v>5.0</v>
      </c>
      <c r="M128" s="55">
        <v>5.0</v>
      </c>
      <c r="N128" s="43">
        <f t="shared" si="7"/>
        <v>10</v>
      </c>
      <c r="O128" s="55">
        <v>0.0</v>
      </c>
      <c r="P128" s="55">
        <v>3.0</v>
      </c>
      <c r="Q128" s="55">
        <v>0.0</v>
      </c>
      <c r="R128" s="43"/>
      <c r="S128" s="43"/>
      <c r="T128" s="43"/>
      <c r="U128" s="43"/>
      <c r="V128" s="43"/>
      <c r="W128" s="56" t="s">
        <v>46</v>
      </c>
      <c r="Z128" s="61"/>
      <c r="AA128" s="61"/>
      <c r="AB128" s="66"/>
      <c r="AC128" s="34"/>
      <c r="AD128" s="34"/>
    </row>
    <row r="129" ht="13.5" customHeight="1">
      <c r="A129" s="28">
        <v>123.0</v>
      </c>
      <c r="B129" s="291" t="s">
        <v>3568</v>
      </c>
      <c r="C129" s="292" t="s">
        <v>1976</v>
      </c>
      <c r="D129" s="292" t="s">
        <v>3069</v>
      </c>
      <c r="E129" s="293" t="s">
        <v>338</v>
      </c>
      <c r="F129" s="294">
        <v>34.0</v>
      </c>
      <c r="G129" s="294" t="s">
        <v>476</v>
      </c>
      <c r="H129" s="294" t="s">
        <v>480</v>
      </c>
      <c r="I129" s="295">
        <v>9.569540456E9</v>
      </c>
      <c r="J129" s="54">
        <v>27.0</v>
      </c>
      <c r="K129" s="55">
        <v>25.0</v>
      </c>
      <c r="L129" s="55">
        <v>0.0</v>
      </c>
      <c r="M129" s="55">
        <v>2.0</v>
      </c>
      <c r="N129" s="43">
        <f t="shared" si="7"/>
        <v>2</v>
      </c>
      <c r="O129" s="55">
        <v>4.0</v>
      </c>
      <c r="P129" s="55">
        <v>0.0</v>
      </c>
      <c r="Q129" s="43">
        <f t="shared" ref="Q129:Q164" si="9">SUM(N129,O129,P129)</f>
        <v>6</v>
      </c>
      <c r="R129" s="43"/>
      <c r="S129" s="43"/>
      <c r="T129" s="43"/>
      <c r="U129" s="43"/>
      <c r="V129" s="43"/>
      <c r="W129" s="56" t="s">
        <v>46</v>
      </c>
      <c r="Z129" s="61"/>
      <c r="AA129" s="61"/>
      <c r="AB129" s="66"/>
      <c r="AC129" s="34"/>
      <c r="AD129" s="34"/>
    </row>
    <row r="130" ht="13.5" customHeight="1">
      <c r="A130" s="28">
        <v>124.0</v>
      </c>
      <c r="B130" s="291" t="s">
        <v>3569</v>
      </c>
      <c r="C130" s="292" t="s">
        <v>3570</v>
      </c>
      <c r="D130" s="292" t="s">
        <v>3571</v>
      </c>
      <c r="E130" s="293" t="s">
        <v>338</v>
      </c>
      <c r="F130" s="294">
        <v>48.0</v>
      </c>
      <c r="G130" s="294" t="s">
        <v>476</v>
      </c>
      <c r="H130" s="294" t="s">
        <v>2658</v>
      </c>
      <c r="I130" s="295">
        <v>9.565085592E9</v>
      </c>
      <c r="J130" s="54">
        <v>24.0</v>
      </c>
      <c r="K130" s="55">
        <v>14.0</v>
      </c>
      <c r="L130" s="55">
        <v>0.0</v>
      </c>
      <c r="M130" s="55">
        <v>0.0</v>
      </c>
      <c r="N130" s="43">
        <f t="shared" si="7"/>
        <v>0</v>
      </c>
      <c r="O130" s="55">
        <v>8.0</v>
      </c>
      <c r="P130" s="55">
        <v>10.0</v>
      </c>
      <c r="Q130" s="43">
        <f t="shared" si="9"/>
        <v>18</v>
      </c>
      <c r="R130" s="43"/>
      <c r="S130" s="43"/>
      <c r="T130" s="43"/>
      <c r="U130" s="43"/>
      <c r="V130" s="43"/>
      <c r="W130" s="56" t="s">
        <v>46</v>
      </c>
      <c r="Z130" s="61"/>
      <c r="AA130" s="61"/>
      <c r="AB130" s="66"/>
      <c r="AC130" s="34"/>
      <c r="AD130" s="34"/>
    </row>
    <row r="131" ht="13.5" customHeight="1">
      <c r="A131" s="28">
        <v>125.0</v>
      </c>
      <c r="B131" s="291" t="s">
        <v>1121</v>
      </c>
      <c r="C131" s="292" t="s">
        <v>1347</v>
      </c>
      <c r="D131" s="292" t="s">
        <v>3572</v>
      </c>
      <c r="E131" s="293" t="s">
        <v>338</v>
      </c>
      <c r="F131" s="294">
        <v>51.0</v>
      </c>
      <c r="G131" s="294" t="s">
        <v>476</v>
      </c>
      <c r="H131" s="294" t="s">
        <v>480</v>
      </c>
      <c r="I131" s="295">
        <v>9.298138967E9</v>
      </c>
      <c r="J131" s="54">
        <v>24.0</v>
      </c>
      <c r="K131" s="55">
        <v>12.0</v>
      </c>
      <c r="L131" s="55">
        <v>1.0</v>
      </c>
      <c r="M131" s="55">
        <v>10.0</v>
      </c>
      <c r="N131" s="43">
        <f t="shared" si="7"/>
        <v>11</v>
      </c>
      <c r="O131" s="55">
        <v>8.0</v>
      </c>
      <c r="P131" s="55">
        <v>1.0</v>
      </c>
      <c r="Q131" s="43">
        <f t="shared" si="9"/>
        <v>20</v>
      </c>
      <c r="R131" s="43"/>
      <c r="S131" s="43"/>
      <c r="T131" s="43"/>
      <c r="U131" s="43"/>
      <c r="V131" s="43"/>
      <c r="W131" s="56" t="s">
        <v>46</v>
      </c>
      <c r="Z131" s="61"/>
      <c r="AA131" s="61"/>
      <c r="AB131" s="66"/>
      <c r="AC131" s="34"/>
      <c r="AD131" s="34"/>
    </row>
    <row r="132" ht="13.5" customHeight="1">
      <c r="A132" s="28">
        <v>126.0</v>
      </c>
      <c r="B132" s="291" t="s">
        <v>3523</v>
      </c>
      <c r="C132" s="292" t="s">
        <v>377</v>
      </c>
      <c r="D132" s="292" t="s">
        <v>3573</v>
      </c>
      <c r="E132" s="293" t="s">
        <v>338</v>
      </c>
      <c r="F132" s="324">
        <v>43.0</v>
      </c>
      <c r="G132" s="294" t="s">
        <v>476</v>
      </c>
      <c r="H132" s="294" t="s">
        <v>3338</v>
      </c>
      <c r="I132" s="295">
        <v>9.482997125E9</v>
      </c>
      <c r="J132" s="54">
        <v>24.0</v>
      </c>
      <c r="K132" s="55">
        <v>24.0</v>
      </c>
      <c r="L132" s="55">
        <v>0.0</v>
      </c>
      <c r="M132" s="55">
        <v>0.0</v>
      </c>
      <c r="N132" s="43">
        <f t="shared" si="7"/>
        <v>0</v>
      </c>
      <c r="O132" s="55">
        <v>8.0</v>
      </c>
      <c r="P132" s="55">
        <v>0.0</v>
      </c>
      <c r="Q132" s="43">
        <f t="shared" si="9"/>
        <v>8</v>
      </c>
      <c r="R132" s="43"/>
      <c r="S132" s="55" t="s">
        <v>3574</v>
      </c>
      <c r="T132" s="55" t="s">
        <v>3575</v>
      </c>
      <c r="U132" s="43"/>
      <c r="V132" s="55" t="s">
        <v>3576</v>
      </c>
      <c r="W132" s="56" t="s">
        <v>46</v>
      </c>
      <c r="Z132" s="61"/>
      <c r="AA132" s="61"/>
      <c r="AB132" s="66"/>
      <c r="AC132" s="34"/>
      <c r="AD132" s="34"/>
    </row>
    <row r="133" ht="13.5" customHeight="1">
      <c r="A133" s="28">
        <v>127.0</v>
      </c>
      <c r="B133" s="291" t="s">
        <v>3577</v>
      </c>
      <c r="C133" s="292" t="s">
        <v>1284</v>
      </c>
      <c r="D133" s="292" t="s">
        <v>472</v>
      </c>
      <c r="E133" s="293" t="s">
        <v>338</v>
      </c>
      <c r="F133" s="294">
        <v>46.0</v>
      </c>
      <c r="G133" s="294" t="s">
        <v>476</v>
      </c>
      <c r="H133" s="294" t="s">
        <v>2658</v>
      </c>
      <c r="I133" s="295">
        <v>9.486524184E9</v>
      </c>
      <c r="J133" s="54">
        <v>27.0</v>
      </c>
      <c r="K133" s="55">
        <v>22.0</v>
      </c>
      <c r="L133" s="55">
        <v>0.0</v>
      </c>
      <c r="M133" s="55">
        <v>4.0</v>
      </c>
      <c r="N133" s="43">
        <f t="shared" si="7"/>
        <v>4</v>
      </c>
      <c r="O133" s="55">
        <v>5.0</v>
      </c>
      <c r="P133" s="55">
        <v>1.0</v>
      </c>
      <c r="Q133" s="43">
        <f t="shared" si="9"/>
        <v>10</v>
      </c>
      <c r="R133" s="43"/>
      <c r="S133" s="43"/>
      <c r="T133" s="43"/>
      <c r="U133" s="43"/>
      <c r="V133" s="43"/>
      <c r="W133" s="56" t="s">
        <v>46</v>
      </c>
      <c r="Z133" s="61"/>
      <c r="AA133" s="61"/>
      <c r="AB133" s="66"/>
      <c r="AC133" s="34"/>
      <c r="AD133" s="34"/>
    </row>
    <row r="134" ht="13.5" customHeight="1">
      <c r="A134" s="28">
        <v>128.0</v>
      </c>
      <c r="B134" s="291" t="s">
        <v>3578</v>
      </c>
      <c r="C134" s="292" t="s">
        <v>1874</v>
      </c>
      <c r="D134" s="292" t="s">
        <v>3579</v>
      </c>
      <c r="E134" s="293" t="s">
        <v>338</v>
      </c>
      <c r="F134" s="294">
        <v>38.0</v>
      </c>
      <c r="G134" s="294" t="s">
        <v>476</v>
      </c>
      <c r="H134" s="294" t="s">
        <v>2658</v>
      </c>
      <c r="I134" s="295">
        <v>9.31207306E9</v>
      </c>
      <c r="J134" s="42"/>
      <c r="K134" s="43"/>
      <c r="L134" s="43"/>
      <c r="M134" s="43"/>
      <c r="N134" s="43">
        <f t="shared" si="7"/>
        <v>0</v>
      </c>
      <c r="O134" s="43"/>
      <c r="P134" s="43"/>
      <c r="Q134" s="43">
        <f t="shared" si="9"/>
        <v>0</v>
      </c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291" t="s">
        <v>3580</v>
      </c>
      <c r="C135" s="292" t="s">
        <v>3581</v>
      </c>
      <c r="D135" s="292" t="s">
        <v>3582</v>
      </c>
      <c r="E135" s="293" t="s">
        <v>338</v>
      </c>
      <c r="F135" s="294">
        <v>43.0</v>
      </c>
      <c r="G135" s="294" t="s">
        <v>476</v>
      </c>
      <c r="H135" s="294" t="s">
        <v>2658</v>
      </c>
      <c r="I135" s="295">
        <v>9.095531147E9</v>
      </c>
      <c r="J135" s="54">
        <v>26.0</v>
      </c>
      <c r="K135" s="55">
        <v>19.0</v>
      </c>
      <c r="L135" s="55">
        <v>1.0</v>
      </c>
      <c r="M135" s="55">
        <v>6.0</v>
      </c>
      <c r="N135" s="43">
        <f t="shared" si="7"/>
        <v>7</v>
      </c>
      <c r="O135" s="55">
        <v>6.0</v>
      </c>
      <c r="P135" s="55">
        <v>0.0</v>
      </c>
      <c r="Q135" s="43">
        <f t="shared" si="9"/>
        <v>13</v>
      </c>
      <c r="R135" s="43"/>
      <c r="S135" s="55" t="s">
        <v>277</v>
      </c>
      <c r="T135" s="43"/>
      <c r="U135" s="43"/>
      <c r="V135" s="43"/>
      <c r="W135" s="56" t="s">
        <v>46</v>
      </c>
      <c r="Z135" s="61"/>
      <c r="AA135" s="61"/>
      <c r="AB135" s="66"/>
      <c r="AC135" s="34"/>
      <c r="AD135" s="34"/>
    </row>
    <row r="136" ht="13.5" customHeight="1">
      <c r="A136" s="28">
        <v>130.0</v>
      </c>
      <c r="B136" s="291" t="s">
        <v>3583</v>
      </c>
      <c r="C136" s="292" t="s">
        <v>3584</v>
      </c>
      <c r="D136" s="292" t="s">
        <v>2447</v>
      </c>
      <c r="E136" s="293" t="s">
        <v>338</v>
      </c>
      <c r="F136" s="294">
        <v>44.0</v>
      </c>
      <c r="G136" s="294" t="s">
        <v>584</v>
      </c>
      <c r="H136" s="294" t="s">
        <v>2658</v>
      </c>
      <c r="I136" s="295">
        <v>9.972750597E9</v>
      </c>
      <c r="J136" s="54">
        <v>27.0</v>
      </c>
      <c r="K136" s="55">
        <v>22.0</v>
      </c>
      <c r="L136" s="55">
        <v>0.0</v>
      </c>
      <c r="M136" s="55">
        <v>3.0</v>
      </c>
      <c r="N136" s="43">
        <f t="shared" si="7"/>
        <v>3</v>
      </c>
      <c r="O136" s="55">
        <v>5.0</v>
      </c>
      <c r="P136" s="55">
        <v>2.0</v>
      </c>
      <c r="Q136" s="43">
        <f t="shared" si="9"/>
        <v>10</v>
      </c>
      <c r="R136" s="43"/>
      <c r="S136" s="55" t="s">
        <v>277</v>
      </c>
      <c r="T136" s="43"/>
      <c r="U136" s="43"/>
      <c r="V136" s="43"/>
      <c r="W136" s="56" t="s">
        <v>46</v>
      </c>
      <c r="Z136" s="61"/>
      <c r="AA136" s="61"/>
      <c r="AB136" s="66"/>
      <c r="AC136" s="34"/>
      <c r="AD136" s="34"/>
    </row>
    <row r="137" ht="13.5" customHeight="1">
      <c r="A137" s="28">
        <v>131.0</v>
      </c>
      <c r="B137" s="309" t="s">
        <v>935</v>
      </c>
      <c r="C137" s="310" t="s">
        <v>3585</v>
      </c>
      <c r="D137" s="310" t="s">
        <v>1556</v>
      </c>
      <c r="E137" s="311" t="s">
        <v>338</v>
      </c>
      <c r="F137" s="313">
        <v>25.0</v>
      </c>
      <c r="G137" s="313" t="s">
        <v>476</v>
      </c>
      <c r="H137" s="294" t="s">
        <v>480</v>
      </c>
      <c r="I137" s="316">
        <v>9.518974621E9</v>
      </c>
      <c r="J137" s="42"/>
      <c r="K137" s="43"/>
      <c r="L137" s="43"/>
      <c r="M137" s="43"/>
      <c r="N137" s="43">
        <f t="shared" si="7"/>
        <v>0</v>
      </c>
      <c r="O137" s="43"/>
      <c r="P137" s="43"/>
      <c r="Q137" s="43">
        <f t="shared" si="9"/>
        <v>0</v>
      </c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291" t="s">
        <v>3586</v>
      </c>
      <c r="C138" s="292" t="s">
        <v>2182</v>
      </c>
      <c r="D138" s="292" t="s">
        <v>3587</v>
      </c>
      <c r="E138" s="293" t="s">
        <v>338</v>
      </c>
      <c r="F138" s="294">
        <v>38.0</v>
      </c>
      <c r="G138" s="294" t="s">
        <v>476</v>
      </c>
      <c r="H138" s="294" t="s">
        <v>2658</v>
      </c>
      <c r="I138" s="295">
        <v>9.068640058E9</v>
      </c>
      <c r="J138" s="54">
        <v>28.0</v>
      </c>
      <c r="K138" s="55">
        <v>20.0</v>
      </c>
      <c r="L138" s="55">
        <v>0.0</v>
      </c>
      <c r="M138" s="55">
        <v>4.0</v>
      </c>
      <c r="N138" s="43">
        <f t="shared" si="7"/>
        <v>4</v>
      </c>
      <c r="O138" s="55">
        <v>4.0</v>
      </c>
      <c r="P138" s="55">
        <v>4.0</v>
      </c>
      <c r="Q138" s="43">
        <f t="shared" si="9"/>
        <v>12</v>
      </c>
      <c r="R138" s="43"/>
      <c r="S138" s="55" t="s">
        <v>101</v>
      </c>
      <c r="T138" s="43"/>
      <c r="U138" s="43"/>
      <c r="V138" s="55" t="s">
        <v>1361</v>
      </c>
      <c r="W138" s="56" t="s">
        <v>46</v>
      </c>
      <c r="Z138" s="61"/>
      <c r="AA138" s="61"/>
      <c r="AB138" s="66"/>
      <c r="AC138" s="34"/>
      <c r="AD138" s="34"/>
    </row>
    <row r="139" ht="13.5" customHeight="1">
      <c r="A139" s="28">
        <v>133.0</v>
      </c>
      <c r="B139" s="291" t="s">
        <v>3588</v>
      </c>
      <c r="C139" s="292" t="s">
        <v>3589</v>
      </c>
      <c r="D139" s="292" t="s">
        <v>3590</v>
      </c>
      <c r="E139" s="293" t="s">
        <v>338</v>
      </c>
      <c r="F139" s="294">
        <v>44.0</v>
      </c>
      <c r="G139" s="294" t="s">
        <v>476</v>
      </c>
      <c r="H139" s="294" t="s">
        <v>2658</v>
      </c>
      <c r="I139" s="295">
        <v>9.605314351E9</v>
      </c>
      <c r="J139" s="54">
        <v>29.0</v>
      </c>
      <c r="K139" s="55">
        <v>23.0</v>
      </c>
      <c r="L139" s="55">
        <v>0.0</v>
      </c>
      <c r="M139" s="55">
        <v>3.0</v>
      </c>
      <c r="N139" s="43">
        <f t="shared" si="7"/>
        <v>3</v>
      </c>
      <c r="O139" s="55">
        <v>1.0</v>
      </c>
      <c r="P139" s="55">
        <v>3.0</v>
      </c>
      <c r="Q139" s="43">
        <f t="shared" si="9"/>
        <v>7</v>
      </c>
      <c r="R139" s="43"/>
      <c r="S139" s="43"/>
      <c r="T139" s="43"/>
      <c r="U139" s="43"/>
      <c r="V139" s="43"/>
      <c r="W139" s="56" t="s">
        <v>46</v>
      </c>
      <c r="Z139" s="61"/>
      <c r="AA139" s="61"/>
      <c r="AB139" s="66"/>
      <c r="AC139" s="34"/>
      <c r="AD139" s="34"/>
    </row>
    <row r="140" ht="13.5" customHeight="1">
      <c r="A140" s="28">
        <v>134.0</v>
      </c>
      <c r="B140" s="291" t="s">
        <v>3591</v>
      </c>
      <c r="C140" s="292" t="s">
        <v>3592</v>
      </c>
      <c r="D140" s="292" t="s">
        <v>2247</v>
      </c>
      <c r="E140" s="293" t="s">
        <v>338</v>
      </c>
      <c r="F140" s="294">
        <v>35.0</v>
      </c>
      <c r="G140" s="294" t="s">
        <v>476</v>
      </c>
      <c r="H140" s="294" t="s">
        <v>480</v>
      </c>
      <c r="I140" s="295">
        <v>9.127456958E9</v>
      </c>
      <c r="J140" s="54">
        <v>27.0</v>
      </c>
      <c r="K140" s="55">
        <v>19.0</v>
      </c>
      <c r="L140" s="55">
        <v>1.0</v>
      </c>
      <c r="M140" s="55">
        <v>6.0</v>
      </c>
      <c r="N140" s="43">
        <f t="shared" si="7"/>
        <v>7</v>
      </c>
      <c r="O140" s="55">
        <v>5.0</v>
      </c>
      <c r="P140" s="55">
        <v>1.0</v>
      </c>
      <c r="Q140" s="43">
        <f t="shared" si="9"/>
        <v>13</v>
      </c>
      <c r="R140" s="43"/>
      <c r="S140" s="43"/>
      <c r="T140" s="43"/>
      <c r="U140" s="43"/>
      <c r="V140" s="43"/>
      <c r="W140" s="56" t="s">
        <v>46</v>
      </c>
      <c r="Z140" s="61"/>
      <c r="AA140" s="61"/>
      <c r="AB140" s="66"/>
      <c r="AC140" s="34"/>
      <c r="AD140" s="34"/>
    </row>
    <row r="141" ht="13.5" customHeight="1">
      <c r="A141" s="28">
        <v>135.0</v>
      </c>
      <c r="B141" s="291" t="s">
        <v>3593</v>
      </c>
      <c r="C141" s="292" t="s">
        <v>3594</v>
      </c>
      <c r="D141" s="292" t="s">
        <v>341</v>
      </c>
      <c r="E141" s="293" t="s">
        <v>338</v>
      </c>
      <c r="F141" s="294">
        <v>31.0</v>
      </c>
      <c r="G141" s="294" t="s">
        <v>476</v>
      </c>
      <c r="H141" s="294" t="s">
        <v>2658</v>
      </c>
      <c r="I141" s="295">
        <v>9.650380263E9</v>
      </c>
      <c r="J141" s="54">
        <v>11.0</v>
      </c>
      <c r="K141" s="55">
        <v>3.0</v>
      </c>
      <c r="L141" s="55">
        <v>0.0</v>
      </c>
      <c r="M141" s="55">
        <v>2.0</v>
      </c>
      <c r="N141" s="43">
        <f t="shared" si="7"/>
        <v>2</v>
      </c>
      <c r="O141" s="55">
        <v>22.0</v>
      </c>
      <c r="P141" s="55">
        <v>6.0</v>
      </c>
      <c r="Q141" s="43">
        <f t="shared" si="9"/>
        <v>30</v>
      </c>
      <c r="R141" s="43"/>
      <c r="S141" s="55" t="s">
        <v>237</v>
      </c>
      <c r="T141" s="43"/>
      <c r="U141" s="43"/>
      <c r="V141" s="43"/>
      <c r="W141" s="56" t="s">
        <v>46</v>
      </c>
      <c r="Z141" s="61"/>
      <c r="AA141" s="61"/>
      <c r="AB141" s="66"/>
      <c r="AC141" s="34"/>
      <c r="AD141" s="34"/>
    </row>
    <row r="142" ht="13.5" customHeight="1">
      <c r="A142" s="28">
        <v>136.0</v>
      </c>
      <c r="B142" s="291" t="s">
        <v>3595</v>
      </c>
      <c r="C142" s="292" t="s">
        <v>3596</v>
      </c>
      <c r="D142" s="292" t="s">
        <v>3597</v>
      </c>
      <c r="E142" s="293" t="s">
        <v>338</v>
      </c>
      <c r="F142" s="294">
        <v>51.0</v>
      </c>
      <c r="G142" s="294" t="s">
        <v>476</v>
      </c>
      <c r="H142" s="294" t="s">
        <v>480</v>
      </c>
      <c r="I142" s="295">
        <v>9.212240643E9</v>
      </c>
      <c r="J142" s="54">
        <v>26.0</v>
      </c>
      <c r="K142" s="55">
        <v>28.0</v>
      </c>
      <c r="L142" s="55">
        <v>0.0</v>
      </c>
      <c r="M142" s="55">
        <v>0.0</v>
      </c>
      <c r="N142" s="43">
        <f t="shared" si="7"/>
        <v>0</v>
      </c>
      <c r="O142" s="55">
        <v>6.0</v>
      </c>
      <c r="P142" s="55">
        <v>7.0</v>
      </c>
      <c r="Q142" s="43">
        <f t="shared" si="9"/>
        <v>13</v>
      </c>
      <c r="R142" s="43"/>
      <c r="S142" s="43"/>
      <c r="T142" s="43"/>
      <c r="U142" s="43"/>
      <c r="V142" s="43"/>
      <c r="W142" s="56" t="s">
        <v>46</v>
      </c>
      <c r="Z142" s="61"/>
      <c r="AA142" s="61"/>
      <c r="AB142" s="66"/>
      <c r="AC142" s="34"/>
      <c r="AD142" s="34"/>
    </row>
    <row r="143" ht="13.5" customHeight="1">
      <c r="A143" s="28">
        <v>137.0</v>
      </c>
      <c r="B143" s="291" t="s">
        <v>3598</v>
      </c>
      <c r="C143" s="292" t="s">
        <v>3599</v>
      </c>
      <c r="D143" s="292" t="s">
        <v>3600</v>
      </c>
      <c r="E143" s="293" t="s">
        <v>338</v>
      </c>
      <c r="F143" s="294">
        <v>30.0</v>
      </c>
      <c r="G143" s="294" t="s">
        <v>584</v>
      </c>
      <c r="H143" s="294" t="s">
        <v>2672</v>
      </c>
      <c r="I143" s="295">
        <v>9.319367858E9</v>
      </c>
      <c r="J143" s="54">
        <v>29.0</v>
      </c>
      <c r="K143" s="55">
        <v>21.0</v>
      </c>
      <c r="L143" s="55">
        <v>0.0</v>
      </c>
      <c r="M143" s="55">
        <v>6.0</v>
      </c>
      <c r="N143" s="43">
        <f t="shared" si="7"/>
        <v>6</v>
      </c>
      <c r="O143" s="55">
        <v>2.0</v>
      </c>
      <c r="P143" s="55">
        <v>2.0</v>
      </c>
      <c r="Q143" s="43">
        <f t="shared" si="9"/>
        <v>10</v>
      </c>
      <c r="R143" s="43"/>
      <c r="S143" s="43"/>
      <c r="T143" s="43"/>
      <c r="U143" s="43"/>
      <c r="V143" s="43"/>
      <c r="W143" s="56" t="s">
        <v>46</v>
      </c>
      <c r="Z143" s="61"/>
      <c r="AA143" s="61"/>
      <c r="AB143" s="66"/>
      <c r="AC143" s="34"/>
      <c r="AD143" s="34"/>
    </row>
    <row r="144" ht="13.5" customHeight="1">
      <c r="A144" s="28">
        <v>138.0</v>
      </c>
      <c r="B144" s="291" t="s">
        <v>3601</v>
      </c>
      <c r="C144" s="292" t="s">
        <v>1765</v>
      </c>
      <c r="D144" s="292" t="s">
        <v>1710</v>
      </c>
      <c r="E144" s="293" t="s">
        <v>338</v>
      </c>
      <c r="F144" s="294">
        <v>50.0</v>
      </c>
      <c r="G144" s="294" t="s">
        <v>476</v>
      </c>
      <c r="H144" s="294" t="s">
        <v>480</v>
      </c>
      <c r="I144" s="295">
        <v>9.354248256E9</v>
      </c>
      <c r="J144" s="54">
        <v>27.0</v>
      </c>
      <c r="K144" s="55">
        <v>24.0</v>
      </c>
      <c r="L144" s="55">
        <v>1.0</v>
      </c>
      <c r="M144" s="55">
        <v>1.0</v>
      </c>
      <c r="N144" s="43">
        <f t="shared" si="7"/>
        <v>2</v>
      </c>
      <c r="O144" s="55">
        <v>5.0</v>
      </c>
      <c r="P144" s="55">
        <v>1.0</v>
      </c>
      <c r="Q144" s="43">
        <f t="shared" si="9"/>
        <v>8</v>
      </c>
      <c r="R144" s="43"/>
      <c r="S144" s="43"/>
      <c r="T144" s="43"/>
      <c r="U144" s="43"/>
      <c r="V144" s="43"/>
      <c r="W144" s="56" t="s">
        <v>46</v>
      </c>
      <c r="Z144" s="61"/>
      <c r="AA144" s="61"/>
      <c r="AB144" s="66"/>
      <c r="AC144" s="34"/>
      <c r="AD144" s="34"/>
    </row>
    <row r="145" ht="13.5" customHeight="1">
      <c r="A145" s="28">
        <v>139.0</v>
      </c>
      <c r="B145" s="317" t="s">
        <v>1278</v>
      </c>
      <c r="C145" s="292" t="s">
        <v>3602</v>
      </c>
      <c r="D145" s="325" t="s">
        <v>3603</v>
      </c>
      <c r="E145" s="293" t="s">
        <v>338</v>
      </c>
      <c r="F145" s="294">
        <v>32.0</v>
      </c>
      <c r="G145" s="294" t="s">
        <v>476</v>
      </c>
      <c r="H145" s="294" t="s">
        <v>480</v>
      </c>
      <c r="I145" s="295">
        <v>9.060371112E9</v>
      </c>
      <c r="J145" s="54">
        <v>28.0</v>
      </c>
      <c r="K145" s="55">
        <v>26.0</v>
      </c>
      <c r="L145" s="55">
        <v>0.0</v>
      </c>
      <c r="M145" s="55">
        <v>0.0</v>
      </c>
      <c r="N145" s="43">
        <f t="shared" si="7"/>
        <v>0</v>
      </c>
      <c r="O145" s="55">
        <v>4.0</v>
      </c>
      <c r="P145" s="55">
        <v>1.0</v>
      </c>
      <c r="Q145" s="43">
        <f t="shared" si="9"/>
        <v>5</v>
      </c>
      <c r="R145" s="43"/>
      <c r="S145" s="55" t="s">
        <v>277</v>
      </c>
      <c r="T145" s="43"/>
      <c r="U145" s="43"/>
      <c r="V145" s="308"/>
      <c r="W145" s="56" t="s">
        <v>46</v>
      </c>
      <c r="Z145" s="61"/>
      <c r="AA145" s="61"/>
      <c r="AB145" s="66"/>
      <c r="AC145" s="34"/>
      <c r="AD145" s="34"/>
    </row>
    <row r="146" ht="13.5" customHeight="1">
      <c r="A146" s="28">
        <v>140.0</v>
      </c>
      <c r="B146" s="291" t="s">
        <v>3604</v>
      </c>
      <c r="C146" s="292" t="s">
        <v>984</v>
      </c>
      <c r="D146" s="292" t="s">
        <v>3605</v>
      </c>
      <c r="E146" s="293" t="s">
        <v>338</v>
      </c>
      <c r="F146" s="294">
        <v>40.0</v>
      </c>
      <c r="G146" s="294" t="s">
        <v>476</v>
      </c>
      <c r="H146" s="294" t="s">
        <v>480</v>
      </c>
      <c r="I146" s="295">
        <v>9.074209664E9</v>
      </c>
      <c r="J146" s="54">
        <v>19.0</v>
      </c>
      <c r="K146" s="55">
        <v>7.0</v>
      </c>
      <c r="L146" s="55">
        <v>1.0</v>
      </c>
      <c r="M146" s="55">
        <v>9.0</v>
      </c>
      <c r="N146" s="43">
        <f t="shared" si="7"/>
        <v>10</v>
      </c>
      <c r="O146" s="55">
        <v>13.0</v>
      </c>
      <c r="P146" s="55">
        <v>2.0</v>
      </c>
      <c r="Q146" s="43">
        <f t="shared" si="9"/>
        <v>25</v>
      </c>
      <c r="R146" s="43"/>
      <c r="S146" s="43"/>
      <c r="T146" s="43"/>
      <c r="U146" s="55" t="s">
        <v>101</v>
      </c>
      <c r="V146" s="55" t="s">
        <v>3606</v>
      </c>
      <c r="W146" s="56" t="s">
        <v>46</v>
      </c>
      <c r="Z146" s="61"/>
      <c r="AA146" s="61"/>
      <c r="AB146" s="66"/>
      <c r="AC146" s="34"/>
      <c r="AD146" s="34"/>
    </row>
    <row r="147" ht="13.5" customHeight="1">
      <c r="A147" s="28">
        <v>141.0</v>
      </c>
      <c r="B147" s="291" t="s">
        <v>3607</v>
      </c>
      <c r="C147" s="292" t="s">
        <v>3608</v>
      </c>
      <c r="D147" s="292" t="s">
        <v>3609</v>
      </c>
      <c r="E147" s="293" t="s">
        <v>338</v>
      </c>
      <c r="F147" s="294">
        <v>42.0</v>
      </c>
      <c r="G147" s="294" t="s">
        <v>476</v>
      </c>
      <c r="H147" s="294" t="s">
        <v>2672</v>
      </c>
      <c r="I147" s="295">
        <v>9.474310617E9</v>
      </c>
      <c r="J147" s="54">
        <v>23.0</v>
      </c>
      <c r="K147" s="55">
        <v>19.0</v>
      </c>
      <c r="L147" s="55">
        <v>0.0</v>
      </c>
      <c r="M147" s="55">
        <v>1.0</v>
      </c>
      <c r="N147" s="43">
        <f t="shared" si="7"/>
        <v>1</v>
      </c>
      <c r="O147" s="55">
        <v>9.0</v>
      </c>
      <c r="P147" s="55">
        <v>5.0</v>
      </c>
      <c r="Q147" s="43">
        <f t="shared" si="9"/>
        <v>15</v>
      </c>
      <c r="R147" s="43"/>
      <c r="S147" s="55" t="s">
        <v>3610</v>
      </c>
      <c r="T147" s="43"/>
      <c r="U147" s="43"/>
      <c r="V147" s="308"/>
      <c r="W147" s="56" t="s">
        <v>46</v>
      </c>
      <c r="Z147" s="61"/>
      <c r="AA147" s="61"/>
      <c r="AB147" s="66"/>
      <c r="AC147" s="34"/>
      <c r="AD147" s="34"/>
    </row>
    <row r="148" ht="13.5" customHeight="1">
      <c r="A148" s="28">
        <v>142.0</v>
      </c>
      <c r="B148" s="291" t="s">
        <v>2440</v>
      </c>
      <c r="C148" s="292" t="s">
        <v>3611</v>
      </c>
      <c r="D148" s="292" t="s">
        <v>3612</v>
      </c>
      <c r="E148" s="293" t="s">
        <v>338</v>
      </c>
      <c r="F148" s="294">
        <v>51.0</v>
      </c>
      <c r="G148" s="294" t="s">
        <v>584</v>
      </c>
      <c r="H148" s="294" t="s">
        <v>2658</v>
      </c>
      <c r="I148" s="295">
        <v>9.397165932E9</v>
      </c>
      <c r="J148" s="54">
        <v>28.0</v>
      </c>
      <c r="K148" s="55">
        <v>21.0</v>
      </c>
      <c r="L148" s="55">
        <v>0.0</v>
      </c>
      <c r="M148" s="55">
        <v>1.0</v>
      </c>
      <c r="N148" s="43">
        <f t="shared" si="7"/>
        <v>1</v>
      </c>
      <c r="O148" s="55">
        <v>4.0</v>
      </c>
      <c r="P148" s="55">
        <v>6.0</v>
      </c>
      <c r="Q148" s="43">
        <f t="shared" si="9"/>
        <v>11</v>
      </c>
      <c r="R148" s="43"/>
      <c r="S148" s="43"/>
      <c r="T148" s="43"/>
      <c r="U148" s="43"/>
      <c r="V148" s="43"/>
      <c r="W148" s="56" t="s">
        <v>46</v>
      </c>
      <c r="Z148" s="61"/>
      <c r="AA148" s="61"/>
      <c r="AB148" s="66"/>
      <c r="AC148" s="34"/>
      <c r="AD148" s="34"/>
    </row>
    <row r="149" ht="13.5" customHeight="1">
      <c r="A149" s="28">
        <v>143.0</v>
      </c>
      <c r="B149" s="291" t="s">
        <v>3613</v>
      </c>
      <c r="C149" s="292" t="s">
        <v>3614</v>
      </c>
      <c r="D149" s="292" t="s">
        <v>3615</v>
      </c>
      <c r="E149" s="293" t="s">
        <v>338</v>
      </c>
      <c r="F149" s="294">
        <v>36.0</v>
      </c>
      <c r="G149" s="294" t="s">
        <v>476</v>
      </c>
      <c r="H149" s="294" t="s">
        <v>2658</v>
      </c>
      <c r="I149" s="295">
        <v>9.915068801E9</v>
      </c>
      <c r="J149" s="54">
        <v>29.0</v>
      </c>
      <c r="K149" s="55">
        <v>23.0</v>
      </c>
      <c r="L149" s="55">
        <v>1.0</v>
      </c>
      <c r="M149" s="55">
        <v>1.0</v>
      </c>
      <c r="N149" s="43">
        <f t="shared" si="7"/>
        <v>2</v>
      </c>
      <c r="O149" s="55">
        <v>3.0</v>
      </c>
      <c r="P149" s="55">
        <v>4.0</v>
      </c>
      <c r="Q149" s="43">
        <f t="shared" si="9"/>
        <v>9</v>
      </c>
      <c r="R149" s="43"/>
      <c r="S149" s="43"/>
      <c r="T149" s="43"/>
      <c r="U149" s="43"/>
      <c r="V149" s="43"/>
      <c r="W149" s="56" t="s">
        <v>46</v>
      </c>
      <c r="Z149" s="61"/>
      <c r="AA149" s="61"/>
      <c r="AB149" s="66"/>
      <c r="AC149" s="34"/>
      <c r="AD149" s="34"/>
    </row>
    <row r="150" ht="13.5" customHeight="1">
      <c r="A150" s="28">
        <v>144.0</v>
      </c>
      <c r="B150" s="291" t="s">
        <v>3616</v>
      </c>
      <c r="C150" s="292" t="s">
        <v>3617</v>
      </c>
      <c r="D150" s="292" t="s">
        <v>3618</v>
      </c>
      <c r="E150" s="293" t="s">
        <v>338</v>
      </c>
      <c r="F150" s="294">
        <v>43.0</v>
      </c>
      <c r="G150" s="294" t="s">
        <v>476</v>
      </c>
      <c r="H150" s="294" t="s">
        <v>2672</v>
      </c>
      <c r="I150" s="295">
        <v>9.666914879E9</v>
      </c>
      <c r="J150" s="54">
        <v>24.0</v>
      </c>
      <c r="K150" s="55">
        <v>9.0</v>
      </c>
      <c r="L150" s="55">
        <v>2.0</v>
      </c>
      <c r="M150" s="55">
        <v>8.0</v>
      </c>
      <c r="N150" s="43">
        <f t="shared" si="7"/>
        <v>10</v>
      </c>
      <c r="O150" s="55">
        <v>8.0</v>
      </c>
      <c r="P150" s="55">
        <v>5.0</v>
      </c>
      <c r="Q150" s="43">
        <f t="shared" si="9"/>
        <v>23</v>
      </c>
      <c r="R150" s="43"/>
      <c r="S150" s="55" t="s">
        <v>88</v>
      </c>
      <c r="T150" s="43"/>
      <c r="U150" s="43"/>
      <c r="V150" s="43"/>
      <c r="W150" s="56" t="s">
        <v>46</v>
      </c>
      <c r="Z150" s="61"/>
      <c r="AA150" s="61"/>
      <c r="AB150" s="66"/>
      <c r="AC150" s="34"/>
      <c r="AD150" s="34"/>
    </row>
    <row r="151" ht="13.5" customHeight="1">
      <c r="A151" s="28">
        <v>145.0</v>
      </c>
      <c r="B151" s="291" t="s">
        <v>3619</v>
      </c>
      <c r="C151" s="292" t="s">
        <v>1731</v>
      </c>
      <c r="D151" s="292" t="s">
        <v>1214</v>
      </c>
      <c r="E151" s="293" t="s">
        <v>338</v>
      </c>
      <c r="F151" s="294">
        <v>45.0</v>
      </c>
      <c r="G151" s="294" t="s">
        <v>476</v>
      </c>
      <c r="H151" s="294" t="s">
        <v>480</v>
      </c>
      <c r="I151" s="295">
        <v>9.68499237E9</v>
      </c>
      <c r="J151" s="54">
        <v>27.0</v>
      </c>
      <c r="K151" s="55">
        <v>25.0</v>
      </c>
      <c r="L151" s="55">
        <v>0.0</v>
      </c>
      <c r="M151" s="55">
        <v>0.0</v>
      </c>
      <c r="N151" s="43">
        <f t="shared" si="7"/>
        <v>0</v>
      </c>
      <c r="O151" s="55">
        <v>2.0</v>
      </c>
      <c r="P151" s="55">
        <v>2.0</v>
      </c>
      <c r="Q151" s="43">
        <f t="shared" si="9"/>
        <v>4</v>
      </c>
      <c r="R151" s="43"/>
      <c r="S151" s="43"/>
      <c r="T151" s="43"/>
      <c r="U151" s="43"/>
      <c r="V151" s="43"/>
      <c r="W151" s="56" t="s">
        <v>46</v>
      </c>
      <c r="Z151" s="61"/>
      <c r="AA151" s="61"/>
      <c r="AB151" s="66"/>
      <c r="AC151" s="34"/>
      <c r="AD151" s="34"/>
    </row>
    <row r="152" ht="13.5" customHeight="1">
      <c r="A152" s="28">
        <v>146.0</v>
      </c>
      <c r="B152" s="291" t="s">
        <v>3620</v>
      </c>
      <c r="C152" s="292" t="s">
        <v>3621</v>
      </c>
      <c r="D152" s="292" t="s">
        <v>3622</v>
      </c>
      <c r="E152" s="293" t="s">
        <v>338</v>
      </c>
      <c r="F152" s="294">
        <v>31.0</v>
      </c>
      <c r="G152" s="294" t="s">
        <v>476</v>
      </c>
      <c r="H152" s="294" t="s">
        <v>480</v>
      </c>
      <c r="I152" s="295">
        <v>9.17979419E9</v>
      </c>
      <c r="J152" s="42"/>
      <c r="K152" s="43"/>
      <c r="L152" s="43"/>
      <c r="M152" s="43"/>
      <c r="N152" s="43">
        <f t="shared" si="7"/>
        <v>0</v>
      </c>
      <c r="O152" s="43"/>
      <c r="P152" s="43"/>
      <c r="Q152" s="43">
        <f t="shared" si="9"/>
        <v>0</v>
      </c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291" t="s">
        <v>3623</v>
      </c>
      <c r="C153" s="292" t="s">
        <v>3624</v>
      </c>
      <c r="D153" s="292" t="s">
        <v>3623</v>
      </c>
      <c r="E153" s="293" t="s">
        <v>338</v>
      </c>
      <c r="F153" s="294">
        <v>28.0</v>
      </c>
      <c r="G153" s="294" t="s">
        <v>584</v>
      </c>
      <c r="H153" s="294" t="s">
        <v>480</v>
      </c>
      <c r="I153" s="295">
        <v>9.278534375E9</v>
      </c>
      <c r="J153" s="54">
        <v>27.0</v>
      </c>
      <c r="K153" s="55">
        <v>25.0</v>
      </c>
      <c r="L153" s="55">
        <v>0.0</v>
      </c>
      <c r="M153" s="55">
        <v>0.0</v>
      </c>
      <c r="N153" s="43">
        <f t="shared" si="7"/>
        <v>0</v>
      </c>
      <c r="O153" s="55">
        <v>5.0</v>
      </c>
      <c r="P153" s="55">
        <v>0.0</v>
      </c>
      <c r="Q153" s="43">
        <f t="shared" si="9"/>
        <v>5</v>
      </c>
      <c r="R153" s="43"/>
      <c r="S153" s="43"/>
      <c r="T153" s="43"/>
      <c r="U153" s="43"/>
      <c r="V153" s="43"/>
      <c r="W153" s="56" t="s">
        <v>46</v>
      </c>
      <c r="Z153" s="61"/>
      <c r="AA153" s="61"/>
      <c r="AB153" s="66"/>
      <c r="AC153" s="34"/>
      <c r="AD153" s="34"/>
    </row>
    <row r="154" ht="13.5" customHeight="1">
      <c r="A154" s="28">
        <v>148.0</v>
      </c>
      <c r="B154" s="309" t="s">
        <v>945</v>
      </c>
      <c r="C154" s="310" t="s">
        <v>1996</v>
      </c>
      <c r="D154" s="310" t="s">
        <v>3625</v>
      </c>
      <c r="E154" s="311" t="s">
        <v>338</v>
      </c>
      <c r="F154" s="312">
        <v>32.0</v>
      </c>
      <c r="G154" s="294" t="s">
        <v>584</v>
      </c>
      <c r="H154" s="294" t="s">
        <v>480</v>
      </c>
      <c r="I154" s="314">
        <v>9.814460505E9</v>
      </c>
      <c r="J154" s="42"/>
      <c r="K154" s="43"/>
      <c r="L154" s="43"/>
      <c r="M154" s="43"/>
      <c r="N154" s="43">
        <f t="shared" si="7"/>
        <v>0</v>
      </c>
      <c r="O154" s="43"/>
      <c r="P154" s="43"/>
      <c r="Q154" s="43">
        <f t="shared" si="9"/>
        <v>0</v>
      </c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291" t="s">
        <v>1586</v>
      </c>
      <c r="C155" s="292" t="s">
        <v>3626</v>
      </c>
      <c r="D155" s="292" t="s">
        <v>3627</v>
      </c>
      <c r="E155" s="293" t="s">
        <v>338</v>
      </c>
      <c r="F155" s="294">
        <v>33.0</v>
      </c>
      <c r="G155" s="294" t="s">
        <v>476</v>
      </c>
      <c r="H155" s="294" t="s">
        <v>480</v>
      </c>
      <c r="I155" s="295">
        <v>9.666751666E9</v>
      </c>
      <c r="J155" s="54">
        <v>27.0</v>
      </c>
      <c r="K155" s="55">
        <v>27.0</v>
      </c>
      <c r="L155" s="55">
        <v>0.0</v>
      </c>
      <c r="M155" s="55">
        <v>0.0</v>
      </c>
      <c r="N155" s="43">
        <f t="shared" si="7"/>
        <v>0</v>
      </c>
      <c r="O155" s="55">
        <v>5.0</v>
      </c>
      <c r="P155" s="55">
        <v>0.0</v>
      </c>
      <c r="Q155" s="43">
        <f t="shared" si="9"/>
        <v>5</v>
      </c>
      <c r="R155" s="43"/>
      <c r="S155" s="43"/>
      <c r="T155" s="43"/>
      <c r="U155" s="43"/>
      <c r="V155" s="43"/>
      <c r="W155" s="56" t="s">
        <v>46</v>
      </c>
      <c r="Z155" s="61"/>
      <c r="AA155" s="61"/>
      <c r="AB155" s="66"/>
      <c r="AC155" s="34"/>
      <c r="AD155" s="34"/>
    </row>
    <row r="156" ht="13.5" customHeight="1">
      <c r="A156" s="28">
        <v>150.0</v>
      </c>
      <c r="B156" s="303" t="s">
        <v>3628</v>
      </c>
      <c r="C156" s="303" t="s">
        <v>3629</v>
      </c>
      <c r="D156" s="303" t="s">
        <v>3630</v>
      </c>
      <c r="E156" s="326" t="s">
        <v>338</v>
      </c>
      <c r="F156" s="327">
        <v>61.0</v>
      </c>
      <c r="G156" s="294" t="s">
        <v>476</v>
      </c>
      <c r="H156" s="294" t="s">
        <v>2658</v>
      </c>
      <c r="I156" s="295">
        <v>9.68499757E9</v>
      </c>
      <c r="J156" s="54">
        <v>21.0</v>
      </c>
      <c r="K156" s="55">
        <v>16.0</v>
      </c>
      <c r="L156" s="55">
        <v>1.0</v>
      </c>
      <c r="M156" s="55">
        <v>4.0</v>
      </c>
      <c r="N156" s="43">
        <f t="shared" si="7"/>
        <v>5</v>
      </c>
      <c r="O156" s="55">
        <v>11.0</v>
      </c>
      <c r="P156" s="55">
        <v>0.0</v>
      </c>
      <c r="Q156" s="43">
        <f t="shared" si="9"/>
        <v>16</v>
      </c>
      <c r="R156" s="43"/>
      <c r="S156" s="43"/>
      <c r="T156" s="43"/>
      <c r="U156" s="43"/>
      <c r="V156" s="43"/>
      <c r="W156" s="56" t="s">
        <v>46</v>
      </c>
      <c r="Z156" s="61"/>
      <c r="AA156" s="61"/>
      <c r="AB156" s="66"/>
      <c r="AC156" s="34"/>
      <c r="AD156" s="34"/>
    </row>
    <row r="157" ht="13.5" customHeight="1">
      <c r="A157" s="28">
        <v>151.0</v>
      </c>
      <c r="B157" s="303" t="s">
        <v>3631</v>
      </c>
      <c r="C157" s="303" t="s">
        <v>3632</v>
      </c>
      <c r="D157" s="303" t="s">
        <v>3620</v>
      </c>
      <c r="E157" s="326" t="s">
        <v>338</v>
      </c>
      <c r="F157" s="327">
        <v>44.0</v>
      </c>
      <c r="G157" s="294" t="s">
        <v>476</v>
      </c>
      <c r="H157" s="294" t="s">
        <v>2625</v>
      </c>
      <c r="I157" s="307">
        <v>9.193307862E9</v>
      </c>
      <c r="J157" s="54">
        <v>29.0</v>
      </c>
      <c r="K157" s="55">
        <v>0.0</v>
      </c>
      <c r="L157" s="55">
        <v>0.0</v>
      </c>
      <c r="M157" s="55">
        <v>0.0</v>
      </c>
      <c r="N157" s="43">
        <f t="shared" si="7"/>
        <v>0</v>
      </c>
      <c r="O157" s="55">
        <v>3.0</v>
      </c>
      <c r="P157" s="55">
        <v>1.0</v>
      </c>
      <c r="Q157" s="43">
        <f t="shared" si="9"/>
        <v>4</v>
      </c>
      <c r="R157" s="43"/>
      <c r="S157" s="43"/>
      <c r="T157" s="43"/>
      <c r="U157" s="43"/>
      <c r="V157" s="43"/>
      <c r="W157" s="56" t="s">
        <v>46</v>
      </c>
      <c r="Z157" s="61"/>
      <c r="AA157" s="61"/>
      <c r="AB157" s="66"/>
      <c r="AC157" s="34"/>
      <c r="AD157" s="34"/>
    </row>
    <row r="158" ht="13.5" customHeight="1">
      <c r="A158" s="28">
        <v>152.0</v>
      </c>
      <c r="B158" s="303" t="s">
        <v>3631</v>
      </c>
      <c r="C158" s="303" t="s">
        <v>1126</v>
      </c>
      <c r="D158" s="303" t="s">
        <v>3633</v>
      </c>
      <c r="E158" s="326" t="s">
        <v>338</v>
      </c>
      <c r="F158" s="327">
        <v>40.0</v>
      </c>
      <c r="G158" s="327" t="s">
        <v>584</v>
      </c>
      <c r="H158" s="294" t="s">
        <v>2658</v>
      </c>
      <c r="I158" s="307">
        <v>9.198713643E9</v>
      </c>
      <c r="J158" s="54">
        <v>12.0</v>
      </c>
      <c r="K158" s="55">
        <v>9.0</v>
      </c>
      <c r="L158" s="55">
        <v>2.0</v>
      </c>
      <c r="M158" s="55">
        <v>1.0</v>
      </c>
      <c r="N158" s="43">
        <f t="shared" si="7"/>
        <v>3</v>
      </c>
      <c r="O158" s="55">
        <v>20.0</v>
      </c>
      <c r="P158" s="55">
        <v>0.0</v>
      </c>
      <c r="Q158" s="43">
        <f t="shared" si="9"/>
        <v>23</v>
      </c>
      <c r="R158" s="43"/>
      <c r="S158" s="55" t="s">
        <v>79</v>
      </c>
      <c r="T158" s="43"/>
      <c r="U158" s="43"/>
      <c r="V158" s="43"/>
      <c r="W158" s="56" t="s">
        <v>46</v>
      </c>
      <c r="Z158" s="34"/>
      <c r="AA158" s="34"/>
      <c r="AB158" s="34"/>
      <c r="AC158" s="34"/>
      <c r="AD158" s="34"/>
    </row>
    <row r="159" ht="13.5" customHeight="1">
      <c r="A159" s="28">
        <v>153.0</v>
      </c>
      <c r="B159" s="303" t="s">
        <v>3634</v>
      </c>
      <c r="C159" s="303" t="s">
        <v>2744</v>
      </c>
      <c r="D159" s="303" t="s">
        <v>3331</v>
      </c>
      <c r="E159" s="326" t="s">
        <v>338</v>
      </c>
      <c r="F159" s="327">
        <v>60.0</v>
      </c>
      <c r="G159" s="327" t="s">
        <v>476</v>
      </c>
      <c r="H159" s="294" t="s">
        <v>2658</v>
      </c>
      <c r="I159" s="307">
        <v>9.155112237E9</v>
      </c>
      <c r="J159" s="42"/>
      <c r="K159" s="43"/>
      <c r="L159" s="43"/>
      <c r="M159" s="43"/>
      <c r="N159" s="43">
        <f t="shared" si="7"/>
        <v>0</v>
      </c>
      <c r="O159" s="43"/>
      <c r="P159" s="43"/>
      <c r="Q159" s="43">
        <f t="shared" si="9"/>
        <v>0</v>
      </c>
      <c r="R159" s="43"/>
      <c r="S159" s="43"/>
      <c r="T159" s="43"/>
      <c r="U159" s="43"/>
      <c r="V159" s="43"/>
      <c r="W159" s="44"/>
      <c r="Z159" s="34"/>
      <c r="AA159" s="34"/>
      <c r="AB159" s="34"/>
      <c r="AC159" s="34"/>
      <c r="AD159" s="34"/>
    </row>
    <row r="160" ht="13.5" customHeight="1">
      <c r="A160" s="28">
        <v>154.0</v>
      </c>
      <c r="B160" s="303" t="s">
        <v>1326</v>
      </c>
      <c r="C160" s="303" t="s">
        <v>3635</v>
      </c>
      <c r="D160" s="303" t="s">
        <v>3636</v>
      </c>
      <c r="E160" s="326" t="s">
        <v>338</v>
      </c>
      <c r="F160" s="327">
        <v>41.0</v>
      </c>
      <c r="G160" s="327" t="s">
        <v>584</v>
      </c>
      <c r="H160" s="294" t="s">
        <v>2625</v>
      </c>
      <c r="I160" s="307">
        <v>9.561455022E9</v>
      </c>
      <c r="J160" s="54">
        <v>28.0</v>
      </c>
      <c r="K160" s="55">
        <v>24.0</v>
      </c>
      <c r="L160" s="55">
        <v>0.0</v>
      </c>
      <c r="M160" s="55">
        <v>3.0</v>
      </c>
      <c r="N160" s="43">
        <f t="shared" si="7"/>
        <v>3</v>
      </c>
      <c r="O160" s="55">
        <v>4.0</v>
      </c>
      <c r="P160" s="55">
        <v>1.0</v>
      </c>
      <c r="Q160" s="43">
        <f t="shared" si="9"/>
        <v>8</v>
      </c>
      <c r="R160" s="43"/>
      <c r="S160" s="43"/>
      <c r="T160" s="43"/>
      <c r="U160" s="43"/>
      <c r="V160" s="43"/>
      <c r="W160" s="56" t="s">
        <v>46</v>
      </c>
      <c r="Z160" s="34"/>
      <c r="AA160" s="34"/>
      <c r="AB160" s="34"/>
      <c r="AC160" s="34"/>
      <c r="AD160" s="34"/>
    </row>
    <row r="161" ht="13.5" customHeight="1">
      <c r="A161" s="28">
        <v>155.0</v>
      </c>
      <c r="B161" s="303" t="s">
        <v>3637</v>
      </c>
      <c r="C161" s="303" t="s">
        <v>336</v>
      </c>
      <c r="D161" s="303" t="s">
        <v>2505</v>
      </c>
      <c r="E161" s="326" t="s">
        <v>338</v>
      </c>
      <c r="F161" s="327">
        <v>39.0</v>
      </c>
      <c r="G161" s="327" t="s">
        <v>476</v>
      </c>
      <c r="H161" s="294" t="s">
        <v>2658</v>
      </c>
      <c r="I161" s="307">
        <v>9.167797209E9</v>
      </c>
      <c r="J161" s="54">
        <v>32.0</v>
      </c>
      <c r="K161" s="55">
        <v>28.0</v>
      </c>
      <c r="L161" s="55">
        <v>0.0</v>
      </c>
      <c r="M161" s="55">
        <v>0.0</v>
      </c>
      <c r="N161" s="43">
        <f t="shared" si="7"/>
        <v>0</v>
      </c>
      <c r="O161" s="55">
        <v>0.0</v>
      </c>
      <c r="P161" s="55">
        <v>4.0</v>
      </c>
      <c r="Q161" s="43">
        <f t="shared" si="9"/>
        <v>4</v>
      </c>
      <c r="R161" s="43"/>
      <c r="S161" s="43"/>
      <c r="T161" s="43"/>
      <c r="U161" s="43"/>
      <c r="V161" s="43"/>
      <c r="W161" s="56" t="s">
        <v>46</v>
      </c>
      <c r="Z161" s="34"/>
      <c r="AA161" s="34"/>
      <c r="AB161" s="34"/>
      <c r="AC161" s="34"/>
      <c r="AD161" s="34"/>
    </row>
    <row r="162" ht="13.5" customHeight="1">
      <c r="A162" s="28">
        <v>156.0</v>
      </c>
      <c r="B162" s="303" t="s">
        <v>2646</v>
      </c>
      <c r="C162" s="303" t="s">
        <v>3638</v>
      </c>
      <c r="D162" s="303" t="s">
        <v>2631</v>
      </c>
      <c r="E162" s="326" t="s">
        <v>338</v>
      </c>
      <c r="F162" s="327">
        <v>44.0</v>
      </c>
      <c r="G162" s="327" t="s">
        <v>476</v>
      </c>
      <c r="H162" s="294" t="s">
        <v>3338</v>
      </c>
      <c r="I162" s="307">
        <v>9.498253428E9</v>
      </c>
      <c r="J162" s="54">
        <v>24.0</v>
      </c>
      <c r="K162" s="55">
        <v>17.0</v>
      </c>
      <c r="L162" s="55">
        <v>2.0</v>
      </c>
      <c r="M162" s="55">
        <v>5.0</v>
      </c>
      <c r="N162" s="43">
        <f t="shared" si="7"/>
        <v>7</v>
      </c>
      <c r="O162" s="55">
        <v>8.0</v>
      </c>
      <c r="P162" s="43"/>
      <c r="Q162" s="43">
        <f t="shared" si="9"/>
        <v>15</v>
      </c>
      <c r="R162" s="43"/>
      <c r="S162" s="43"/>
      <c r="T162" s="43"/>
      <c r="U162" s="43"/>
      <c r="V162" s="43"/>
      <c r="W162" s="44"/>
      <c r="Z162" s="34"/>
      <c r="AA162" s="34"/>
      <c r="AB162" s="34"/>
      <c r="AC162" s="34"/>
      <c r="AD162" s="34"/>
    </row>
    <row r="163" ht="13.5" customHeight="1">
      <c r="A163" s="28">
        <v>157.0</v>
      </c>
      <c r="B163" s="303" t="s">
        <v>3639</v>
      </c>
      <c r="C163" s="303" t="s">
        <v>390</v>
      </c>
      <c r="D163" s="303" t="s">
        <v>3640</v>
      </c>
      <c r="E163" s="326" t="s">
        <v>338</v>
      </c>
      <c r="F163" s="327">
        <v>38.0</v>
      </c>
      <c r="G163" s="327" t="s">
        <v>476</v>
      </c>
      <c r="H163" s="294" t="s">
        <v>2672</v>
      </c>
      <c r="I163" s="307">
        <v>9.684997573E9</v>
      </c>
      <c r="J163" s="54">
        <v>24.0</v>
      </c>
      <c r="K163" s="55">
        <v>19.0</v>
      </c>
      <c r="L163" s="55">
        <v>0.0</v>
      </c>
      <c r="M163" s="55">
        <v>2.0</v>
      </c>
      <c r="N163" s="43">
        <f t="shared" si="7"/>
        <v>2</v>
      </c>
      <c r="O163" s="55">
        <v>8.0</v>
      </c>
      <c r="P163" s="55">
        <v>3.0</v>
      </c>
      <c r="Q163" s="43">
        <f t="shared" si="9"/>
        <v>13</v>
      </c>
      <c r="R163" s="43"/>
      <c r="S163" s="43"/>
      <c r="T163" s="43"/>
      <c r="U163" s="43"/>
      <c r="V163" s="43"/>
      <c r="W163" s="56" t="s">
        <v>46</v>
      </c>
      <c r="Z163" s="34"/>
      <c r="AA163" s="34"/>
      <c r="AB163" s="34"/>
      <c r="AC163" s="34"/>
      <c r="AD163" s="34"/>
    </row>
    <row r="164" ht="13.5" customHeight="1">
      <c r="A164" s="28">
        <v>158.0</v>
      </c>
      <c r="B164" s="37" t="s">
        <v>3639</v>
      </c>
      <c r="C164" s="37" t="s">
        <v>3641</v>
      </c>
      <c r="D164" s="37" t="s">
        <v>3640</v>
      </c>
      <c r="E164" s="171" t="s">
        <v>338</v>
      </c>
      <c r="F164" s="134">
        <v>29.0</v>
      </c>
      <c r="G164" s="327" t="s">
        <v>476</v>
      </c>
      <c r="H164" s="294" t="s">
        <v>480</v>
      </c>
      <c r="I164" s="307">
        <v>9.756981185E9</v>
      </c>
      <c r="J164" s="328"/>
      <c r="K164" s="43"/>
      <c r="L164" s="43"/>
      <c r="M164" s="43"/>
      <c r="N164" s="43">
        <f t="shared" si="7"/>
        <v>0</v>
      </c>
      <c r="O164" s="43"/>
      <c r="P164" s="43"/>
      <c r="Q164" s="43">
        <f t="shared" si="9"/>
        <v>0</v>
      </c>
      <c r="R164" s="43"/>
      <c r="S164" s="43"/>
      <c r="T164" s="329"/>
      <c r="U164" s="308"/>
      <c r="V164" s="308"/>
      <c r="W164" s="44"/>
      <c r="Z164" s="34"/>
      <c r="AA164" s="34"/>
      <c r="AB164" s="34"/>
      <c r="AC164" s="34"/>
      <c r="AD164" s="34"/>
    </row>
    <row r="165" ht="13.5" customHeight="1">
      <c r="A165" s="330">
        <v>159.0</v>
      </c>
      <c r="B165" s="303" t="s">
        <v>3078</v>
      </c>
      <c r="C165" s="303" t="s">
        <v>1706</v>
      </c>
      <c r="D165" s="303" t="s">
        <v>3642</v>
      </c>
      <c r="E165" s="326" t="s">
        <v>338</v>
      </c>
      <c r="F165" s="327">
        <v>43.0</v>
      </c>
      <c r="G165" s="327" t="s">
        <v>476</v>
      </c>
      <c r="H165" s="294" t="s">
        <v>2625</v>
      </c>
      <c r="I165" s="307">
        <v>9.279163263E9</v>
      </c>
      <c r="J165" s="222">
        <v>16.0</v>
      </c>
      <c r="K165" s="55">
        <v>8.0</v>
      </c>
      <c r="L165" s="55">
        <v>6.0</v>
      </c>
      <c r="M165" s="55">
        <v>2.0</v>
      </c>
      <c r="N165" s="43">
        <v>0.0</v>
      </c>
      <c r="O165" s="55">
        <v>16.0</v>
      </c>
      <c r="P165" s="55">
        <v>0.0</v>
      </c>
      <c r="Q165" s="43">
        <v>0.0</v>
      </c>
      <c r="R165" s="43"/>
      <c r="S165" s="55" t="s">
        <v>88</v>
      </c>
      <c r="T165" s="329"/>
      <c r="U165" s="308"/>
      <c r="V165" s="308"/>
      <c r="W165" s="56" t="s">
        <v>46</v>
      </c>
      <c r="Z165" s="34"/>
      <c r="AA165" s="34"/>
      <c r="AB165" s="34"/>
      <c r="AC165" s="34"/>
      <c r="AD165" s="34"/>
    </row>
    <row r="166" ht="13.5" customHeight="1">
      <c r="A166" s="331">
        <v>160.0</v>
      </c>
      <c r="B166" s="303" t="s">
        <v>3643</v>
      </c>
      <c r="C166" s="303" t="s">
        <v>3644</v>
      </c>
      <c r="D166" s="303" t="s">
        <v>3645</v>
      </c>
      <c r="E166" s="326" t="s">
        <v>338</v>
      </c>
      <c r="F166" s="327">
        <v>45.0</v>
      </c>
      <c r="G166" s="327" t="s">
        <v>476</v>
      </c>
      <c r="H166" s="294" t="s">
        <v>480</v>
      </c>
      <c r="I166" s="307">
        <v>9.762151979E9</v>
      </c>
      <c r="J166" s="222">
        <v>16.0</v>
      </c>
      <c r="K166" s="55">
        <v>8.0</v>
      </c>
      <c r="L166" s="55">
        <v>1.0</v>
      </c>
      <c r="M166" s="55">
        <v>5.0</v>
      </c>
      <c r="N166" s="43">
        <v>0.0</v>
      </c>
      <c r="O166" s="55">
        <v>16.0</v>
      </c>
      <c r="P166" s="55">
        <v>2.0</v>
      </c>
      <c r="Q166" s="43">
        <v>0.0</v>
      </c>
      <c r="R166" s="43"/>
      <c r="S166" s="43"/>
      <c r="T166" s="329"/>
      <c r="U166" s="308"/>
      <c r="V166" s="308"/>
      <c r="W166" s="56" t="s">
        <v>46</v>
      </c>
      <c r="Z166" s="34"/>
      <c r="AA166" s="34"/>
      <c r="AB166" s="34"/>
      <c r="AC166" s="34"/>
      <c r="AD166" s="34"/>
    </row>
    <row r="167" ht="13.5" customHeight="1">
      <c r="A167" s="127"/>
      <c r="B167" s="128"/>
      <c r="C167" s="128"/>
      <c r="D167" s="129"/>
      <c r="E167" s="130"/>
      <c r="F167" s="130"/>
      <c r="G167" s="130"/>
      <c r="H167" s="130"/>
      <c r="I167" s="130"/>
      <c r="J167" s="123">
        <f t="shared" ref="J167:M167" si="10">SUM(J7:J166)</f>
        <v>3482</v>
      </c>
      <c r="K167" s="123">
        <f t="shared" si="10"/>
        <v>2843</v>
      </c>
      <c r="L167" s="123">
        <f t="shared" si="10"/>
        <v>79</v>
      </c>
      <c r="M167" s="123">
        <f t="shared" si="10"/>
        <v>333</v>
      </c>
      <c r="N167" s="123">
        <f>SUM(N7:N163)</f>
        <v>384</v>
      </c>
      <c r="O167" s="123">
        <f t="shared" ref="O167:P167" si="11">SUM(O7:O166)</f>
        <v>910</v>
      </c>
      <c r="P167" s="123">
        <f t="shared" si="11"/>
        <v>307</v>
      </c>
      <c r="Q167" s="123">
        <f>SUM(Q7:Q163)</f>
        <v>1542</v>
      </c>
      <c r="R167" s="124"/>
      <c r="S167" s="124"/>
      <c r="T167" s="125"/>
      <c r="U167" s="145" t="s">
        <v>330</v>
      </c>
      <c r="V167" s="5"/>
      <c r="W167" s="126">
        <f>countif(W7:W166,"YES")</f>
        <v>138</v>
      </c>
      <c r="Z167" s="34"/>
      <c r="AA167" s="34"/>
      <c r="AB167" s="34"/>
      <c r="AC167" s="34"/>
      <c r="AD167" s="34"/>
    </row>
    <row r="168" ht="13.5" customHeight="1"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 t="s">
        <v>331</v>
      </c>
      <c r="W168" s="126"/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B170" s="332" t="s">
        <v>1165</v>
      </c>
      <c r="C170" s="332" t="s">
        <v>3646</v>
      </c>
      <c r="D170" s="332" t="s">
        <v>3647</v>
      </c>
      <c r="E170" s="332" t="s">
        <v>1233</v>
      </c>
      <c r="F170" s="332">
        <v>46.0</v>
      </c>
      <c r="G170" s="332" t="s">
        <v>339</v>
      </c>
      <c r="J170" s="332">
        <v>25.0</v>
      </c>
      <c r="K170" s="332">
        <v>22.0</v>
      </c>
      <c r="L170" s="332">
        <v>0.0</v>
      </c>
      <c r="M170" s="332">
        <v>2.0</v>
      </c>
      <c r="O170" s="332">
        <v>7.0</v>
      </c>
      <c r="P170" s="332">
        <v>0.0</v>
      </c>
      <c r="S170" s="332" t="s">
        <v>237</v>
      </c>
      <c r="V170" s="332" t="s">
        <v>3648</v>
      </c>
      <c r="W170" s="332" t="s">
        <v>46</v>
      </c>
      <c r="Z170" s="34"/>
      <c r="AA170" s="34"/>
      <c r="AB170" s="34"/>
      <c r="AC170" s="34"/>
      <c r="AD170" s="34"/>
    </row>
    <row r="171" ht="13.5" customHeight="1">
      <c r="I171" s="333"/>
      <c r="J171" s="334"/>
      <c r="K171" s="335"/>
      <c r="L171" s="335"/>
      <c r="M171" s="335"/>
      <c r="N171" s="335"/>
      <c r="O171" s="335"/>
      <c r="P171" s="335"/>
      <c r="Q171" s="335"/>
      <c r="S171" s="138"/>
      <c r="Z171" s="34"/>
      <c r="AA171" s="34"/>
      <c r="AB171" s="34"/>
      <c r="AC171" s="34"/>
      <c r="AD171" s="34"/>
    </row>
    <row r="172" ht="13.5" customHeight="1">
      <c r="K172" s="332">
        <v>1.0</v>
      </c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</sheetData>
  <mergeCells count="30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67:V167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66">
      <formula1>"YES,NO"</formula1>
    </dataValidation>
    <dataValidation type="list" allowBlank="1" showErrorMessage="1" sqref="E166:E167">
      <formula1>'Data Dont Use'!$A$8:$A$9</formula1>
    </dataValidation>
    <dataValidation type="list" allowBlank="1" showErrorMessage="1" sqref="G166:G167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3" width="16.75"/>
    <col customWidth="1" min="4" max="4" width="15.0"/>
    <col customWidth="1" min="5" max="5" width="14.25"/>
    <col customWidth="1" min="6" max="6" width="6.88"/>
    <col customWidth="1" min="7" max="7" width="12.38"/>
    <col customWidth="1" min="8" max="8" width="15.13"/>
    <col customWidth="1" min="9" max="9" width="16.13"/>
    <col customWidth="1" min="10" max="10" width="10.5"/>
    <col customWidth="1" min="11" max="11" width="9.63"/>
    <col customWidth="1" min="12" max="12" width="10.38"/>
    <col customWidth="1" min="13" max="13" width="11.13"/>
    <col customWidth="1" min="14" max="14" width="8.63"/>
    <col customWidth="1" min="15" max="15" width="7.0"/>
    <col customWidth="1" min="16" max="16" width="6.5"/>
    <col customWidth="1" min="17" max="18" width="8.63"/>
    <col customWidth="1" min="19" max="19" width="15.63"/>
    <col customWidth="1" min="20" max="21" width="8.63"/>
    <col customWidth="1" min="22" max="22" width="16.8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204" t="s">
        <v>3649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204" t="s">
        <v>3650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225"/>
      <c r="D4" s="18"/>
      <c r="E4" s="18"/>
      <c r="F4" s="18"/>
      <c r="G4" s="18"/>
      <c r="H4" s="18"/>
      <c r="I4" s="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289" t="s">
        <v>3651</v>
      </c>
      <c r="C7" s="336" t="s">
        <v>2774</v>
      </c>
      <c r="D7" s="336" t="s">
        <v>3652</v>
      </c>
      <c r="E7" s="337" t="s">
        <v>338</v>
      </c>
      <c r="F7" s="338">
        <v>63.0</v>
      </c>
      <c r="G7" s="338" t="s">
        <v>339</v>
      </c>
      <c r="H7" s="338" t="s">
        <v>3653</v>
      </c>
      <c r="I7" s="338">
        <v>9.773633095E9</v>
      </c>
      <c r="J7" s="54">
        <v>5.0</v>
      </c>
      <c r="K7" s="55">
        <v>5.0</v>
      </c>
      <c r="L7" s="55">
        <v>0.0</v>
      </c>
      <c r="M7" s="55">
        <v>0.0</v>
      </c>
      <c r="N7" s="43">
        <f t="shared" ref="N7:N25" si="1">sum(L7,M7)</f>
        <v>0</v>
      </c>
      <c r="O7" s="55">
        <v>27.0</v>
      </c>
      <c r="P7" s="55">
        <v>0.0</v>
      </c>
      <c r="Q7" s="43">
        <f t="shared" ref="Q7:Q182" si="2">sum(N7,O7,P7)</f>
        <v>27</v>
      </c>
      <c r="R7" s="43"/>
      <c r="S7" s="55" t="s">
        <v>237</v>
      </c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39" t="s">
        <v>3654</v>
      </c>
      <c r="C8" s="340" t="s">
        <v>3655</v>
      </c>
      <c r="D8" s="340" t="s">
        <v>3654</v>
      </c>
      <c r="E8" s="341" t="s">
        <v>338</v>
      </c>
      <c r="F8" s="342">
        <v>28.0</v>
      </c>
      <c r="G8" s="342" t="s">
        <v>339</v>
      </c>
      <c r="H8" s="342" t="s">
        <v>646</v>
      </c>
      <c r="I8" s="342">
        <v>9.15715498E9</v>
      </c>
      <c r="J8" s="54">
        <v>30.0</v>
      </c>
      <c r="K8" s="55">
        <v>21.0</v>
      </c>
      <c r="L8" s="55">
        <v>0.0</v>
      </c>
      <c r="M8" s="55">
        <v>9.0</v>
      </c>
      <c r="N8" s="43">
        <f t="shared" si="1"/>
        <v>9</v>
      </c>
      <c r="O8" s="55">
        <v>0.0</v>
      </c>
      <c r="P8" s="55">
        <v>0.0</v>
      </c>
      <c r="Q8" s="43">
        <f t="shared" si="2"/>
        <v>9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39" t="s">
        <v>3654</v>
      </c>
      <c r="C9" s="340" t="s">
        <v>3656</v>
      </c>
      <c r="D9" s="340" t="s">
        <v>3657</v>
      </c>
      <c r="E9" s="341" t="s">
        <v>338</v>
      </c>
      <c r="F9" s="342">
        <v>41.0</v>
      </c>
      <c r="G9" s="342" t="s">
        <v>339</v>
      </c>
      <c r="H9" s="342" t="s">
        <v>663</v>
      </c>
      <c r="I9" s="342">
        <v>9.77093687E9</v>
      </c>
      <c r="J9" s="54">
        <v>31.0</v>
      </c>
      <c r="K9" s="55">
        <v>25.0</v>
      </c>
      <c r="L9" s="55">
        <v>0.0</v>
      </c>
      <c r="M9" s="55">
        <v>1.0</v>
      </c>
      <c r="N9" s="43">
        <f t="shared" si="1"/>
        <v>1</v>
      </c>
      <c r="O9" s="55">
        <v>1.0</v>
      </c>
      <c r="P9" s="55">
        <v>5.0</v>
      </c>
      <c r="Q9" s="43">
        <f t="shared" si="2"/>
        <v>7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39" t="s">
        <v>3658</v>
      </c>
      <c r="C10" s="340" t="s">
        <v>1342</v>
      </c>
      <c r="D10" s="340" t="s">
        <v>3659</v>
      </c>
      <c r="E10" s="341" t="s">
        <v>338</v>
      </c>
      <c r="F10" s="342">
        <v>50.0</v>
      </c>
      <c r="G10" s="342" t="s">
        <v>339</v>
      </c>
      <c r="H10" s="342" t="s">
        <v>435</v>
      </c>
      <c r="I10" s="342">
        <v>9.282701089E9</v>
      </c>
      <c r="J10" s="42"/>
      <c r="K10" s="43"/>
      <c r="L10" s="43"/>
      <c r="M10" s="43"/>
      <c r="N10" s="43">
        <f t="shared" si="1"/>
        <v>0</v>
      </c>
      <c r="O10" s="43"/>
      <c r="P10" s="43"/>
      <c r="Q10" s="43">
        <f t="shared" si="2"/>
        <v>0</v>
      </c>
      <c r="R10" s="43"/>
      <c r="S10" s="43"/>
      <c r="T10" s="43"/>
      <c r="U10" s="43"/>
      <c r="V10" s="43"/>
      <c r="W10" s="44"/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39" t="s">
        <v>826</v>
      </c>
      <c r="C11" s="340" t="s">
        <v>3041</v>
      </c>
      <c r="D11" s="340" t="s">
        <v>3660</v>
      </c>
      <c r="E11" s="341" t="s">
        <v>338</v>
      </c>
      <c r="F11" s="342">
        <v>30.0</v>
      </c>
      <c r="G11" s="342" t="s">
        <v>339</v>
      </c>
      <c r="H11" s="342" t="s">
        <v>435</v>
      </c>
      <c r="I11" s="342">
        <v>9.661869082E9</v>
      </c>
      <c r="J11" s="54">
        <v>27.0</v>
      </c>
      <c r="K11" s="55">
        <v>21.0</v>
      </c>
      <c r="L11" s="55">
        <v>0.0</v>
      </c>
      <c r="M11" s="55">
        <v>0.0</v>
      </c>
      <c r="N11" s="43">
        <f t="shared" si="1"/>
        <v>0</v>
      </c>
      <c r="O11" s="55">
        <v>5.0</v>
      </c>
      <c r="P11" s="55">
        <v>6.0</v>
      </c>
      <c r="Q11" s="43">
        <f t="shared" si="2"/>
        <v>11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39" t="s">
        <v>3661</v>
      </c>
      <c r="C12" s="340" t="s">
        <v>3662</v>
      </c>
      <c r="D12" s="340" t="s">
        <v>365</v>
      </c>
      <c r="E12" s="341" t="s">
        <v>338</v>
      </c>
      <c r="F12" s="342">
        <v>47.0</v>
      </c>
      <c r="G12" s="342" t="s">
        <v>339</v>
      </c>
      <c r="H12" s="342" t="s">
        <v>435</v>
      </c>
      <c r="I12" s="342">
        <v>9.383144572E9</v>
      </c>
      <c r="J12" s="54">
        <v>23.0</v>
      </c>
      <c r="K12" s="55">
        <v>13.0</v>
      </c>
      <c r="L12" s="55">
        <v>0.0</v>
      </c>
      <c r="M12" s="55">
        <v>10.0</v>
      </c>
      <c r="N12" s="43">
        <f t="shared" si="1"/>
        <v>10</v>
      </c>
      <c r="O12" s="55">
        <v>9.0</v>
      </c>
      <c r="P12" s="55">
        <v>0.0</v>
      </c>
      <c r="Q12" s="43">
        <f t="shared" si="2"/>
        <v>19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W248</f>
        <v>200</v>
      </c>
    </row>
    <row r="13" ht="13.5" customHeight="1">
      <c r="A13" s="28">
        <v>7.0</v>
      </c>
      <c r="B13" s="339" t="s">
        <v>2605</v>
      </c>
      <c r="C13" s="340" t="s">
        <v>411</v>
      </c>
      <c r="D13" s="343" t="s">
        <v>874</v>
      </c>
      <c r="E13" s="341" t="s">
        <v>338</v>
      </c>
      <c r="F13" s="344">
        <v>48.0</v>
      </c>
      <c r="G13" s="342" t="s">
        <v>339</v>
      </c>
      <c r="H13" s="342" t="s">
        <v>1009</v>
      </c>
      <c r="I13" s="342">
        <v>9.067021061E9</v>
      </c>
      <c r="J13" s="42"/>
      <c r="K13" s="43"/>
      <c r="L13" s="43"/>
      <c r="M13" s="43"/>
      <c r="N13" s="43">
        <f t="shared" si="1"/>
        <v>0</v>
      </c>
      <c r="O13" s="43"/>
      <c r="P13" s="43"/>
      <c r="Q13" s="43">
        <f t="shared" si="2"/>
        <v>0</v>
      </c>
      <c r="R13" s="43"/>
      <c r="S13" s="43"/>
      <c r="T13" s="43"/>
      <c r="U13" s="43"/>
      <c r="V13" s="43"/>
      <c r="W13" s="44"/>
      <c r="Z13" s="34"/>
      <c r="AA13" s="34"/>
      <c r="AB13" s="34"/>
      <c r="AC13" s="34"/>
      <c r="AD13" s="34"/>
    </row>
    <row r="14" ht="13.5" customHeight="1">
      <c r="A14" s="28">
        <v>8.0</v>
      </c>
      <c r="B14" s="339" t="s">
        <v>3663</v>
      </c>
      <c r="C14" s="340" t="s">
        <v>3664</v>
      </c>
      <c r="D14" s="340" t="s">
        <v>3665</v>
      </c>
      <c r="E14" s="341" t="s">
        <v>338</v>
      </c>
      <c r="F14" s="342">
        <v>53.0</v>
      </c>
      <c r="G14" s="342" t="s">
        <v>339</v>
      </c>
      <c r="H14" s="342" t="s">
        <v>646</v>
      </c>
      <c r="I14" s="342">
        <v>9.2588699E9</v>
      </c>
      <c r="J14" s="54">
        <v>25.0</v>
      </c>
      <c r="K14" s="55">
        <v>18.0</v>
      </c>
      <c r="L14" s="55">
        <v>1.0</v>
      </c>
      <c r="M14" s="55">
        <v>0.0</v>
      </c>
      <c r="N14" s="43">
        <f t="shared" si="1"/>
        <v>1</v>
      </c>
      <c r="O14" s="55">
        <v>7.0</v>
      </c>
      <c r="P14" s="55">
        <v>6.0</v>
      </c>
      <c r="Q14" s="43">
        <f t="shared" si="2"/>
        <v>14</v>
      </c>
      <c r="R14" s="43"/>
      <c r="S14" s="55" t="s">
        <v>88</v>
      </c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39" t="s">
        <v>981</v>
      </c>
      <c r="C15" s="340" t="s">
        <v>1731</v>
      </c>
      <c r="D15" s="340" t="s">
        <v>472</v>
      </c>
      <c r="E15" s="341" t="s">
        <v>338</v>
      </c>
      <c r="F15" s="342">
        <v>32.0</v>
      </c>
      <c r="G15" s="342" t="s">
        <v>339</v>
      </c>
      <c r="H15" s="342" t="s">
        <v>646</v>
      </c>
      <c r="I15" s="342">
        <v>9.271743882E9</v>
      </c>
      <c r="J15" s="54">
        <v>24.0</v>
      </c>
      <c r="K15" s="55">
        <v>17.0</v>
      </c>
      <c r="L15" s="55">
        <v>0.0</v>
      </c>
      <c r="M15" s="55">
        <v>0.0</v>
      </c>
      <c r="N15" s="43">
        <f t="shared" si="1"/>
        <v>0</v>
      </c>
      <c r="O15" s="55">
        <v>8.0</v>
      </c>
      <c r="P15" s="55">
        <v>7.0</v>
      </c>
      <c r="Q15" s="43">
        <f t="shared" si="2"/>
        <v>15</v>
      </c>
      <c r="R15" s="43"/>
      <c r="S15" s="55" t="s">
        <v>277</v>
      </c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1</v>
      </c>
      <c r="AC15" s="62"/>
      <c r="AD15" s="62"/>
    </row>
    <row r="16" ht="13.5" customHeight="1">
      <c r="A16" s="28">
        <v>10.0</v>
      </c>
      <c r="B16" s="339" t="s">
        <v>1071</v>
      </c>
      <c r="C16" s="340" t="s">
        <v>3666</v>
      </c>
      <c r="D16" s="340" t="s">
        <v>3667</v>
      </c>
      <c r="E16" s="341" t="s">
        <v>338</v>
      </c>
      <c r="F16" s="342">
        <v>45.0</v>
      </c>
      <c r="G16" s="342" t="s">
        <v>339</v>
      </c>
      <c r="H16" s="342" t="s">
        <v>646</v>
      </c>
      <c r="I16" s="342">
        <v>9.171499288E9</v>
      </c>
      <c r="J16" s="54">
        <v>27.0</v>
      </c>
      <c r="K16" s="55">
        <v>11.0</v>
      </c>
      <c r="L16" s="55">
        <v>0.0</v>
      </c>
      <c r="M16" s="55">
        <v>1.0</v>
      </c>
      <c r="N16" s="43">
        <f t="shared" si="1"/>
        <v>1</v>
      </c>
      <c r="O16" s="55">
        <v>5.0</v>
      </c>
      <c r="P16" s="55">
        <v>15.0</v>
      </c>
      <c r="Q16" s="43">
        <f t="shared" si="2"/>
        <v>21</v>
      </c>
      <c r="R16" s="43"/>
      <c r="S16" s="55" t="s">
        <v>3668</v>
      </c>
      <c r="T16" s="43"/>
      <c r="U16" s="43"/>
      <c r="V16" s="55" t="s">
        <v>3669</v>
      </c>
      <c r="W16" s="56" t="s">
        <v>46</v>
      </c>
      <c r="Z16" s="34"/>
      <c r="AA16" s="65" t="s">
        <v>79</v>
      </c>
      <c r="AB16" s="66">
        <f>COUNTIF(S7:S157, "CDU")</f>
        <v>2</v>
      </c>
      <c r="AC16" s="34"/>
      <c r="AD16" s="34"/>
    </row>
    <row r="17" ht="13.5" customHeight="1">
      <c r="A17" s="28">
        <v>11.0</v>
      </c>
      <c r="B17" s="339" t="s">
        <v>3670</v>
      </c>
      <c r="C17" s="340" t="s">
        <v>3671</v>
      </c>
      <c r="D17" s="340" t="s">
        <v>3672</v>
      </c>
      <c r="E17" s="341" t="s">
        <v>338</v>
      </c>
      <c r="F17" s="342">
        <v>29.0</v>
      </c>
      <c r="G17" s="342" t="s">
        <v>339</v>
      </c>
      <c r="H17" s="342" t="s">
        <v>663</v>
      </c>
      <c r="I17" s="342">
        <v>9.62461059E9</v>
      </c>
      <c r="J17" s="54">
        <v>29.0</v>
      </c>
      <c r="K17" s="55">
        <v>23.0</v>
      </c>
      <c r="L17" s="55">
        <v>0.0</v>
      </c>
      <c r="M17" s="55">
        <v>4.0</v>
      </c>
      <c r="N17" s="43">
        <f t="shared" si="1"/>
        <v>4</v>
      </c>
      <c r="O17" s="55">
        <v>3.0</v>
      </c>
      <c r="P17" s="55">
        <v>2.0</v>
      </c>
      <c r="Q17" s="43">
        <f t="shared" si="2"/>
        <v>9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39" t="s">
        <v>3673</v>
      </c>
      <c r="C18" s="340" t="s">
        <v>3674</v>
      </c>
      <c r="D18" s="340" t="s">
        <v>1854</v>
      </c>
      <c r="E18" s="341" t="s">
        <v>338</v>
      </c>
      <c r="F18" s="342">
        <v>58.0</v>
      </c>
      <c r="G18" s="342" t="s">
        <v>339</v>
      </c>
      <c r="H18" s="342" t="s">
        <v>833</v>
      </c>
      <c r="I18" s="342">
        <v>9.955589174E9</v>
      </c>
      <c r="J18" s="54">
        <v>22.0</v>
      </c>
      <c r="K18" s="55">
        <v>8.0</v>
      </c>
      <c r="L18" s="55">
        <v>0.0</v>
      </c>
      <c r="M18" s="55">
        <v>5.0</v>
      </c>
      <c r="N18" s="43">
        <f t="shared" si="1"/>
        <v>5</v>
      </c>
      <c r="O18" s="55">
        <v>8.0</v>
      </c>
      <c r="P18" s="55">
        <v>7.0</v>
      </c>
      <c r="Q18" s="43">
        <f t="shared" si="2"/>
        <v>20</v>
      </c>
      <c r="R18" s="43"/>
      <c r="S18" s="55" t="s">
        <v>105</v>
      </c>
      <c r="T18" s="43"/>
      <c r="U18" s="43"/>
      <c r="V18" s="55" t="s">
        <v>3675</v>
      </c>
      <c r="W18" s="56" t="s">
        <v>46</v>
      </c>
      <c r="Z18" s="34"/>
      <c r="AA18" s="61" t="s">
        <v>88</v>
      </c>
      <c r="AB18" s="66">
        <f>COUNTIF(S7:S157, "RPDU")</f>
        <v>11</v>
      </c>
      <c r="AC18" s="34"/>
      <c r="AD18" s="34"/>
    </row>
    <row r="19" ht="13.5" customHeight="1">
      <c r="A19" s="28">
        <v>13.0</v>
      </c>
      <c r="B19" s="339" t="s">
        <v>1969</v>
      </c>
      <c r="C19" s="340" t="s">
        <v>3676</v>
      </c>
      <c r="D19" s="340" t="s">
        <v>3677</v>
      </c>
      <c r="E19" s="341" t="s">
        <v>338</v>
      </c>
      <c r="F19" s="342">
        <v>51.0</v>
      </c>
      <c r="G19" s="342" t="s">
        <v>385</v>
      </c>
      <c r="H19" s="342" t="s">
        <v>1032</v>
      </c>
      <c r="I19" s="342">
        <v>9.164406477E9</v>
      </c>
      <c r="J19" s="54">
        <v>30.0</v>
      </c>
      <c r="K19" s="55">
        <v>26.0</v>
      </c>
      <c r="L19" s="55">
        <v>0.0</v>
      </c>
      <c r="M19" s="55">
        <v>0.0</v>
      </c>
      <c r="N19" s="43">
        <f t="shared" si="1"/>
        <v>0</v>
      </c>
      <c r="O19" s="55">
        <v>2.0</v>
      </c>
      <c r="P19" s="55">
        <v>5.0</v>
      </c>
      <c r="Q19" s="43">
        <f t="shared" si="2"/>
        <v>7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39" t="s">
        <v>3678</v>
      </c>
      <c r="C20" s="340" t="s">
        <v>3679</v>
      </c>
      <c r="D20" s="340" t="s">
        <v>3680</v>
      </c>
      <c r="E20" s="341" t="s">
        <v>338</v>
      </c>
      <c r="F20" s="342">
        <v>35.0</v>
      </c>
      <c r="G20" s="342" t="s">
        <v>385</v>
      </c>
      <c r="H20" s="342" t="s">
        <v>340</v>
      </c>
      <c r="I20" s="342">
        <v>9.85836291E9</v>
      </c>
      <c r="J20" s="54">
        <v>32.0</v>
      </c>
      <c r="K20" s="55">
        <v>29.0</v>
      </c>
      <c r="L20" s="55">
        <v>0.0</v>
      </c>
      <c r="M20" s="55">
        <v>0.0</v>
      </c>
      <c r="N20" s="43">
        <f t="shared" si="1"/>
        <v>0</v>
      </c>
      <c r="O20" s="55">
        <v>0.0</v>
      </c>
      <c r="P20" s="55">
        <v>3.0</v>
      </c>
      <c r="Q20" s="43">
        <f t="shared" si="2"/>
        <v>3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9</v>
      </c>
      <c r="AC20" s="34"/>
      <c r="AD20" s="34"/>
    </row>
    <row r="21" ht="13.5" customHeight="1">
      <c r="A21" s="28">
        <v>15.0</v>
      </c>
      <c r="B21" s="339" t="s">
        <v>1162</v>
      </c>
      <c r="C21" s="340" t="s">
        <v>3681</v>
      </c>
      <c r="D21" s="340" t="s">
        <v>32</v>
      </c>
      <c r="E21" s="341" t="s">
        <v>338</v>
      </c>
      <c r="F21" s="342">
        <v>27.0</v>
      </c>
      <c r="G21" s="342" t="s">
        <v>385</v>
      </c>
      <c r="H21" s="342" t="s">
        <v>340</v>
      </c>
      <c r="I21" s="342">
        <v>9.922922235E9</v>
      </c>
      <c r="J21" s="54">
        <v>27.0</v>
      </c>
      <c r="K21" s="55">
        <v>25.0</v>
      </c>
      <c r="L21" s="55">
        <v>0.0</v>
      </c>
      <c r="M21" s="55">
        <v>1.0</v>
      </c>
      <c r="N21" s="43">
        <f t="shared" si="1"/>
        <v>1</v>
      </c>
      <c r="O21" s="55">
        <v>5.0</v>
      </c>
      <c r="P21" s="55">
        <v>1.0</v>
      </c>
      <c r="Q21" s="43">
        <f t="shared" si="2"/>
        <v>7</v>
      </c>
      <c r="R21" s="43"/>
      <c r="S21" s="55" t="s">
        <v>277</v>
      </c>
      <c r="T21" s="43"/>
      <c r="U21" s="55" t="s">
        <v>3682</v>
      </c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339" t="s">
        <v>3683</v>
      </c>
      <c r="C22" s="340" t="s">
        <v>3684</v>
      </c>
      <c r="D22" s="340" t="s">
        <v>1894</v>
      </c>
      <c r="E22" s="341" t="s">
        <v>338</v>
      </c>
      <c r="F22" s="342">
        <v>60.0</v>
      </c>
      <c r="G22" s="342" t="s">
        <v>339</v>
      </c>
      <c r="H22" s="342" t="s">
        <v>663</v>
      </c>
      <c r="I22" s="342">
        <v>9.206134977E9</v>
      </c>
      <c r="J22" s="54">
        <v>26.0</v>
      </c>
      <c r="K22" s="55">
        <v>25.0</v>
      </c>
      <c r="L22" s="55">
        <v>0.0</v>
      </c>
      <c r="M22" s="55">
        <v>1.0</v>
      </c>
      <c r="N22" s="43">
        <f t="shared" si="1"/>
        <v>1</v>
      </c>
      <c r="O22" s="55">
        <v>6.0</v>
      </c>
      <c r="P22" s="55">
        <v>0.0</v>
      </c>
      <c r="Q22" s="43">
        <f t="shared" si="2"/>
        <v>7</v>
      </c>
      <c r="R22" s="43"/>
      <c r="S22" s="43"/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339" t="s">
        <v>3685</v>
      </c>
      <c r="C23" s="340" t="s">
        <v>3686</v>
      </c>
      <c r="D23" s="340" t="s">
        <v>3507</v>
      </c>
      <c r="E23" s="341" t="s">
        <v>338</v>
      </c>
      <c r="F23" s="342">
        <v>60.0</v>
      </c>
      <c r="G23" s="342" t="s">
        <v>339</v>
      </c>
      <c r="H23" s="342" t="s">
        <v>553</v>
      </c>
      <c r="I23" s="342">
        <v>9.988629964E9</v>
      </c>
      <c r="J23" s="54">
        <v>5.0</v>
      </c>
      <c r="K23" s="55">
        <v>5.0</v>
      </c>
      <c r="L23" s="55">
        <v>0.0</v>
      </c>
      <c r="M23" s="55">
        <v>0.0</v>
      </c>
      <c r="N23" s="43">
        <f t="shared" si="1"/>
        <v>0</v>
      </c>
      <c r="O23" s="55">
        <v>27.0</v>
      </c>
      <c r="P23" s="55">
        <v>0.0</v>
      </c>
      <c r="Q23" s="43">
        <f t="shared" si="2"/>
        <v>27</v>
      </c>
      <c r="R23" s="43"/>
      <c r="S23" s="55" t="s">
        <v>79</v>
      </c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8</v>
      </c>
      <c r="AC23" s="34"/>
      <c r="AD23" s="34"/>
    </row>
    <row r="24" ht="13.5" customHeight="1">
      <c r="A24" s="28">
        <v>18.0</v>
      </c>
      <c r="B24" s="339" t="s">
        <v>3687</v>
      </c>
      <c r="C24" s="340" t="s">
        <v>1926</v>
      </c>
      <c r="D24" s="340" t="s">
        <v>3688</v>
      </c>
      <c r="E24" s="341" t="s">
        <v>338</v>
      </c>
      <c r="F24" s="342">
        <v>53.0</v>
      </c>
      <c r="G24" s="342" t="s">
        <v>339</v>
      </c>
      <c r="H24" s="342" t="s">
        <v>646</v>
      </c>
      <c r="I24" s="342">
        <v>9.185186303E9</v>
      </c>
      <c r="J24" s="54">
        <v>29.0</v>
      </c>
      <c r="K24" s="55">
        <v>21.0</v>
      </c>
      <c r="L24" s="55">
        <v>0.0</v>
      </c>
      <c r="M24" s="55">
        <v>5.0</v>
      </c>
      <c r="N24" s="43">
        <f t="shared" si="1"/>
        <v>5</v>
      </c>
      <c r="O24" s="55">
        <v>3.0</v>
      </c>
      <c r="P24" s="55">
        <v>3.0</v>
      </c>
      <c r="Q24" s="43">
        <f t="shared" si="2"/>
        <v>11</v>
      </c>
      <c r="R24" s="43"/>
      <c r="S24" s="43"/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339" t="s">
        <v>3689</v>
      </c>
      <c r="C25" s="340" t="s">
        <v>3690</v>
      </c>
      <c r="D25" s="340" t="s">
        <v>1354</v>
      </c>
      <c r="E25" s="341" t="s">
        <v>338</v>
      </c>
      <c r="F25" s="342">
        <v>43.0</v>
      </c>
      <c r="G25" s="342" t="s">
        <v>339</v>
      </c>
      <c r="H25" s="342" t="s">
        <v>480</v>
      </c>
      <c r="I25" s="342">
        <v>9.391300199E9</v>
      </c>
      <c r="J25" s="54">
        <v>24.0</v>
      </c>
      <c r="K25" s="55">
        <v>22.0</v>
      </c>
      <c r="L25" s="55">
        <v>0.0</v>
      </c>
      <c r="M25" s="55">
        <v>0.0</v>
      </c>
      <c r="N25" s="43">
        <f t="shared" si="1"/>
        <v>0</v>
      </c>
      <c r="O25" s="55">
        <v>8.0</v>
      </c>
      <c r="P25" s="55">
        <v>2.0</v>
      </c>
      <c r="Q25" s="43">
        <f t="shared" si="2"/>
        <v>10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339" t="s">
        <v>3691</v>
      </c>
      <c r="C26" s="340" t="s">
        <v>3692</v>
      </c>
      <c r="D26" s="340" t="s">
        <v>3693</v>
      </c>
      <c r="E26" s="341" t="s">
        <v>338</v>
      </c>
      <c r="F26" s="342">
        <v>45.0</v>
      </c>
      <c r="G26" s="342" t="s">
        <v>339</v>
      </c>
      <c r="H26" s="342" t="s">
        <v>435</v>
      </c>
      <c r="I26" s="342">
        <v>9.478912328E9</v>
      </c>
      <c r="J26" s="54">
        <v>26.0</v>
      </c>
      <c r="K26" s="55">
        <v>20.0</v>
      </c>
      <c r="L26" s="55">
        <v>0.0</v>
      </c>
      <c r="M26" s="55">
        <v>0.0</v>
      </c>
      <c r="N26" s="43">
        <v>0.0</v>
      </c>
      <c r="O26" s="55">
        <v>2.0</v>
      </c>
      <c r="P26" s="55">
        <v>6.0</v>
      </c>
      <c r="Q26" s="43">
        <f t="shared" si="2"/>
        <v>8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4.25" customHeight="1">
      <c r="A27" s="28">
        <v>21.0</v>
      </c>
      <c r="B27" s="339" t="s">
        <v>3691</v>
      </c>
      <c r="C27" s="340" t="s">
        <v>3694</v>
      </c>
      <c r="D27" s="340" t="s">
        <v>864</v>
      </c>
      <c r="E27" s="341" t="s">
        <v>338</v>
      </c>
      <c r="F27" s="342">
        <v>31.0</v>
      </c>
      <c r="G27" s="342" t="s">
        <v>339</v>
      </c>
      <c r="H27" s="342" t="s">
        <v>2658</v>
      </c>
      <c r="I27" s="342">
        <v>9.530778467E9</v>
      </c>
      <c r="J27" s="54">
        <v>30.0</v>
      </c>
      <c r="K27" s="55">
        <v>25.0</v>
      </c>
      <c r="L27" s="55">
        <v>0.0</v>
      </c>
      <c r="M27" s="55">
        <v>0.0</v>
      </c>
      <c r="N27" s="43">
        <f t="shared" ref="N27:N203" si="3">sum(L27,M27)</f>
        <v>0</v>
      </c>
      <c r="O27" s="55">
        <v>2.0</v>
      </c>
      <c r="P27" s="55">
        <v>5.0</v>
      </c>
      <c r="Q27" s="43">
        <f t="shared" si="2"/>
        <v>7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339" t="s">
        <v>2377</v>
      </c>
      <c r="C28" s="340" t="s">
        <v>3695</v>
      </c>
      <c r="D28" s="340" t="s">
        <v>3696</v>
      </c>
      <c r="E28" s="341" t="s">
        <v>338</v>
      </c>
      <c r="F28" s="342">
        <v>31.0</v>
      </c>
      <c r="G28" s="342" t="s">
        <v>385</v>
      </c>
      <c r="H28" s="342" t="s">
        <v>480</v>
      </c>
      <c r="I28" s="342">
        <v>9.08514802E9</v>
      </c>
      <c r="J28" s="54">
        <v>31.0</v>
      </c>
      <c r="K28" s="55">
        <v>28.0</v>
      </c>
      <c r="L28" s="55">
        <v>0.0</v>
      </c>
      <c r="M28" s="55">
        <v>2.0</v>
      </c>
      <c r="N28" s="43">
        <f t="shared" si="3"/>
        <v>2</v>
      </c>
      <c r="O28" s="55">
        <v>1.0</v>
      </c>
      <c r="P28" s="55">
        <v>1.0</v>
      </c>
      <c r="Q28" s="43">
        <f t="shared" si="2"/>
        <v>4</v>
      </c>
      <c r="R28" s="43"/>
      <c r="S28" s="43"/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339" t="s">
        <v>2443</v>
      </c>
      <c r="C29" s="340" t="s">
        <v>1731</v>
      </c>
      <c r="D29" s="340" t="s">
        <v>3697</v>
      </c>
      <c r="E29" s="341" t="s">
        <v>338</v>
      </c>
      <c r="F29" s="342">
        <v>29.0</v>
      </c>
      <c r="G29" s="342" t="s">
        <v>339</v>
      </c>
      <c r="H29" s="342" t="s">
        <v>340</v>
      </c>
      <c r="I29" s="342">
        <v>9.279263813E9</v>
      </c>
      <c r="J29" s="54">
        <v>27.0</v>
      </c>
      <c r="K29" s="55">
        <v>20.0</v>
      </c>
      <c r="L29" s="55">
        <v>0.0</v>
      </c>
      <c r="M29" s="55">
        <v>0.0</v>
      </c>
      <c r="N29" s="43">
        <f t="shared" si="3"/>
        <v>0</v>
      </c>
      <c r="O29" s="55">
        <v>1.0</v>
      </c>
      <c r="P29" s="55">
        <v>7.0</v>
      </c>
      <c r="Q29" s="43">
        <f t="shared" si="2"/>
        <v>8</v>
      </c>
      <c r="R29" s="43"/>
      <c r="S29" s="43"/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339" t="s">
        <v>3698</v>
      </c>
      <c r="C30" s="340" t="s">
        <v>493</v>
      </c>
      <c r="D30" s="340" t="s">
        <v>3699</v>
      </c>
      <c r="E30" s="341" t="s">
        <v>338</v>
      </c>
      <c r="F30" s="342">
        <v>51.0</v>
      </c>
      <c r="G30" s="342" t="s">
        <v>339</v>
      </c>
      <c r="H30" s="342" t="s">
        <v>2658</v>
      </c>
      <c r="I30" s="342">
        <v>9.684997709E9</v>
      </c>
      <c r="J30" s="54">
        <v>31.0</v>
      </c>
      <c r="K30" s="55">
        <v>25.0</v>
      </c>
      <c r="L30" s="55">
        <v>0.0</v>
      </c>
      <c r="M30" s="55">
        <v>5.0</v>
      </c>
      <c r="N30" s="43">
        <f t="shared" si="3"/>
        <v>5</v>
      </c>
      <c r="O30" s="55">
        <v>1.0</v>
      </c>
      <c r="P30" s="55">
        <v>1.0</v>
      </c>
      <c r="Q30" s="43">
        <f t="shared" si="2"/>
        <v>7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339" t="s">
        <v>3700</v>
      </c>
      <c r="C31" s="340" t="s">
        <v>3701</v>
      </c>
      <c r="D31" s="340" t="s">
        <v>2257</v>
      </c>
      <c r="E31" s="341" t="s">
        <v>338</v>
      </c>
      <c r="F31" s="342">
        <v>35.0</v>
      </c>
      <c r="G31" s="342" t="s">
        <v>339</v>
      </c>
      <c r="H31" s="342" t="s">
        <v>480</v>
      </c>
      <c r="I31" s="345">
        <v>6.3993E11</v>
      </c>
      <c r="J31" s="54">
        <v>31.0</v>
      </c>
      <c r="K31" s="55">
        <v>21.0</v>
      </c>
      <c r="L31" s="55">
        <v>0.0</v>
      </c>
      <c r="M31" s="55">
        <v>8.0</v>
      </c>
      <c r="N31" s="43">
        <f t="shared" si="3"/>
        <v>8</v>
      </c>
      <c r="O31" s="55">
        <v>1.0</v>
      </c>
      <c r="P31" s="55">
        <v>2.0</v>
      </c>
      <c r="Q31" s="43">
        <f t="shared" si="2"/>
        <v>11</v>
      </c>
      <c r="R31" s="43"/>
      <c r="S31" s="55" t="s">
        <v>88</v>
      </c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339" t="s">
        <v>3702</v>
      </c>
      <c r="C32" s="340" t="s">
        <v>3703</v>
      </c>
      <c r="D32" s="340" t="s">
        <v>112</v>
      </c>
      <c r="E32" s="341" t="s">
        <v>338</v>
      </c>
      <c r="F32" s="342">
        <v>50.0</v>
      </c>
      <c r="G32" s="342" t="s">
        <v>385</v>
      </c>
      <c r="H32" s="342" t="s">
        <v>2658</v>
      </c>
      <c r="I32" s="342">
        <v>9.165785452E9</v>
      </c>
      <c r="J32" s="54">
        <v>28.0</v>
      </c>
      <c r="K32" s="55">
        <v>22.0</v>
      </c>
      <c r="L32" s="55">
        <v>0.0</v>
      </c>
      <c r="M32" s="55">
        <v>0.0</v>
      </c>
      <c r="N32" s="43">
        <f t="shared" si="3"/>
        <v>0</v>
      </c>
      <c r="O32" s="55">
        <v>4.0</v>
      </c>
      <c r="P32" s="55">
        <v>6.0</v>
      </c>
      <c r="Q32" s="43">
        <f t="shared" si="2"/>
        <v>10</v>
      </c>
      <c r="R32" s="43"/>
      <c r="S32" s="55" t="s">
        <v>3704</v>
      </c>
      <c r="T32" s="43"/>
      <c r="U32" s="43"/>
      <c r="V32" s="55" t="s">
        <v>1049</v>
      </c>
      <c r="W32" s="56" t="s">
        <v>46</v>
      </c>
      <c r="Z32" s="61" t="s">
        <v>139</v>
      </c>
      <c r="AA32" s="61" t="s">
        <v>140</v>
      </c>
      <c r="AB32" s="66">
        <f>COUNTIF(T7:T157, "G")</f>
        <v>1</v>
      </c>
      <c r="AC32" s="34"/>
      <c r="AD32" s="34"/>
    </row>
    <row r="33" ht="13.5" customHeight="1">
      <c r="A33" s="28">
        <v>27.0</v>
      </c>
      <c r="B33" s="339" t="s">
        <v>211</v>
      </c>
      <c r="C33" s="340" t="s">
        <v>3403</v>
      </c>
      <c r="D33" s="340" t="s">
        <v>3705</v>
      </c>
      <c r="E33" s="341" t="s">
        <v>338</v>
      </c>
      <c r="F33" s="342">
        <v>46.0</v>
      </c>
      <c r="G33" s="342" t="s">
        <v>339</v>
      </c>
      <c r="H33" s="342" t="s">
        <v>646</v>
      </c>
      <c r="I33" s="342">
        <v>9.353590492E9</v>
      </c>
      <c r="J33" s="42"/>
      <c r="K33" s="43"/>
      <c r="L33" s="43"/>
      <c r="M33" s="43"/>
      <c r="N33" s="43">
        <f t="shared" si="3"/>
        <v>0</v>
      </c>
      <c r="O33" s="43"/>
      <c r="P33" s="43"/>
      <c r="Q33" s="43">
        <f t="shared" si="2"/>
        <v>0</v>
      </c>
      <c r="R33" s="43"/>
      <c r="S33" s="43"/>
      <c r="T33" s="43"/>
      <c r="U33" s="43"/>
      <c r="V33" s="43"/>
      <c r="W33" s="44"/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339" t="s">
        <v>3706</v>
      </c>
      <c r="C34" s="340" t="s">
        <v>487</v>
      </c>
      <c r="D34" s="340" t="s">
        <v>3707</v>
      </c>
      <c r="E34" s="341" t="s">
        <v>338</v>
      </c>
      <c r="F34" s="342">
        <v>48.0</v>
      </c>
      <c r="G34" s="342" t="s">
        <v>339</v>
      </c>
      <c r="H34" s="342" t="s">
        <v>480</v>
      </c>
      <c r="I34" s="342">
        <v>9.605314184E9</v>
      </c>
      <c r="J34" s="54">
        <v>23.0</v>
      </c>
      <c r="K34" s="55">
        <v>10.0</v>
      </c>
      <c r="L34" s="55">
        <v>2.0</v>
      </c>
      <c r="M34" s="55">
        <v>3.0</v>
      </c>
      <c r="N34" s="43">
        <f t="shared" si="3"/>
        <v>5</v>
      </c>
      <c r="O34" s="55">
        <v>9.0</v>
      </c>
      <c r="P34" s="55">
        <v>8.0</v>
      </c>
      <c r="Q34" s="43">
        <f t="shared" si="2"/>
        <v>22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339" t="s">
        <v>3708</v>
      </c>
      <c r="C35" s="340" t="s">
        <v>2490</v>
      </c>
      <c r="D35" s="340" t="s">
        <v>1693</v>
      </c>
      <c r="E35" s="341" t="s">
        <v>338</v>
      </c>
      <c r="F35" s="342">
        <v>31.0</v>
      </c>
      <c r="G35" s="342" t="s">
        <v>339</v>
      </c>
      <c r="H35" s="342" t="s">
        <v>480</v>
      </c>
      <c r="I35" s="342">
        <v>9.053732635E9</v>
      </c>
      <c r="J35" s="161">
        <v>29.0</v>
      </c>
      <c r="K35" s="55">
        <v>23.0</v>
      </c>
      <c r="L35" s="55">
        <v>0.0</v>
      </c>
      <c r="M35" s="55">
        <v>0.0</v>
      </c>
      <c r="N35" s="43">
        <f t="shared" si="3"/>
        <v>0</v>
      </c>
      <c r="O35" s="55">
        <v>2.0</v>
      </c>
      <c r="P35" s="55">
        <v>6.0</v>
      </c>
      <c r="Q35" s="43">
        <f t="shared" si="2"/>
        <v>8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339" t="s">
        <v>3709</v>
      </c>
      <c r="C36" s="340" t="s">
        <v>2571</v>
      </c>
      <c r="D36" s="340" t="s">
        <v>3710</v>
      </c>
      <c r="E36" s="341" t="s">
        <v>338</v>
      </c>
      <c r="F36" s="342">
        <v>47.0</v>
      </c>
      <c r="G36" s="342" t="s">
        <v>339</v>
      </c>
      <c r="H36" s="342" t="s">
        <v>480</v>
      </c>
      <c r="I36" s="342">
        <v>9.258572143E9</v>
      </c>
      <c r="J36" s="87">
        <v>29.0</v>
      </c>
      <c r="K36" s="55">
        <v>17.0</v>
      </c>
      <c r="L36" s="55">
        <v>0.0</v>
      </c>
      <c r="M36" s="55">
        <v>0.0</v>
      </c>
      <c r="N36" s="43">
        <f t="shared" si="3"/>
        <v>0</v>
      </c>
      <c r="O36" s="55">
        <v>3.0</v>
      </c>
      <c r="P36" s="55">
        <v>12.0</v>
      </c>
      <c r="Q36" s="43">
        <f t="shared" si="2"/>
        <v>15</v>
      </c>
      <c r="R36" s="43"/>
      <c r="S36" s="55" t="s">
        <v>105</v>
      </c>
      <c r="T36" s="43"/>
      <c r="U36" s="43"/>
      <c r="V36" s="55" t="s">
        <v>3711</v>
      </c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339" t="s">
        <v>3712</v>
      </c>
      <c r="C37" s="340" t="s">
        <v>1264</v>
      </c>
      <c r="D37" s="340" t="s">
        <v>1247</v>
      </c>
      <c r="E37" s="341" t="s">
        <v>338</v>
      </c>
      <c r="F37" s="342">
        <v>43.0</v>
      </c>
      <c r="G37" s="342" t="s">
        <v>339</v>
      </c>
      <c r="H37" s="342" t="s">
        <v>480</v>
      </c>
      <c r="I37" s="342">
        <v>9.478876823E9</v>
      </c>
      <c r="J37" s="83"/>
      <c r="K37" s="43"/>
      <c r="L37" s="43"/>
      <c r="M37" s="43"/>
      <c r="N37" s="43">
        <f t="shared" si="3"/>
        <v>0</v>
      </c>
      <c r="O37" s="43"/>
      <c r="P37" s="43"/>
      <c r="Q37" s="43">
        <f t="shared" si="2"/>
        <v>0</v>
      </c>
      <c r="R37" s="43"/>
      <c r="S37" s="43"/>
      <c r="T37" s="43"/>
      <c r="U37" s="43"/>
      <c r="V37" s="43"/>
      <c r="W37" s="44"/>
      <c r="Z37" s="84"/>
      <c r="AA37" s="84"/>
      <c r="AB37" s="85"/>
      <c r="AC37" s="86"/>
      <c r="AD37" s="86"/>
    </row>
    <row r="38" ht="13.5" customHeight="1">
      <c r="A38" s="28">
        <v>32.0</v>
      </c>
      <c r="B38" s="339" t="s">
        <v>986</v>
      </c>
      <c r="C38" s="340" t="s">
        <v>3713</v>
      </c>
      <c r="D38" s="340" t="s">
        <v>410</v>
      </c>
      <c r="E38" s="341" t="s">
        <v>338</v>
      </c>
      <c r="F38" s="342">
        <v>42.0</v>
      </c>
      <c r="G38" s="342" t="s">
        <v>385</v>
      </c>
      <c r="H38" s="342" t="s">
        <v>480</v>
      </c>
      <c r="I38" s="342">
        <v>9.152849763E9</v>
      </c>
      <c r="J38" s="87">
        <v>30.0</v>
      </c>
      <c r="K38" s="55">
        <v>30.0</v>
      </c>
      <c r="L38" s="55">
        <v>0.0</v>
      </c>
      <c r="M38" s="55">
        <v>0.0</v>
      </c>
      <c r="N38" s="43">
        <f t="shared" si="3"/>
        <v>0</v>
      </c>
      <c r="O38" s="55">
        <v>2.0</v>
      </c>
      <c r="P38" s="55">
        <v>0.0</v>
      </c>
      <c r="Q38" s="43">
        <f t="shared" si="2"/>
        <v>2</v>
      </c>
      <c r="R38" s="43"/>
      <c r="S38" s="43"/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339" t="s">
        <v>3714</v>
      </c>
      <c r="C39" s="340" t="s">
        <v>3715</v>
      </c>
      <c r="D39" s="340" t="s">
        <v>1073</v>
      </c>
      <c r="E39" s="341" t="s">
        <v>338</v>
      </c>
      <c r="F39" s="342">
        <v>29.0</v>
      </c>
      <c r="G39" s="342" t="s">
        <v>339</v>
      </c>
      <c r="H39" s="342" t="s">
        <v>340</v>
      </c>
      <c r="I39" s="342">
        <v>9.471053834E9</v>
      </c>
      <c r="J39" s="87">
        <v>26.0</v>
      </c>
      <c r="K39" s="55">
        <v>19.0</v>
      </c>
      <c r="L39" s="55">
        <v>1.0</v>
      </c>
      <c r="M39" s="55">
        <v>4.0</v>
      </c>
      <c r="N39" s="43">
        <f t="shared" si="3"/>
        <v>5</v>
      </c>
      <c r="O39" s="55">
        <v>4.0</v>
      </c>
      <c r="P39" s="55">
        <v>2.0</v>
      </c>
      <c r="Q39" s="43">
        <f t="shared" si="2"/>
        <v>11</v>
      </c>
      <c r="R39" s="43"/>
      <c r="S39" s="43"/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339" t="s">
        <v>852</v>
      </c>
      <c r="C40" s="340" t="s">
        <v>3716</v>
      </c>
      <c r="D40" s="340" t="s">
        <v>857</v>
      </c>
      <c r="E40" s="341" t="s">
        <v>338</v>
      </c>
      <c r="F40" s="342">
        <v>31.0</v>
      </c>
      <c r="G40" s="342" t="s">
        <v>385</v>
      </c>
      <c r="H40" s="342" t="s">
        <v>646</v>
      </c>
      <c r="I40" s="342">
        <v>9.567911782E9</v>
      </c>
      <c r="J40" s="87">
        <v>31.0</v>
      </c>
      <c r="K40" s="55">
        <v>28.0</v>
      </c>
      <c r="L40" s="55">
        <v>1.0</v>
      </c>
      <c r="M40" s="55">
        <v>2.0</v>
      </c>
      <c r="N40" s="43">
        <f t="shared" si="3"/>
        <v>3</v>
      </c>
      <c r="O40" s="55">
        <v>1.0</v>
      </c>
      <c r="P40" s="55">
        <v>0.0</v>
      </c>
      <c r="Q40" s="43">
        <f t="shared" si="2"/>
        <v>4</v>
      </c>
      <c r="R40" s="43"/>
      <c r="S40" s="43"/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339" t="s">
        <v>365</v>
      </c>
      <c r="C41" s="340" t="s">
        <v>3717</v>
      </c>
      <c r="D41" s="340" t="s">
        <v>3718</v>
      </c>
      <c r="E41" s="341" t="s">
        <v>338</v>
      </c>
      <c r="F41" s="342">
        <v>50.0</v>
      </c>
      <c r="G41" s="342" t="s">
        <v>385</v>
      </c>
      <c r="H41" s="342" t="s">
        <v>663</v>
      </c>
      <c r="I41" s="342">
        <v>9.195370538E9</v>
      </c>
      <c r="J41" s="87">
        <v>24.0</v>
      </c>
      <c r="K41" s="55">
        <v>18.0</v>
      </c>
      <c r="L41" s="55">
        <v>0.0</v>
      </c>
      <c r="M41" s="55">
        <v>3.0</v>
      </c>
      <c r="N41" s="43">
        <f t="shared" si="3"/>
        <v>3</v>
      </c>
      <c r="O41" s="55">
        <v>8.0</v>
      </c>
      <c r="P41" s="55">
        <v>3.0</v>
      </c>
      <c r="Q41" s="43">
        <f t="shared" si="2"/>
        <v>14</v>
      </c>
      <c r="R41" s="43"/>
      <c r="S41" s="43"/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339" t="s">
        <v>365</v>
      </c>
      <c r="C42" s="340" t="s">
        <v>3719</v>
      </c>
      <c r="D42" s="340" t="s">
        <v>3720</v>
      </c>
      <c r="E42" s="341" t="s">
        <v>338</v>
      </c>
      <c r="F42" s="342">
        <v>36.0</v>
      </c>
      <c r="G42" s="342" t="s">
        <v>385</v>
      </c>
      <c r="H42" s="342" t="s">
        <v>368</v>
      </c>
      <c r="I42" s="342">
        <v>9.178738324E9</v>
      </c>
      <c r="J42" s="87">
        <v>32.0</v>
      </c>
      <c r="K42" s="55">
        <v>28.0</v>
      </c>
      <c r="L42" s="55">
        <v>0.0</v>
      </c>
      <c r="M42" s="55">
        <v>0.0</v>
      </c>
      <c r="N42" s="43">
        <f t="shared" si="3"/>
        <v>0</v>
      </c>
      <c r="O42" s="55">
        <v>0.0</v>
      </c>
      <c r="P42" s="55">
        <v>4.0</v>
      </c>
      <c r="Q42" s="43">
        <f t="shared" si="2"/>
        <v>4</v>
      </c>
      <c r="R42" s="43"/>
      <c r="S42" s="43"/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339" t="s">
        <v>3721</v>
      </c>
      <c r="C43" s="340" t="s">
        <v>3722</v>
      </c>
      <c r="D43" s="340" t="s">
        <v>2641</v>
      </c>
      <c r="E43" s="341" t="s">
        <v>338</v>
      </c>
      <c r="F43" s="342">
        <v>63.0</v>
      </c>
      <c r="G43" s="342" t="s">
        <v>339</v>
      </c>
      <c r="H43" s="342" t="s">
        <v>646</v>
      </c>
      <c r="I43" s="342">
        <v>9.083168197E9</v>
      </c>
      <c r="J43" s="87">
        <v>3.0</v>
      </c>
      <c r="K43" s="55">
        <v>2.0</v>
      </c>
      <c r="L43" s="55">
        <v>0.0</v>
      </c>
      <c r="M43" s="55">
        <v>1.0</v>
      </c>
      <c r="N43" s="43">
        <f t="shared" si="3"/>
        <v>1</v>
      </c>
      <c r="O43" s="55">
        <v>29.0</v>
      </c>
      <c r="P43" s="55">
        <v>0.0</v>
      </c>
      <c r="Q43" s="43">
        <f t="shared" si="2"/>
        <v>30</v>
      </c>
      <c r="R43" s="43"/>
      <c r="S43" s="55" t="s">
        <v>3723</v>
      </c>
      <c r="T43" s="43"/>
      <c r="U43" s="43"/>
      <c r="V43" s="43"/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339" t="s">
        <v>1917</v>
      </c>
      <c r="C44" s="340" t="s">
        <v>3724</v>
      </c>
      <c r="D44" s="340" t="s">
        <v>3702</v>
      </c>
      <c r="E44" s="341" t="s">
        <v>338</v>
      </c>
      <c r="F44" s="342">
        <v>47.0</v>
      </c>
      <c r="G44" s="342" t="s">
        <v>339</v>
      </c>
      <c r="H44" s="342" t="s">
        <v>663</v>
      </c>
      <c r="I44" s="342">
        <v>9.157506375E9</v>
      </c>
      <c r="J44" s="87">
        <v>26.0</v>
      </c>
      <c r="K44" s="55">
        <v>20.0</v>
      </c>
      <c r="L44" s="55">
        <v>0.0</v>
      </c>
      <c r="M44" s="55">
        <v>0.0</v>
      </c>
      <c r="N44" s="43">
        <f t="shared" si="3"/>
        <v>0</v>
      </c>
      <c r="O44" s="55">
        <v>6.0</v>
      </c>
      <c r="P44" s="55">
        <v>6.0</v>
      </c>
      <c r="Q44" s="43">
        <f t="shared" si="2"/>
        <v>12</v>
      </c>
      <c r="R44" s="43"/>
      <c r="S44" s="55" t="s">
        <v>277</v>
      </c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2.75" customHeight="1">
      <c r="A45" s="28">
        <v>39.0</v>
      </c>
      <c r="B45" s="339" t="s">
        <v>3079</v>
      </c>
      <c r="C45" s="340" t="s">
        <v>1099</v>
      </c>
      <c r="D45" s="340" t="s">
        <v>3725</v>
      </c>
      <c r="E45" s="341" t="s">
        <v>338</v>
      </c>
      <c r="F45" s="342">
        <v>41.0</v>
      </c>
      <c r="G45" s="342" t="s">
        <v>385</v>
      </c>
      <c r="H45" s="342" t="s">
        <v>708</v>
      </c>
      <c r="I45" s="342">
        <v>9.494183018E9</v>
      </c>
      <c r="J45" s="87">
        <v>20.0</v>
      </c>
      <c r="K45" s="55">
        <v>14.0</v>
      </c>
      <c r="L45" s="55">
        <v>0.0</v>
      </c>
      <c r="M45" s="55">
        <v>1.0</v>
      </c>
      <c r="N45" s="43">
        <f t="shared" si="3"/>
        <v>1</v>
      </c>
      <c r="O45" s="55">
        <v>12.0</v>
      </c>
      <c r="P45" s="55">
        <v>5.0</v>
      </c>
      <c r="Q45" s="43">
        <f t="shared" si="2"/>
        <v>18</v>
      </c>
      <c r="R45" s="43"/>
      <c r="S45" s="43"/>
      <c r="T45" s="43"/>
      <c r="U45" s="43"/>
      <c r="V45" s="43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339" t="s">
        <v>3726</v>
      </c>
      <c r="C46" s="340" t="s">
        <v>3727</v>
      </c>
      <c r="D46" s="340" t="s">
        <v>3728</v>
      </c>
      <c r="E46" s="341" t="s">
        <v>338</v>
      </c>
      <c r="F46" s="342">
        <v>31.0</v>
      </c>
      <c r="G46" s="342" t="s">
        <v>385</v>
      </c>
      <c r="H46" s="342" t="s">
        <v>839</v>
      </c>
      <c r="I46" s="342">
        <v>9.058323592E9</v>
      </c>
      <c r="J46" s="83"/>
      <c r="K46" s="43"/>
      <c r="L46" s="43"/>
      <c r="M46" s="43"/>
      <c r="N46" s="43">
        <f t="shared" si="3"/>
        <v>0</v>
      </c>
      <c r="O46" s="43"/>
      <c r="P46" s="43"/>
      <c r="Q46" s="43">
        <f t="shared" si="2"/>
        <v>0</v>
      </c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346" t="s">
        <v>1255</v>
      </c>
      <c r="C47" s="343" t="s">
        <v>3729</v>
      </c>
      <c r="D47" s="343" t="s">
        <v>3730</v>
      </c>
      <c r="E47" s="347" t="s">
        <v>338</v>
      </c>
      <c r="F47" s="344">
        <v>27.0</v>
      </c>
      <c r="G47" s="344" t="s">
        <v>339</v>
      </c>
      <c r="H47" s="344" t="s">
        <v>1009</v>
      </c>
      <c r="I47" s="344">
        <v>9.365211083E9</v>
      </c>
      <c r="J47" s="87">
        <v>29.0</v>
      </c>
      <c r="K47" s="55">
        <v>27.0</v>
      </c>
      <c r="L47" s="55">
        <v>0.0</v>
      </c>
      <c r="M47" s="55">
        <v>0.0</v>
      </c>
      <c r="N47" s="43">
        <f t="shared" si="3"/>
        <v>0</v>
      </c>
      <c r="O47" s="55">
        <v>3.0</v>
      </c>
      <c r="P47" s="55">
        <v>1.0</v>
      </c>
      <c r="Q47" s="43">
        <f t="shared" si="2"/>
        <v>4</v>
      </c>
      <c r="R47" s="43"/>
      <c r="S47" s="43"/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339" t="s">
        <v>2606</v>
      </c>
      <c r="C48" s="340" t="s">
        <v>1244</v>
      </c>
      <c r="D48" s="340" t="s">
        <v>2641</v>
      </c>
      <c r="E48" s="341" t="s">
        <v>338</v>
      </c>
      <c r="F48" s="342">
        <v>41.0</v>
      </c>
      <c r="G48" s="342" t="s">
        <v>385</v>
      </c>
      <c r="H48" s="342" t="s">
        <v>708</v>
      </c>
      <c r="I48" s="342">
        <v>9.664653252E9</v>
      </c>
      <c r="J48" s="87">
        <v>26.0</v>
      </c>
      <c r="K48" s="55">
        <v>21.0</v>
      </c>
      <c r="L48" s="55">
        <v>0.0</v>
      </c>
      <c r="M48" s="55">
        <v>0.0</v>
      </c>
      <c r="N48" s="43">
        <f t="shared" si="3"/>
        <v>0</v>
      </c>
      <c r="O48" s="55">
        <v>6.0</v>
      </c>
      <c r="P48" s="55">
        <v>5.0</v>
      </c>
      <c r="Q48" s="43">
        <f t="shared" si="2"/>
        <v>11</v>
      </c>
      <c r="R48" s="43"/>
      <c r="S48" s="43"/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339" t="s">
        <v>3731</v>
      </c>
      <c r="C49" s="340" t="s">
        <v>1259</v>
      </c>
      <c r="D49" s="340" t="s">
        <v>3732</v>
      </c>
      <c r="E49" s="341" t="s">
        <v>338</v>
      </c>
      <c r="F49" s="342">
        <v>32.0</v>
      </c>
      <c r="G49" s="342" t="s">
        <v>339</v>
      </c>
      <c r="H49" s="342" t="s">
        <v>435</v>
      </c>
      <c r="I49" s="342">
        <v>9.50970036E9</v>
      </c>
      <c r="J49" s="87">
        <v>30.0</v>
      </c>
      <c r="K49" s="55">
        <v>27.0</v>
      </c>
      <c r="L49" s="55">
        <v>1.0</v>
      </c>
      <c r="M49" s="55">
        <v>0.0</v>
      </c>
      <c r="N49" s="43">
        <f t="shared" si="3"/>
        <v>1</v>
      </c>
      <c r="O49" s="55">
        <v>2.0</v>
      </c>
      <c r="P49" s="55">
        <v>2.0</v>
      </c>
      <c r="Q49" s="43">
        <f t="shared" si="2"/>
        <v>5</v>
      </c>
      <c r="R49" s="43"/>
      <c r="S49" s="43"/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339" t="s">
        <v>3733</v>
      </c>
      <c r="C50" s="340" t="s">
        <v>3734</v>
      </c>
      <c r="D50" s="340" t="s">
        <v>1129</v>
      </c>
      <c r="E50" s="341" t="s">
        <v>338</v>
      </c>
      <c r="F50" s="342">
        <v>40.0</v>
      </c>
      <c r="G50" s="342" t="s">
        <v>385</v>
      </c>
      <c r="H50" s="342" t="s">
        <v>435</v>
      </c>
      <c r="I50" s="342">
        <v>9.684992338E9</v>
      </c>
      <c r="J50" s="87">
        <v>28.0</v>
      </c>
      <c r="K50" s="55">
        <v>22.0</v>
      </c>
      <c r="L50" s="55">
        <v>0.0</v>
      </c>
      <c r="M50" s="55">
        <v>1.0</v>
      </c>
      <c r="N50" s="43">
        <f t="shared" si="3"/>
        <v>1</v>
      </c>
      <c r="O50" s="55">
        <v>4.0</v>
      </c>
      <c r="P50" s="55">
        <v>5.0</v>
      </c>
      <c r="Q50" s="43">
        <f t="shared" si="2"/>
        <v>10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39" t="s">
        <v>3735</v>
      </c>
      <c r="C51" s="340" t="s">
        <v>3736</v>
      </c>
      <c r="D51" s="340" t="s">
        <v>1247</v>
      </c>
      <c r="E51" s="341" t="s">
        <v>338</v>
      </c>
      <c r="F51" s="342">
        <v>26.0</v>
      </c>
      <c r="G51" s="342" t="s">
        <v>339</v>
      </c>
      <c r="H51" s="342" t="s">
        <v>435</v>
      </c>
      <c r="I51" s="342">
        <v>9.39305631E9</v>
      </c>
      <c r="J51" s="87">
        <v>29.0</v>
      </c>
      <c r="K51" s="55">
        <v>16.0</v>
      </c>
      <c r="L51" s="55">
        <v>0.0</v>
      </c>
      <c r="M51" s="55">
        <v>4.0</v>
      </c>
      <c r="N51" s="43">
        <f t="shared" si="3"/>
        <v>4</v>
      </c>
      <c r="O51" s="55">
        <v>3.0</v>
      </c>
      <c r="P51" s="55">
        <v>9.0</v>
      </c>
      <c r="Q51" s="43">
        <f t="shared" si="2"/>
        <v>16</v>
      </c>
      <c r="R51" s="43"/>
      <c r="S51" s="55" t="s">
        <v>277</v>
      </c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339" t="s">
        <v>3737</v>
      </c>
      <c r="C52" s="340" t="s">
        <v>3738</v>
      </c>
      <c r="D52" s="340" t="s">
        <v>3739</v>
      </c>
      <c r="E52" s="341" t="s">
        <v>338</v>
      </c>
      <c r="F52" s="342">
        <v>55.0</v>
      </c>
      <c r="G52" s="342" t="s">
        <v>339</v>
      </c>
      <c r="H52" s="342" t="s">
        <v>480</v>
      </c>
      <c r="I52" s="342">
        <v>9.993630487E9</v>
      </c>
      <c r="J52" s="87">
        <v>25.0</v>
      </c>
      <c r="K52" s="55">
        <v>22.0</v>
      </c>
      <c r="L52" s="55">
        <v>0.0</v>
      </c>
      <c r="M52" s="55">
        <v>2.0</v>
      </c>
      <c r="N52" s="43">
        <f t="shared" si="3"/>
        <v>2</v>
      </c>
      <c r="O52" s="55">
        <v>7.0</v>
      </c>
      <c r="P52" s="55">
        <v>1.0</v>
      </c>
      <c r="Q52" s="43">
        <f t="shared" si="2"/>
        <v>10</v>
      </c>
      <c r="R52" s="43"/>
      <c r="S52" s="55" t="s">
        <v>88</v>
      </c>
      <c r="T52" s="43"/>
      <c r="U52" s="43"/>
      <c r="V52" s="43"/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47.0</v>
      </c>
      <c r="B53" s="339" t="s">
        <v>3740</v>
      </c>
      <c r="C53" s="340" t="s">
        <v>3741</v>
      </c>
      <c r="D53" s="340" t="s">
        <v>3742</v>
      </c>
      <c r="E53" s="341" t="s">
        <v>338</v>
      </c>
      <c r="F53" s="342">
        <v>44.0</v>
      </c>
      <c r="G53" s="342" t="s">
        <v>339</v>
      </c>
      <c r="H53" s="342" t="s">
        <v>646</v>
      </c>
      <c r="I53" s="342">
        <v>9.399273807E9</v>
      </c>
      <c r="J53" s="87">
        <v>18.0</v>
      </c>
      <c r="K53" s="55">
        <v>13.0</v>
      </c>
      <c r="L53" s="55">
        <v>0.0</v>
      </c>
      <c r="M53" s="55">
        <v>3.0</v>
      </c>
      <c r="N53" s="43">
        <f t="shared" si="3"/>
        <v>3</v>
      </c>
      <c r="O53" s="55">
        <v>14.0</v>
      </c>
      <c r="P53" s="55">
        <v>2.0</v>
      </c>
      <c r="Q53" s="43">
        <f t="shared" si="2"/>
        <v>19</v>
      </c>
      <c r="R53" s="43"/>
      <c r="S53" s="55" t="s">
        <v>237</v>
      </c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339" t="s">
        <v>3743</v>
      </c>
      <c r="C54" s="340" t="s">
        <v>3744</v>
      </c>
      <c r="D54" s="340" t="s">
        <v>3371</v>
      </c>
      <c r="E54" s="341" t="s">
        <v>338</v>
      </c>
      <c r="F54" s="342">
        <v>34.0</v>
      </c>
      <c r="G54" s="342" t="s">
        <v>339</v>
      </c>
      <c r="H54" s="342" t="s">
        <v>340</v>
      </c>
      <c r="I54" s="342">
        <v>9.15486863E9</v>
      </c>
      <c r="J54" s="87">
        <v>29.0</v>
      </c>
      <c r="K54" s="55">
        <v>24.0</v>
      </c>
      <c r="L54" s="55">
        <v>2.0</v>
      </c>
      <c r="M54" s="55">
        <v>3.0</v>
      </c>
      <c r="N54" s="43">
        <f t="shared" si="3"/>
        <v>5</v>
      </c>
      <c r="O54" s="55">
        <v>2.0</v>
      </c>
      <c r="P54" s="55">
        <v>0.0</v>
      </c>
      <c r="Q54" s="43">
        <f t="shared" si="2"/>
        <v>7</v>
      </c>
      <c r="R54" s="43"/>
      <c r="S54" s="43"/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339" t="s">
        <v>3745</v>
      </c>
      <c r="C55" s="340" t="s">
        <v>3746</v>
      </c>
      <c r="D55" s="340" t="s">
        <v>3747</v>
      </c>
      <c r="E55" s="341" t="s">
        <v>338</v>
      </c>
      <c r="F55" s="342">
        <v>46.0</v>
      </c>
      <c r="G55" s="342" t="s">
        <v>385</v>
      </c>
      <c r="H55" s="342" t="s">
        <v>349</v>
      </c>
      <c r="I55" s="342">
        <v>9.684992108E9</v>
      </c>
      <c r="J55" s="87">
        <v>20.0</v>
      </c>
      <c r="K55" s="55">
        <v>15.0</v>
      </c>
      <c r="L55" s="55">
        <v>0.0</v>
      </c>
      <c r="M55" s="55">
        <v>5.0</v>
      </c>
      <c r="N55" s="43">
        <f t="shared" si="3"/>
        <v>5</v>
      </c>
      <c r="O55" s="55">
        <v>12.0</v>
      </c>
      <c r="P55" s="55">
        <v>0.0</v>
      </c>
      <c r="Q55" s="43">
        <f t="shared" si="2"/>
        <v>17</v>
      </c>
      <c r="R55" s="43"/>
      <c r="S55" s="43"/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339" t="s">
        <v>3748</v>
      </c>
      <c r="C56" s="340" t="s">
        <v>3749</v>
      </c>
      <c r="D56" s="340" t="s">
        <v>310</v>
      </c>
      <c r="E56" s="341" t="s">
        <v>338</v>
      </c>
      <c r="F56" s="342">
        <v>30.0</v>
      </c>
      <c r="G56" s="342" t="s">
        <v>385</v>
      </c>
      <c r="H56" s="342" t="s">
        <v>349</v>
      </c>
      <c r="I56" s="342">
        <v>9.283152741E9</v>
      </c>
      <c r="J56" s="87">
        <v>0.0</v>
      </c>
      <c r="K56" s="55">
        <v>28.0</v>
      </c>
      <c r="L56" s="55">
        <v>0.0</v>
      </c>
      <c r="M56" s="55">
        <v>1.0</v>
      </c>
      <c r="N56" s="43">
        <f t="shared" si="3"/>
        <v>1</v>
      </c>
      <c r="O56" s="55">
        <v>2.0</v>
      </c>
      <c r="P56" s="55">
        <v>1.0</v>
      </c>
      <c r="Q56" s="43">
        <f t="shared" si="2"/>
        <v>4</v>
      </c>
      <c r="R56" s="43"/>
      <c r="S56" s="43"/>
      <c r="T56" s="43"/>
      <c r="U56" s="43"/>
      <c r="V56" s="43"/>
      <c r="W56" s="56" t="s">
        <v>46</v>
      </c>
      <c r="Z56" s="61"/>
      <c r="AA56" s="61"/>
      <c r="AB56" s="66"/>
      <c r="AC56" s="34"/>
      <c r="AD56" s="34"/>
    </row>
    <row r="57" ht="13.5" customHeight="1">
      <c r="A57" s="28">
        <v>51.0</v>
      </c>
      <c r="B57" s="339" t="s">
        <v>3750</v>
      </c>
      <c r="C57" s="340" t="s">
        <v>3751</v>
      </c>
      <c r="D57" s="340" t="s">
        <v>3670</v>
      </c>
      <c r="E57" s="341" t="s">
        <v>338</v>
      </c>
      <c r="F57" s="342">
        <v>32.0</v>
      </c>
      <c r="G57" s="342" t="s">
        <v>339</v>
      </c>
      <c r="H57" s="342" t="s">
        <v>343</v>
      </c>
      <c r="I57" s="342">
        <v>9.085010396E9</v>
      </c>
      <c r="J57" s="87">
        <v>28.0</v>
      </c>
      <c r="K57" s="55">
        <v>14.0</v>
      </c>
      <c r="L57" s="55">
        <v>0.0</v>
      </c>
      <c r="M57" s="55">
        <v>0.0</v>
      </c>
      <c r="N57" s="43">
        <f t="shared" si="3"/>
        <v>0</v>
      </c>
      <c r="O57" s="55">
        <v>4.0</v>
      </c>
      <c r="P57" s="55">
        <v>14.0</v>
      </c>
      <c r="Q57" s="43">
        <f t="shared" si="2"/>
        <v>18</v>
      </c>
      <c r="R57" s="43"/>
      <c r="S57" s="43"/>
      <c r="T57" s="43"/>
      <c r="U57" s="43"/>
      <c r="V57" s="43"/>
      <c r="W57" s="56" t="s">
        <v>46</v>
      </c>
      <c r="Z57" s="61"/>
      <c r="AA57" s="61"/>
      <c r="AB57" s="66"/>
      <c r="AC57" s="34"/>
      <c r="AD57" s="34"/>
    </row>
    <row r="58" ht="13.5" customHeight="1">
      <c r="A58" s="28">
        <v>52.0</v>
      </c>
      <c r="B58" s="339" t="s">
        <v>3752</v>
      </c>
      <c r="C58" s="340" t="s">
        <v>3753</v>
      </c>
      <c r="D58" s="340" t="s">
        <v>3754</v>
      </c>
      <c r="E58" s="341" t="s">
        <v>338</v>
      </c>
      <c r="F58" s="342">
        <v>59.0</v>
      </c>
      <c r="G58" s="342" t="s">
        <v>339</v>
      </c>
      <c r="H58" s="342" t="s">
        <v>663</v>
      </c>
      <c r="I58" s="342">
        <v>9.184375938E9</v>
      </c>
      <c r="J58" s="87">
        <v>26.0</v>
      </c>
      <c r="K58" s="55">
        <v>23.0</v>
      </c>
      <c r="L58" s="55">
        <v>0.0</v>
      </c>
      <c r="M58" s="55">
        <v>1.0</v>
      </c>
      <c r="N58" s="43">
        <f t="shared" si="3"/>
        <v>1</v>
      </c>
      <c r="O58" s="55">
        <v>2.0</v>
      </c>
      <c r="P58" s="55">
        <v>2.0</v>
      </c>
      <c r="Q58" s="43">
        <f t="shared" si="2"/>
        <v>5</v>
      </c>
      <c r="R58" s="43"/>
      <c r="S58" s="43"/>
      <c r="T58" s="43"/>
      <c r="U58" s="43"/>
      <c r="V58" s="43"/>
      <c r="W58" s="56" t="s">
        <v>46</v>
      </c>
      <c r="Z58" s="61"/>
      <c r="AA58" s="61"/>
      <c r="AB58" s="66"/>
      <c r="AC58" s="34"/>
      <c r="AD58" s="34"/>
    </row>
    <row r="59" ht="13.5" customHeight="1">
      <c r="A59" s="28">
        <v>53.0</v>
      </c>
      <c r="B59" s="339" t="s">
        <v>3755</v>
      </c>
      <c r="C59" s="340" t="s">
        <v>3756</v>
      </c>
      <c r="D59" s="340" t="s">
        <v>3757</v>
      </c>
      <c r="E59" s="341" t="s">
        <v>338</v>
      </c>
      <c r="F59" s="342">
        <v>28.0</v>
      </c>
      <c r="G59" s="342" t="s">
        <v>385</v>
      </c>
      <c r="H59" s="342" t="s">
        <v>833</v>
      </c>
      <c r="I59" s="342">
        <v>9.814042162E9</v>
      </c>
      <c r="J59" s="87">
        <v>31.0</v>
      </c>
      <c r="K59" s="55">
        <v>31.0</v>
      </c>
      <c r="L59" s="55">
        <v>0.0</v>
      </c>
      <c r="M59" s="55">
        <v>0.0</v>
      </c>
      <c r="N59" s="43">
        <f t="shared" si="3"/>
        <v>0</v>
      </c>
      <c r="O59" s="55">
        <v>1.0</v>
      </c>
      <c r="P59" s="55">
        <v>0.0</v>
      </c>
      <c r="Q59" s="43">
        <f t="shared" si="2"/>
        <v>1</v>
      </c>
      <c r="R59" s="43"/>
      <c r="S59" s="55" t="s">
        <v>277</v>
      </c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339" t="s">
        <v>3758</v>
      </c>
      <c r="C60" s="340" t="s">
        <v>1548</v>
      </c>
      <c r="D60" s="340" t="s">
        <v>3759</v>
      </c>
      <c r="E60" s="341" t="s">
        <v>338</v>
      </c>
      <c r="F60" s="342">
        <v>62.0</v>
      </c>
      <c r="G60" s="342" t="s">
        <v>339</v>
      </c>
      <c r="H60" s="342" t="s">
        <v>839</v>
      </c>
      <c r="I60" s="342">
        <v>9.934209436E9</v>
      </c>
      <c r="J60" s="87">
        <v>6.0</v>
      </c>
      <c r="K60" s="55">
        <v>6.0</v>
      </c>
      <c r="L60" s="55">
        <v>0.0</v>
      </c>
      <c r="M60" s="55">
        <v>0.0</v>
      </c>
      <c r="N60" s="43">
        <f t="shared" si="3"/>
        <v>0</v>
      </c>
      <c r="O60" s="55">
        <v>26.0</v>
      </c>
      <c r="P60" s="55">
        <v>0.0</v>
      </c>
      <c r="Q60" s="43">
        <f t="shared" si="2"/>
        <v>26</v>
      </c>
      <c r="R60" s="43"/>
      <c r="S60" s="55" t="s">
        <v>79</v>
      </c>
      <c r="T60" s="43"/>
      <c r="U60" s="43"/>
      <c r="V60" s="43"/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339" t="s">
        <v>3760</v>
      </c>
      <c r="C61" s="340" t="s">
        <v>3761</v>
      </c>
      <c r="D61" s="340" t="s">
        <v>1214</v>
      </c>
      <c r="E61" s="341" t="s">
        <v>338</v>
      </c>
      <c r="F61" s="342">
        <v>31.0</v>
      </c>
      <c r="G61" s="342" t="s">
        <v>339</v>
      </c>
      <c r="H61" s="342" t="s">
        <v>349</v>
      </c>
      <c r="I61" s="342">
        <v>9.18751446E9</v>
      </c>
      <c r="J61" s="87">
        <v>24.0</v>
      </c>
      <c r="K61" s="55">
        <v>15.0</v>
      </c>
      <c r="L61" s="55">
        <v>2.0</v>
      </c>
      <c r="M61" s="55">
        <v>5.0</v>
      </c>
      <c r="N61" s="43">
        <f t="shared" si="3"/>
        <v>7</v>
      </c>
      <c r="O61" s="55">
        <v>7.0</v>
      </c>
      <c r="P61" s="55">
        <v>2.0</v>
      </c>
      <c r="Q61" s="43">
        <f t="shared" si="2"/>
        <v>16</v>
      </c>
      <c r="R61" s="43"/>
      <c r="S61" s="43"/>
      <c r="T61" s="43"/>
      <c r="U61" s="43"/>
      <c r="V61" s="43"/>
      <c r="W61" s="56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339" t="s">
        <v>3762</v>
      </c>
      <c r="C62" s="340" t="s">
        <v>3763</v>
      </c>
      <c r="D62" s="340" t="s">
        <v>3764</v>
      </c>
      <c r="E62" s="341" t="s">
        <v>338</v>
      </c>
      <c r="F62" s="342">
        <v>32.0</v>
      </c>
      <c r="G62" s="342" t="s">
        <v>339</v>
      </c>
      <c r="H62" s="342" t="s">
        <v>340</v>
      </c>
      <c r="I62" s="342">
        <v>9.274964714E9</v>
      </c>
      <c r="J62" s="87">
        <v>32.0</v>
      </c>
      <c r="K62" s="55">
        <v>32.0</v>
      </c>
      <c r="L62" s="55">
        <v>0.0</v>
      </c>
      <c r="M62" s="55">
        <v>0.0</v>
      </c>
      <c r="N62" s="43">
        <f t="shared" si="3"/>
        <v>0</v>
      </c>
      <c r="O62" s="55">
        <v>0.0</v>
      </c>
      <c r="P62" s="55">
        <v>0.0</v>
      </c>
      <c r="Q62" s="43">
        <f t="shared" si="2"/>
        <v>0</v>
      </c>
      <c r="R62" s="43"/>
      <c r="S62" s="43"/>
      <c r="T62" s="43"/>
      <c r="U62" s="43"/>
      <c r="V62" s="43"/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339" t="s">
        <v>3765</v>
      </c>
      <c r="C63" s="340" t="s">
        <v>2168</v>
      </c>
      <c r="D63" s="340" t="s">
        <v>3766</v>
      </c>
      <c r="E63" s="341" t="s">
        <v>338</v>
      </c>
      <c r="F63" s="342">
        <v>48.0</v>
      </c>
      <c r="G63" s="342" t="s">
        <v>339</v>
      </c>
      <c r="H63" s="342" t="s">
        <v>340</v>
      </c>
      <c r="I63" s="342">
        <v>9.127241874E9</v>
      </c>
      <c r="J63" s="87">
        <v>27.0</v>
      </c>
      <c r="K63" s="55">
        <v>20.0</v>
      </c>
      <c r="L63" s="55">
        <v>0.0</v>
      </c>
      <c r="M63" s="55">
        <v>7.0</v>
      </c>
      <c r="N63" s="43">
        <f t="shared" si="3"/>
        <v>7</v>
      </c>
      <c r="O63" s="55">
        <v>5.0</v>
      </c>
      <c r="P63" s="55">
        <v>0.0</v>
      </c>
      <c r="Q63" s="43">
        <f t="shared" si="2"/>
        <v>12</v>
      </c>
      <c r="R63" s="43"/>
      <c r="S63" s="43"/>
      <c r="T63" s="43"/>
      <c r="U63" s="43"/>
      <c r="V63" s="43"/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339" t="s">
        <v>3767</v>
      </c>
      <c r="C64" s="340" t="s">
        <v>3768</v>
      </c>
      <c r="D64" s="340" t="s">
        <v>1164</v>
      </c>
      <c r="E64" s="341" t="s">
        <v>338</v>
      </c>
      <c r="F64" s="342">
        <v>28.0</v>
      </c>
      <c r="G64" s="342" t="s">
        <v>385</v>
      </c>
      <c r="H64" s="342" t="s">
        <v>340</v>
      </c>
      <c r="I64" s="342">
        <v>9.300555566E9</v>
      </c>
      <c r="J64" s="87">
        <v>28.0</v>
      </c>
      <c r="K64" s="55">
        <v>22.0</v>
      </c>
      <c r="L64" s="55">
        <v>0.0</v>
      </c>
      <c r="M64" s="55">
        <v>0.0</v>
      </c>
      <c r="N64" s="43">
        <f t="shared" si="3"/>
        <v>0</v>
      </c>
      <c r="O64" s="55">
        <v>4.0</v>
      </c>
      <c r="P64" s="55">
        <v>7.0</v>
      </c>
      <c r="Q64" s="43">
        <f t="shared" si="2"/>
        <v>11</v>
      </c>
      <c r="R64" s="43"/>
      <c r="S64" s="43"/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339" t="s">
        <v>864</v>
      </c>
      <c r="C65" s="340" t="s">
        <v>3769</v>
      </c>
      <c r="D65" s="340" t="s">
        <v>367</v>
      </c>
      <c r="E65" s="341" t="s">
        <v>338</v>
      </c>
      <c r="F65" s="342">
        <v>42.0</v>
      </c>
      <c r="G65" s="342" t="s">
        <v>385</v>
      </c>
      <c r="H65" s="342" t="s">
        <v>708</v>
      </c>
      <c r="I65" s="342">
        <v>9.231290804E9</v>
      </c>
      <c r="J65" s="87">
        <v>25.0</v>
      </c>
      <c r="K65" s="55">
        <v>16.0</v>
      </c>
      <c r="L65" s="55">
        <v>0.0</v>
      </c>
      <c r="M65" s="55">
        <v>7.0</v>
      </c>
      <c r="N65" s="43">
        <f t="shared" si="3"/>
        <v>7</v>
      </c>
      <c r="O65" s="55">
        <v>3.0</v>
      </c>
      <c r="P65" s="55">
        <v>2.0</v>
      </c>
      <c r="Q65" s="43">
        <f t="shared" si="2"/>
        <v>12</v>
      </c>
      <c r="R65" s="43"/>
      <c r="S65" s="43"/>
      <c r="T65" s="43"/>
      <c r="U65" s="43"/>
      <c r="V65" s="43"/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339" t="s">
        <v>3770</v>
      </c>
      <c r="C66" s="340" t="s">
        <v>3771</v>
      </c>
      <c r="D66" s="340" t="s">
        <v>3772</v>
      </c>
      <c r="E66" s="341" t="s">
        <v>338</v>
      </c>
      <c r="F66" s="342">
        <v>30.0</v>
      </c>
      <c r="G66" s="342" t="s">
        <v>385</v>
      </c>
      <c r="H66" s="342" t="s">
        <v>349</v>
      </c>
      <c r="I66" s="342">
        <v>9.453842538E9</v>
      </c>
      <c r="J66" s="83"/>
      <c r="K66" s="43"/>
      <c r="L66" s="43"/>
      <c r="M66" s="43"/>
      <c r="N66" s="43">
        <f t="shared" si="3"/>
        <v>0</v>
      </c>
      <c r="O66" s="43"/>
      <c r="P66" s="43"/>
      <c r="Q66" s="43">
        <f t="shared" si="2"/>
        <v>0</v>
      </c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339" t="s">
        <v>3773</v>
      </c>
      <c r="C67" s="340" t="s">
        <v>3774</v>
      </c>
      <c r="D67" s="340" t="s">
        <v>3775</v>
      </c>
      <c r="E67" s="341" t="s">
        <v>338</v>
      </c>
      <c r="F67" s="342">
        <v>28.0</v>
      </c>
      <c r="G67" s="342" t="s">
        <v>385</v>
      </c>
      <c r="H67" s="342" t="s">
        <v>833</v>
      </c>
      <c r="I67" s="342">
        <v>9.097095403E9</v>
      </c>
      <c r="J67" s="87">
        <v>29.0</v>
      </c>
      <c r="K67" s="55">
        <v>24.0</v>
      </c>
      <c r="L67" s="55">
        <v>0.0</v>
      </c>
      <c r="M67" s="55">
        <v>1.0</v>
      </c>
      <c r="N67" s="43">
        <f t="shared" si="3"/>
        <v>1</v>
      </c>
      <c r="O67" s="55">
        <v>3.0</v>
      </c>
      <c r="P67" s="55">
        <v>4.0</v>
      </c>
      <c r="Q67" s="43">
        <f t="shared" si="2"/>
        <v>8</v>
      </c>
      <c r="R67" s="43"/>
      <c r="S67" s="55" t="s">
        <v>3776</v>
      </c>
      <c r="T67" s="43"/>
      <c r="U67" s="43"/>
      <c r="V67" s="55" t="s">
        <v>3477</v>
      </c>
      <c r="W67" s="56" t="s">
        <v>46</v>
      </c>
      <c r="Z67" s="61"/>
      <c r="AA67" s="61"/>
      <c r="AB67" s="66"/>
      <c r="AC67" s="34"/>
      <c r="AD67" s="34"/>
    </row>
    <row r="68" ht="13.5" customHeight="1">
      <c r="A68" s="28">
        <v>62.0</v>
      </c>
      <c r="B68" s="339" t="s">
        <v>3777</v>
      </c>
      <c r="C68" s="340" t="s">
        <v>3778</v>
      </c>
      <c r="D68" s="340" t="s">
        <v>3779</v>
      </c>
      <c r="E68" s="341" t="s">
        <v>338</v>
      </c>
      <c r="F68" s="342">
        <v>38.0</v>
      </c>
      <c r="G68" s="342" t="s">
        <v>339</v>
      </c>
      <c r="H68" s="342" t="s">
        <v>3780</v>
      </c>
      <c r="I68" s="342">
        <v>9.664594501E9</v>
      </c>
      <c r="J68" s="87">
        <v>28.0</v>
      </c>
      <c r="K68" s="55">
        <v>24.0</v>
      </c>
      <c r="L68" s="55">
        <v>0.0</v>
      </c>
      <c r="M68" s="55">
        <v>0.0</v>
      </c>
      <c r="N68" s="43">
        <f t="shared" si="3"/>
        <v>0</v>
      </c>
      <c r="O68" s="55">
        <v>4.0</v>
      </c>
      <c r="P68" s="55">
        <v>4.0</v>
      </c>
      <c r="Q68" s="43">
        <f t="shared" si="2"/>
        <v>8</v>
      </c>
      <c r="R68" s="43"/>
      <c r="S68" s="43"/>
      <c r="T68" s="43"/>
      <c r="U68" s="43"/>
      <c r="V68" s="43"/>
      <c r="W68" s="56" t="s">
        <v>46</v>
      </c>
      <c r="Z68" s="61"/>
      <c r="AA68" s="61"/>
      <c r="AB68" s="66"/>
      <c r="AC68" s="34"/>
      <c r="AD68" s="34"/>
    </row>
    <row r="69" ht="13.5" customHeight="1">
      <c r="A69" s="28">
        <v>63.0</v>
      </c>
      <c r="B69" s="339" t="s">
        <v>3781</v>
      </c>
      <c r="C69" s="340" t="s">
        <v>3782</v>
      </c>
      <c r="D69" s="340" t="s">
        <v>3783</v>
      </c>
      <c r="E69" s="341" t="s">
        <v>338</v>
      </c>
      <c r="F69" s="342">
        <v>41.0</v>
      </c>
      <c r="G69" s="342" t="s">
        <v>339</v>
      </c>
      <c r="H69" s="342" t="s">
        <v>349</v>
      </c>
      <c r="I69" s="342">
        <v>9.942231958E9</v>
      </c>
      <c r="J69" s="87">
        <v>27.0</v>
      </c>
      <c r="K69" s="55">
        <v>17.0</v>
      </c>
      <c r="L69" s="55">
        <v>0.0</v>
      </c>
      <c r="M69" s="55">
        <v>1.0</v>
      </c>
      <c r="N69" s="43">
        <f t="shared" si="3"/>
        <v>1</v>
      </c>
      <c r="O69" s="55">
        <v>5.0</v>
      </c>
      <c r="P69" s="55">
        <v>9.0</v>
      </c>
      <c r="Q69" s="43">
        <f t="shared" si="2"/>
        <v>15</v>
      </c>
      <c r="R69" s="43"/>
      <c r="S69" s="43"/>
      <c r="T69" s="43"/>
      <c r="U69" s="43"/>
      <c r="V69" s="43"/>
      <c r="W69" s="56" t="s">
        <v>46</v>
      </c>
      <c r="Z69" s="61"/>
      <c r="AA69" s="61"/>
      <c r="AB69" s="66"/>
      <c r="AC69" s="34"/>
      <c r="AD69" s="34"/>
    </row>
    <row r="70" ht="13.5" customHeight="1">
      <c r="A70" s="28">
        <v>64.0</v>
      </c>
      <c r="B70" s="339" t="s">
        <v>250</v>
      </c>
      <c r="C70" s="340" t="s">
        <v>2182</v>
      </c>
      <c r="D70" s="340" t="s">
        <v>3784</v>
      </c>
      <c r="E70" s="341" t="s">
        <v>338</v>
      </c>
      <c r="F70" s="342">
        <v>38.0</v>
      </c>
      <c r="G70" s="342" t="s">
        <v>339</v>
      </c>
      <c r="H70" s="342" t="s">
        <v>480</v>
      </c>
      <c r="I70" s="342">
        <v>9.237281174E9</v>
      </c>
      <c r="J70" s="87">
        <v>29.0</v>
      </c>
      <c r="K70" s="55">
        <v>16.0</v>
      </c>
      <c r="L70" s="55">
        <v>4.0</v>
      </c>
      <c r="M70" s="55">
        <v>2.0</v>
      </c>
      <c r="N70" s="43">
        <f t="shared" si="3"/>
        <v>6</v>
      </c>
      <c r="O70" s="55">
        <v>3.0</v>
      </c>
      <c r="P70" s="55">
        <v>7.0</v>
      </c>
      <c r="Q70" s="43">
        <f t="shared" si="2"/>
        <v>16</v>
      </c>
      <c r="R70" s="43"/>
      <c r="S70" s="43"/>
      <c r="T70" s="43"/>
      <c r="U70" s="43"/>
      <c r="V70" s="43"/>
      <c r="W70" s="56" t="s">
        <v>46</v>
      </c>
      <c r="Z70" s="61"/>
      <c r="AA70" s="61"/>
      <c r="AB70" s="66"/>
      <c r="AC70" s="34"/>
      <c r="AD70" s="34"/>
    </row>
    <row r="71" ht="13.5" customHeight="1">
      <c r="A71" s="28">
        <v>65.0</v>
      </c>
      <c r="B71" s="339" t="s">
        <v>250</v>
      </c>
      <c r="C71" s="340" t="s">
        <v>3785</v>
      </c>
      <c r="D71" s="340" t="s">
        <v>112</v>
      </c>
      <c r="E71" s="341" t="s">
        <v>338</v>
      </c>
      <c r="F71" s="342">
        <v>31.0</v>
      </c>
      <c r="G71" s="342" t="s">
        <v>339</v>
      </c>
      <c r="H71" s="342" t="s">
        <v>480</v>
      </c>
      <c r="I71" s="342">
        <v>9.551730444E9</v>
      </c>
      <c r="J71" s="87">
        <v>32.0</v>
      </c>
      <c r="K71" s="55">
        <v>30.0</v>
      </c>
      <c r="L71" s="55">
        <v>0.0</v>
      </c>
      <c r="M71" s="55">
        <v>0.0</v>
      </c>
      <c r="N71" s="43">
        <f t="shared" si="3"/>
        <v>0</v>
      </c>
      <c r="O71" s="55">
        <v>0.0</v>
      </c>
      <c r="P71" s="55">
        <v>2.0</v>
      </c>
      <c r="Q71" s="43">
        <f t="shared" si="2"/>
        <v>2</v>
      </c>
      <c r="R71" s="43"/>
      <c r="S71" s="43"/>
      <c r="T71" s="43"/>
      <c r="U71" s="43"/>
      <c r="V71" s="43"/>
      <c r="W71" s="56" t="s">
        <v>46</v>
      </c>
      <c r="Z71" s="61"/>
      <c r="AA71" s="61"/>
      <c r="AB71" s="66"/>
      <c r="AC71" s="34"/>
      <c r="AD71" s="34"/>
    </row>
    <row r="72" ht="13.5" customHeight="1">
      <c r="A72" s="28">
        <v>66.0</v>
      </c>
      <c r="B72" s="339" t="s">
        <v>427</v>
      </c>
      <c r="C72" s="340" t="s">
        <v>3786</v>
      </c>
      <c r="D72" s="340" t="s">
        <v>3787</v>
      </c>
      <c r="E72" s="341" t="s">
        <v>338</v>
      </c>
      <c r="F72" s="342">
        <v>48.0</v>
      </c>
      <c r="G72" s="342" t="s">
        <v>385</v>
      </c>
      <c r="H72" s="342" t="s">
        <v>480</v>
      </c>
      <c r="I72" s="342">
        <v>9.619554391E9</v>
      </c>
      <c r="J72" s="87">
        <v>16.0</v>
      </c>
      <c r="K72" s="55">
        <v>14.0</v>
      </c>
      <c r="L72" s="55">
        <v>0.0</v>
      </c>
      <c r="M72" s="55">
        <v>1.0</v>
      </c>
      <c r="N72" s="43">
        <f t="shared" si="3"/>
        <v>1</v>
      </c>
      <c r="O72" s="55">
        <v>16.0</v>
      </c>
      <c r="P72" s="55">
        <v>1.0</v>
      </c>
      <c r="Q72" s="43">
        <f t="shared" si="2"/>
        <v>18</v>
      </c>
      <c r="R72" s="43"/>
      <c r="S72" s="55" t="s">
        <v>88</v>
      </c>
      <c r="T72" s="43"/>
      <c r="U72" s="43"/>
      <c r="V72" s="43"/>
      <c r="W72" s="56" t="s">
        <v>46</v>
      </c>
      <c r="Z72" s="61"/>
      <c r="AA72" s="61"/>
      <c r="AB72" s="66"/>
      <c r="AC72" s="34"/>
      <c r="AD72" s="34"/>
    </row>
    <row r="73" ht="13.5" customHeight="1">
      <c r="A73" s="28">
        <v>67.0</v>
      </c>
      <c r="B73" s="339" t="s">
        <v>3788</v>
      </c>
      <c r="C73" s="340" t="s">
        <v>3789</v>
      </c>
      <c r="D73" s="340" t="s">
        <v>3790</v>
      </c>
      <c r="E73" s="341" t="s">
        <v>338</v>
      </c>
      <c r="F73" s="342">
        <v>53.0</v>
      </c>
      <c r="G73" s="342" t="s">
        <v>385</v>
      </c>
      <c r="H73" s="342" t="s">
        <v>480</v>
      </c>
      <c r="I73" s="342">
        <v>9.232154664E9</v>
      </c>
      <c r="J73" s="87">
        <v>18.0</v>
      </c>
      <c r="K73" s="55">
        <v>9.0</v>
      </c>
      <c r="L73" s="55">
        <v>0.0</v>
      </c>
      <c r="M73" s="55">
        <v>1.0</v>
      </c>
      <c r="N73" s="43">
        <f t="shared" si="3"/>
        <v>1</v>
      </c>
      <c r="O73" s="55">
        <v>14.0</v>
      </c>
      <c r="P73" s="55">
        <v>8.0</v>
      </c>
      <c r="Q73" s="43">
        <f t="shared" si="2"/>
        <v>23</v>
      </c>
      <c r="R73" s="43"/>
      <c r="S73" s="43"/>
      <c r="T73" s="43"/>
      <c r="U73" s="43"/>
      <c r="V73" s="43"/>
      <c r="W73" s="56" t="s">
        <v>46</v>
      </c>
      <c r="Z73" s="61"/>
      <c r="AA73" s="61"/>
      <c r="AB73" s="66"/>
      <c r="AC73" s="34"/>
      <c r="AD73" s="34"/>
    </row>
    <row r="74" ht="13.5" customHeight="1">
      <c r="A74" s="28">
        <v>68.0</v>
      </c>
      <c r="B74" s="339" t="s">
        <v>3791</v>
      </c>
      <c r="C74" s="340" t="s">
        <v>3792</v>
      </c>
      <c r="D74" s="340" t="s">
        <v>3793</v>
      </c>
      <c r="E74" s="341" t="s">
        <v>338</v>
      </c>
      <c r="F74" s="342">
        <v>34.0</v>
      </c>
      <c r="G74" s="342" t="s">
        <v>339</v>
      </c>
      <c r="H74" s="342" t="s">
        <v>663</v>
      </c>
      <c r="I74" s="342">
        <v>9.466055082E9</v>
      </c>
      <c r="J74" s="87">
        <v>27.0</v>
      </c>
      <c r="K74" s="55">
        <v>21.0</v>
      </c>
      <c r="L74" s="55">
        <v>4.0</v>
      </c>
      <c r="M74" s="55">
        <v>2.0</v>
      </c>
      <c r="N74" s="43">
        <f t="shared" si="3"/>
        <v>6</v>
      </c>
      <c r="O74" s="55">
        <v>5.0</v>
      </c>
      <c r="P74" s="55">
        <v>0.0</v>
      </c>
      <c r="Q74" s="43">
        <f t="shared" si="2"/>
        <v>11</v>
      </c>
      <c r="R74" s="43"/>
      <c r="S74" s="55" t="s">
        <v>88</v>
      </c>
      <c r="T74" s="43"/>
      <c r="U74" s="43"/>
      <c r="V74" s="43"/>
      <c r="W74" s="56" t="s">
        <v>46</v>
      </c>
      <c r="Z74" s="61"/>
      <c r="AA74" s="61"/>
      <c r="AB74" s="66"/>
      <c r="AC74" s="34"/>
      <c r="AD74" s="34"/>
    </row>
    <row r="75" ht="13.5" customHeight="1">
      <c r="A75" s="28">
        <v>69.0</v>
      </c>
      <c r="B75" s="339" t="s">
        <v>3794</v>
      </c>
      <c r="C75" s="340" t="s">
        <v>3403</v>
      </c>
      <c r="D75" s="340" t="s">
        <v>3795</v>
      </c>
      <c r="E75" s="341" t="s">
        <v>338</v>
      </c>
      <c r="F75" s="342">
        <v>57.0</v>
      </c>
      <c r="G75" s="342" t="s">
        <v>339</v>
      </c>
      <c r="H75" s="342" t="s">
        <v>646</v>
      </c>
      <c r="I75" s="342">
        <v>9.336568246E9</v>
      </c>
      <c r="J75" s="87">
        <v>20.0</v>
      </c>
      <c r="K75" s="55">
        <v>13.0</v>
      </c>
      <c r="L75" s="55">
        <v>3.0</v>
      </c>
      <c r="M75" s="55">
        <v>3.0</v>
      </c>
      <c r="N75" s="43">
        <f t="shared" si="3"/>
        <v>6</v>
      </c>
      <c r="O75" s="55">
        <v>12.0</v>
      </c>
      <c r="P75" s="55">
        <v>1.0</v>
      </c>
      <c r="Q75" s="43">
        <f t="shared" si="2"/>
        <v>19</v>
      </c>
      <c r="R75" s="43"/>
      <c r="S75" s="43"/>
      <c r="T75" s="43"/>
      <c r="U75" s="43"/>
      <c r="V75" s="43"/>
      <c r="W75" s="56" t="s">
        <v>46</v>
      </c>
      <c r="Z75" s="61"/>
      <c r="AA75" s="61"/>
      <c r="AB75" s="66"/>
      <c r="AC75" s="34"/>
      <c r="AD75" s="34"/>
    </row>
    <row r="76" ht="13.5" customHeight="1">
      <c r="A76" s="28">
        <v>70.0</v>
      </c>
      <c r="B76" s="339" t="s">
        <v>475</v>
      </c>
      <c r="C76" s="340" t="s">
        <v>3796</v>
      </c>
      <c r="D76" s="340" t="s">
        <v>2710</v>
      </c>
      <c r="E76" s="341" t="s">
        <v>338</v>
      </c>
      <c r="F76" s="342">
        <v>41.0</v>
      </c>
      <c r="G76" s="342" t="s">
        <v>339</v>
      </c>
      <c r="H76" s="342" t="s">
        <v>646</v>
      </c>
      <c r="I76" s="342">
        <v>9.684997913E9</v>
      </c>
      <c r="J76" s="54">
        <v>27.0</v>
      </c>
      <c r="K76" s="55">
        <v>14.0</v>
      </c>
      <c r="L76" s="55">
        <v>0.0</v>
      </c>
      <c r="M76" s="55">
        <v>1.0</v>
      </c>
      <c r="N76" s="43">
        <f t="shared" si="3"/>
        <v>1</v>
      </c>
      <c r="O76" s="55">
        <v>1.0</v>
      </c>
      <c r="P76" s="55">
        <v>12.0</v>
      </c>
      <c r="Q76" s="43">
        <f t="shared" si="2"/>
        <v>14</v>
      </c>
      <c r="R76" s="43"/>
      <c r="S76" s="43"/>
      <c r="T76" s="43"/>
      <c r="U76" s="43"/>
      <c r="V76" s="43"/>
      <c r="W76" s="56" t="s">
        <v>46</v>
      </c>
      <c r="Z76" s="61"/>
      <c r="AA76" s="61"/>
      <c r="AB76" s="66"/>
      <c r="AC76" s="34"/>
      <c r="AD76" s="34"/>
    </row>
    <row r="77" ht="13.5" customHeight="1">
      <c r="A77" s="28">
        <v>71.0</v>
      </c>
      <c r="B77" s="339" t="s">
        <v>475</v>
      </c>
      <c r="C77" s="340" t="s">
        <v>1193</v>
      </c>
      <c r="D77" s="340" t="s">
        <v>3797</v>
      </c>
      <c r="E77" s="341" t="s">
        <v>338</v>
      </c>
      <c r="F77" s="342">
        <v>49.0</v>
      </c>
      <c r="G77" s="342" t="s">
        <v>339</v>
      </c>
      <c r="H77" s="342" t="s">
        <v>435</v>
      </c>
      <c r="I77" s="342">
        <v>9.197031897E9</v>
      </c>
      <c r="J77" s="54">
        <v>29.0</v>
      </c>
      <c r="K77" s="55">
        <v>25.0</v>
      </c>
      <c r="L77" s="55">
        <v>0.0</v>
      </c>
      <c r="M77" s="55">
        <v>0.0</v>
      </c>
      <c r="N77" s="43">
        <f t="shared" si="3"/>
        <v>0</v>
      </c>
      <c r="O77" s="55">
        <v>3.0</v>
      </c>
      <c r="P77" s="55">
        <v>3.0</v>
      </c>
      <c r="Q77" s="43">
        <f t="shared" si="2"/>
        <v>6</v>
      </c>
      <c r="R77" s="43"/>
      <c r="S77" s="55" t="s">
        <v>101</v>
      </c>
      <c r="T77" s="43"/>
      <c r="U77" s="43"/>
      <c r="V77" s="55" t="s">
        <v>3798</v>
      </c>
      <c r="W77" s="56" t="s">
        <v>46</v>
      </c>
      <c r="Z77" s="61"/>
      <c r="AA77" s="61"/>
      <c r="AB77" s="66"/>
      <c r="AC77" s="34"/>
      <c r="AD77" s="34"/>
    </row>
    <row r="78" ht="13.5" customHeight="1">
      <c r="A78" s="28">
        <v>72.0</v>
      </c>
      <c r="B78" s="339" t="s">
        <v>1353</v>
      </c>
      <c r="C78" s="340" t="s">
        <v>3799</v>
      </c>
      <c r="D78" s="340" t="s">
        <v>1579</v>
      </c>
      <c r="E78" s="341" t="s">
        <v>338</v>
      </c>
      <c r="F78" s="342">
        <v>46.0</v>
      </c>
      <c r="G78" s="342" t="s">
        <v>339</v>
      </c>
      <c r="H78" s="342" t="s">
        <v>646</v>
      </c>
      <c r="I78" s="342" t="s">
        <v>3800</v>
      </c>
      <c r="J78" s="54">
        <v>28.0</v>
      </c>
      <c r="K78" s="55">
        <v>18.0</v>
      </c>
      <c r="L78" s="55">
        <v>0.0</v>
      </c>
      <c r="M78" s="55">
        <v>0.0</v>
      </c>
      <c r="N78" s="43">
        <f t="shared" si="3"/>
        <v>0</v>
      </c>
      <c r="O78" s="55">
        <v>4.0</v>
      </c>
      <c r="P78" s="55">
        <v>10.0</v>
      </c>
      <c r="Q78" s="43">
        <f t="shared" si="2"/>
        <v>14</v>
      </c>
      <c r="R78" s="43"/>
      <c r="S78" s="43"/>
      <c r="T78" s="43"/>
      <c r="U78" s="43"/>
      <c r="V78" s="43"/>
      <c r="W78" s="56" t="s">
        <v>46</v>
      </c>
      <c r="Z78" s="61"/>
      <c r="AA78" s="61"/>
      <c r="AB78" s="66"/>
      <c r="AC78" s="34"/>
      <c r="AD78" s="34"/>
    </row>
    <row r="79" ht="13.5" customHeight="1">
      <c r="A79" s="28">
        <v>73.0</v>
      </c>
      <c r="B79" s="339" t="s">
        <v>906</v>
      </c>
      <c r="C79" s="340" t="s">
        <v>3676</v>
      </c>
      <c r="D79" s="340" t="s">
        <v>1188</v>
      </c>
      <c r="E79" s="341" t="s">
        <v>338</v>
      </c>
      <c r="F79" s="342">
        <v>41.0</v>
      </c>
      <c r="G79" s="342" t="s">
        <v>385</v>
      </c>
      <c r="H79" s="342" t="s">
        <v>435</v>
      </c>
      <c r="I79" s="342">
        <v>9.815807082E9</v>
      </c>
      <c r="J79" s="54">
        <v>26.0</v>
      </c>
      <c r="K79" s="55">
        <v>19.0</v>
      </c>
      <c r="L79" s="55">
        <v>0.0</v>
      </c>
      <c r="M79" s="55">
        <v>1.0</v>
      </c>
      <c r="N79" s="43">
        <f t="shared" si="3"/>
        <v>1</v>
      </c>
      <c r="O79" s="55">
        <v>6.0</v>
      </c>
      <c r="P79" s="55">
        <v>5.0</v>
      </c>
      <c r="Q79" s="43">
        <f t="shared" si="2"/>
        <v>12</v>
      </c>
      <c r="R79" s="43"/>
      <c r="S79" s="43"/>
      <c r="T79" s="43"/>
      <c r="U79" s="43"/>
      <c r="V79" s="43"/>
      <c r="W79" s="56" t="s">
        <v>46</v>
      </c>
      <c r="Z79" s="61"/>
      <c r="AA79" s="61"/>
      <c r="AB79" s="66"/>
      <c r="AC79" s="34"/>
      <c r="AD79" s="34"/>
    </row>
    <row r="80" ht="13.5" customHeight="1">
      <c r="A80" s="28">
        <v>74.0</v>
      </c>
      <c r="B80" s="339" t="s">
        <v>906</v>
      </c>
      <c r="C80" s="340" t="s">
        <v>3801</v>
      </c>
      <c r="D80" s="340" t="s">
        <v>953</v>
      </c>
      <c r="E80" s="341" t="s">
        <v>338</v>
      </c>
      <c r="F80" s="342">
        <v>59.0</v>
      </c>
      <c r="G80" s="342" t="s">
        <v>385</v>
      </c>
      <c r="H80" s="342" t="s">
        <v>646</v>
      </c>
      <c r="I80" s="342">
        <v>9.215439994E9</v>
      </c>
      <c r="J80" s="54">
        <v>26.0</v>
      </c>
      <c r="K80" s="55">
        <v>19.0</v>
      </c>
      <c r="L80" s="55">
        <v>1.0</v>
      </c>
      <c r="M80" s="55">
        <v>1.0</v>
      </c>
      <c r="N80" s="43">
        <f t="shared" si="3"/>
        <v>2</v>
      </c>
      <c r="O80" s="55">
        <v>6.0</v>
      </c>
      <c r="P80" s="55">
        <v>5.0</v>
      </c>
      <c r="Q80" s="43">
        <f t="shared" si="2"/>
        <v>13</v>
      </c>
      <c r="R80" s="43"/>
      <c r="S80" s="43"/>
      <c r="T80" s="43"/>
      <c r="U80" s="43"/>
      <c r="V80" s="43"/>
      <c r="W80" s="56" t="s">
        <v>46</v>
      </c>
      <c r="Z80" s="61"/>
      <c r="AA80" s="61"/>
      <c r="AB80" s="66"/>
      <c r="AC80" s="34"/>
      <c r="AD80" s="34"/>
    </row>
    <row r="81" ht="13.5" customHeight="1">
      <c r="A81" s="28">
        <v>75.0</v>
      </c>
      <c r="B81" s="339" t="s">
        <v>906</v>
      </c>
      <c r="C81" s="340" t="s">
        <v>3802</v>
      </c>
      <c r="D81" s="340" t="s">
        <v>3803</v>
      </c>
      <c r="E81" s="341" t="s">
        <v>338</v>
      </c>
      <c r="F81" s="342">
        <v>53.0</v>
      </c>
      <c r="G81" s="342" t="s">
        <v>339</v>
      </c>
      <c r="H81" s="342" t="s">
        <v>646</v>
      </c>
      <c r="I81" s="342">
        <v>9.394005788E9</v>
      </c>
      <c r="J81" s="54">
        <v>24.0</v>
      </c>
      <c r="K81" s="55">
        <v>16.0</v>
      </c>
      <c r="L81" s="55">
        <v>0.0</v>
      </c>
      <c r="M81" s="55">
        <v>2.0</v>
      </c>
      <c r="N81" s="43">
        <f t="shared" si="3"/>
        <v>2</v>
      </c>
      <c r="O81" s="55">
        <v>4.0</v>
      </c>
      <c r="P81" s="55">
        <v>6.0</v>
      </c>
      <c r="Q81" s="43">
        <f t="shared" si="2"/>
        <v>12</v>
      </c>
      <c r="R81" s="43"/>
      <c r="S81" s="43"/>
      <c r="T81" s="43"/>
      <c r="U81" s="43"/>
      <c r="V81" s="43"/>
      <c r="W81" s="56" t="s">
        <v>46</v>
      </c>
      <c r="Z81" s="61"/>
      <c r="AA81" s="61"/>
      <c r="AB81" s="66"/>
      <c r="AC81" s="34"/>
      <c r="AD81" s="34"/>
    </row>
    <row r="82" ht="13.5" customHeight="1">
      <c r="A82" s="28">
        <v>76.0</v>
      </c>
      <c r="B82" s="339" t="s">
        <v>3804</v>
      </c>
      <c r="C82" s="340" t="s">
        <v>3805</v>
      </c>
      <c r="D82" s="340" t="s">
        <v>250</v>
      </c>
      <c r="E82" s="341" t="s">
        <v>338</v>
      </c>
      <c r="F82" s="342">
        <v>54.0</v>
      </c>
      <c r="G82" s="342" t="s">
        <v>339</v>
      </c>
      <c r="H82" s="342" t="s">
        <v>663</v>
      </c>
      <c r="I82" s="342">
        <v>9.196310352E9</v>
      </c>
      <c r="J82" s="54">
        <v>9.0</v>
      </c>
      <c r="K82" s="55">
        <v>4.0</v>
      </c>
      <c r="L82" s="55">
        <v>2.0</v>
      </c>
      <c r="M82" s="55">
        <v>3.0</v>
      </c>
      <c r="N82" s="43">
        <f t="shared" si="3"/>
        <v>5</v>
      </c>
      <c r="O82" s="55">
        <v>23.0</v>
      </c>
      <c r="P82" s="55">
        <v>0.0</v>
      </c>
      <c r="Q82" s="43">
        <f t="shared" si="2"/>
        <v>28</v>
      </c>
      <c r="R82" s="43"/>
      <c r="S82" s="55" t="s">
        <v>237</v>
      </c>
      <c r="T82" s="43"/>
      <c r="U82" s="43"/>
      <c r="V82" s="43"/>
      <c r="W82" s="56" t="s">
        <v>46</v>
      </c>
      <c r="Z82" s="61"/>
      <c r="AA82" s="61"/>
      <c r="AB82" s="66"/>
      <c r="AC82" s="34"/>
      <c r="AD82" s="34"/>
    </row>
    <row r="83" ht="13.5" customHeight="1">
      <c r="A83" s="28">
        <v>77.0</v>
      </c>
      <c r="B83" s="339" t="s">
        <v>405</v>
      </c>
      <c r="C83" s="340" t="s">
        <v>3806</v>
      </c>
      <c r="D83" s="340" t="s">
        <v>3807</v>
      </c>
      <c r="E83" s="341" t="s">
        <v>338</v>
      </c>
      <c r="F83" s="342">
        <v>56.0</v>
      </c>
      <c r="G83" s="342" t="s">
        <v>339</v>
      </c>
      <c r="H83" s="342" t="s">
        <v>646</v>
      </c>
      <c r="I83" s="342">
        <v>9.765216808E9</v>
      </c>
      <c r="J83" s="54">
        <v>30.0</v>
      </c>
      <c r="K83" s="55">
        <v>25.0</v>
      </c>
      <c r="L83" s="55">
        <v>0.0</v>
      </c>
      <c r="M83" s="55">
        <v>0.0</v>
      </c>
      <c r="N83" s="43">
        <f t="shared" si="3"/>
        <v>0</v>
      </c>
      <c r="O83" s="55">
        <v>2.0</v>
      </c>
      <c r="P83" s="55">
        <v>5.0</v>
      </c>
      <c r="Q83" s="43">
        <f t="shared" si="2"/>
        <v>7</v>
      </c>
      <c r="R83" s="43"/>
      <c r="S83" s="43"/>
      <c r="T83" s="43"/>
      <c r="U83" s="43"/>
      <c r="V83" s="43"/>
      <c r="W83" s="56" t="s">
        <v>46</v>
      </c>
      <c r="Z83" s="61"/>
      <c r="AA83" s="61"/>
      <c r="AB83" s="66"/>
      <c r="AC83" s="34"/>
      <c r="AD83" s="34"/>
    </row>
    <row r="84" ht="13.5" customHeight="1">
      <c r="A84" s="28">
        <v>78.0</v>
      </c>
      <c r="B84" s="339" t="s">
        <v>881</v>
      </c>
      <c r="C84" s="340" t="s">
        <v>3808</v>
      </c>
      <c r="D84" s="340" t="s">
        <v>3809</v>
      </c>
      <c r="E84" s="341" t="s">
        <v>338</v>
      </c>
      <c r="F84" s="342">
        <v>31.0</v>
      </c>
      <c r="G84" s="342" t="s">
        <v>339</v>
      </c>
      <c r="H84" s="342" t="s">
        <v>480</v>
      </c>
      <c r="I84" s="342">
        <v>9.430948125E9</v>
      </c>
      <c r="J84" s="54">
        <v>28.0</v>
      </c>
      <c r="K84" s="55">
        <v>22.0</v>
      </c>
      <c r="L84" s="55">
        <v>0.0</v>
      </c>
      <c r="M84" s="55">
        <v>5.0</v>
      </c>
      <c r="N84" s="43">
        <f t="shared" si="3"/>
        <v>5</v>
      </c>
      <c r="O84" s="55">
        <v>4.0</v>
      </c>
      <c r="P84" s="55">
        <v>1.0</v>
      </c>
      <c r="Q84" s="43">
        <f t="shared" si="2"/>
        <v>10</v>
      </c>
      <c r="R84" s="43"/>
      <c r="S84" s="43"/>
      <c r="T84" s="43"/>
      <c r="U84" s="43"/>
      <c r="V84" s="43"/>
      <c r="W84" s="56" t="s">
        <v>46</v>
      </c>
      <c r="Z84" s="61"/>
      <c r="AA84" s="61"/>
      <c r="AB84" s="66"/>
      <c r="AC84" s="34"/>
      <c r="AD84" s="34"/>
    </row>
    <row r="85" ht="13.5" customHeight="1">
      <c r="A85" s="28">
        <v>79.0</v>
      </c>
      <c r="B85" s="339" t="s">
        <v>881</v>
      </c>
      <c r="C85" s="340" t="s">
        <v>3810</v>
      </c>
      <c r="D85" s="340" t="s">
        <v>2402</v>
      </c>
      <c r="E85" s="341" t="s">
        <v>338</v>
      </c>
      <c r="F85" s="342">
        <v>48.0</v>
      </c>
      <c r="G85" s="342" t="s">
        <v>339</v>
      </c>
      <c r="H85" s="342" t="s">
        <v>646</v>
      </c>
      <c r="I85" s="342">
        <v>9.194908036E9</v>
      </c>
      <c r="J85" s="54">
        <v>26.0</v>
      </c>
      <c r="K85" s="55">
        <v>18.0</v>
      </c>
      <c r="L85" s="55">
        <v>0.0</v>
      </c>
      <c r="M85" s="55">
        <v>0.0</v>
      </c>
      <c r="N85" s="43">
        <f t="shared" si="3"/>
        <v>0</v>
      </c>
      <c r="O85" s="55">
        <v>6.0</v>
      </c>
      <c r="P85" s="55">
        <v>8.0</v>
      </c>
      <c r="Q85" s="43">
        <f t="shared" si="2"/>
        <v>14</v>
      </c>
      <c r="R85" s="43"/>
      <c r="S85" s="43"/>
      <c r="T85" s="43"/>
      <c r="U85" s="43"/>
      <c r="V85" s="43"/>
      <c r="W85" s="56" t="s">
        <v>46</v>
      </c>
      <c r="Z85" s="61"/>
      <c r="AA85" s="61"/>
      <c r="AB85" s="66"/>
      <c r="AC85" s="34"/>
      <c r="AD85" s="34"/>
    </row>
    <row r="86" ht="13.5" customHeight="1">
      <c r="A86" s="28">
        <v>80.0</v>
      </c>
      <c r="B86" s="339" t="s">
        <v>1216</v>
      </c>
      <c r="C86" s="340" t="s">
        <v>2228</v>
      </c>
      <c r="D86" s="340" t="s">
        <v>3811</v>
      </c>
      <c r="E86" s="341" t="s">
        <v>338</v>
      </c>
      <c r="F86" s="342">
        <v>41.0</v>
      </c>
      <c r="G86" s="342" t="s">
        <v>339</v>
      </c>
      <c r="H86" s="342" t="s">
        <v>480</v>
      </c>
      <c r="I86" s="342">
        <v>9.932882875E9</v>
      </c>
      <c r="J86" s="54">
        <v>30.0</v>
      </c>
      <c r="K86" s="55">
        <v>28.0</v>
      </c>
      <c r="L86" s="55">
        <v>0.0</v>
      </c>
      <c r="M86" s="55">
        <v>0.0</v>
      </c>
      <c r="N86" s="43">
        <f t="shared" si="3"/>
        <v>0</v>
      </c>
      <c r="O86" s="55">
        <v>2.0</v>
      </c>
      <c r="P86" s="55">
        <v>2.0</v>
      </c>
      <c r="Q86" s="43">
        <f t="shared" si="2"/>
        <v>4</v>
      </c>
      <c r="R86" s="43"/>
      <c r="S86" s="43"/>
      <c r="T86" s="43"/>
      <c r="U86" s="43"/>
      <c r="V86" s="43"/>
      <c r="W86" s="56" t="s">
        <v>46</v>
      </c>
      <c r="Z86" s="61"/>
      <c r="AA86" s="61"/>
      <c r="AB86" s="66"/>
      <c r="AC86" s="34"/>
      <c r="AD86" s="34"/>
    </row>
    <row r="87" ht="13.5" customHeight="1">
      <c r="A87" s="28">
        <v>81.0</v>
      </c>
      <c r="B87" s="339" t="s">
        <v>3812</v>
      </c>
      <c r="C87" s="340" t="s">
        <v>2598</v>
      </c>
      <c r="D87" s="340" t="s">
        <v>3813</v>
      </c>
      <c r="E87" s="341" t="s">
        <v>338</v>
      </c>
      <c r="F87" s="342">
        <v>26.0</v>
      </c>
      <c r="G87" s="342" t="s">
        <v>339</v>
      </c>
      <c r="H87" s="342" t="s">
        <v>435</v>
      </c>
      <c r="I87" s="342">
        <v>9.503046554E9</v>
      </c>
      <c r="J87" s="54">
        <v>29.0</v>
      </c>
      <c r="K87" s="55">
        <v>24.0</v>
      </c>
      <c r="L87" s="55">
        <v>0.0</v>
      </c>
      <c r="M87" s="55">
        <v>4.0</v>
      </c>
      <c r="N87" s="43">
        <f t="shared" si="3"/>
        <v>4</v>
      </c>
      <c r="O87" s="55">
        <v>3.0</v>
      </c>
      <c r="P87" s="55">
        <v>1.0</v>
      </c>
      <c r="Q87" s="43">
        <f t="shared" si="2"/>
        <v>8</v>
      </c>
      <c r="R87" s="43"/>
      <c r="S87" s="43"/>
      <c r="T87" s="43"/>
      <c r="U87" s="43"/>
      <c r="V87" s="43"/>
      <c r="W87" s="56" t="s">
        <v>46</v>
      </c>
      <c r="Z87" s="61"/>
      <c r="AA87" s="61"/>
      <c r="AB87" s="66"/>
      <c r="AC87" s="34"/>
      <c r="AD87" s="34"/>
    </row>
    <row r="88" ht="13.5" customHeight="1">
      <c r="A88" s="28">
        <v>82.0</v>
      </c>
      <c r="B88" s="339" t="s">
        <v>2513</v>
      </c>
      <c r="C88" s="340" t="s">
        <v>3814</v>
      </c>
      <c r="D88" s="340" t="s">
        <v>3397</v>
      </c>
      <c r="E88" s="341" t="s">
        <v>338</v>
      </c>
      <c r="F88" s="342">
        <v>44.0</v>
      </c>
      <c r="G88" s="342" t="s">
        <v>339</v>
      </c>
      <c r="H88" s="342" t="s">
        <v>435</v>
      </c>
      <c r="I88" s="342">
        <v>9.193700518E9</v>
      </c>
      <c r="J88" s="54">
        <v>27.0</v>
      </c>
      <c r="K88" s="55">
        <v>23.0</v>
      </c>
      <c r="L88" s="55">
        <v>0.0</v>
      </c>
      <c r="M88" s="55">
        <v>0.0</v>
      </c>
      <c r="N88" s="43">
        <f t="shared" si="3"/>
        <v>0</v>
      </c>
      <c r="O88" s="55">
        <v>5.0</v>
      </c>
      <c r="P88" s="55">
        <v>4.0</v>
      </c>
      <c r="Q88" s="43">
        <f t="shared" si="2"/>
        <v>9</v>
      </c>
      <c r="R88" s="43"/>
      <c r="S88" s="43"/>
      <c r="T88" s="43"/>
      <c r="U88" s="43"/>
      <c r="V88" s="43"/>
      <c r="W88" s="56" t="s">
        <v>46</v>
      </c>
      <c r="Z88" s="61"/>
      <c r="AA88" s="61"/>
      <c r="AB88" s="66"/>
      <c r="AC88" s="34"/>
      <c r="AD88" s="34"/>
    </row>
    <row r="89" ht="13.5" customHeight="1">
      <c r="A89" s="28">
        <v>83.0</v>
      </c>
      <c r="B89" s="339" t="s">
        <v>3815</v>
      </c>
      <c r="C89" s="340" t="s">
        <v>1133</v>
      </c>
      <c r="D89" s="340" t="s">
        <v>864</v>
      </c>
      <c r="E89" s="341" t="s">
        <v>338</v>
      </c>
      <c r="F89" s="342">
        <v>44.0</v>
      </c>
      <c r="G89" s="342" t="s">
        <v>339</v>
      </c>
      <c r="H89" s="342" t="s">
        <v>3780</v>
      </c>
      <c r="I89" s="342">
        <v>9.19687862E9</v>
      </c>
      <c r="J89" s="54">
        <v>26.0</v>
      </c>
      <c r="K89" s="55">
        <v>17.0</v>
      </c>
      <c r="L89" s="55">
        <v>0.0</v>
      </c>
      <c r="M89" s="55">
        <v>1.0</v>
      </c>
      <c r="N89" s="43">
        <f t="shared" si="3"/>
        <v>1</v>
      </c>
      <c r="O89" s="55">
        <v>4.0</v>
      </c>
      <c r="P89" s="55">
        <v>8.0</v>
      </c>
      <c r="Q89" s="43">
        <f t="shared" si="2"/>
        <v>13</v>
      </c>
      <c r="R89" s="43"/>
      <c r="S89" s="43"/>
      <c r="T89" s="43"/>
      <c r="U89" s="43"/>
      <c r="V89" s="43"/>
      <c r="W89" s="56" t="s">
        <v>46</v>
      </c>
      <c r="Z89" s="61"/>
      <c r="AA89" s="61"/>
      <c r="AB89" s="66"/>
      <c r="AC89" s="34"/>
      <c r="AD89" s="34"/>
    </row>
    <row r="90" ht="13.5" customHeight="1">
      <c r="A90" s="28">
        <v>84.0</v>
      </c>
      <c r="B90" s="339" t="s">
        <v>3816</v>
      </c>
      <c r="C90" s="340" t="s">
        <v>1786</v>
      </c>
      <c r="D90" s="340" t="s">
        <v>3817</v>
      </c>
      <c r="E90" s="341" t="s">
        <v>338</v>
      </c>
      <c r="F90" s="342">
        <v>35.0</v>
      </c>
      <c r="G90" s="342" t="s">
        <v>339</v>
      </c>
      <c r="H90" s="342" t="s">
        <v>2658</v>
      </c>
      <c r="I90" s="342">
        <v>9.099261021E9</v>
      </c>
      <c r="J90" s="54">
        <v>29.0</v>
      </c>
      <c r="K90" s="55">
        <v>27.0</v>
      </c>
      <c r="L90" s="55">
        <v>0.0</v>
      </c>
      <c r="M90" s="55">
        <v>2.0</v>
      </c>
      <c r="N90" s="43">
        <f t="shared" si="3"/>
        <v>2</v>
      </c>
      <c r="O90" s="55">
        <v>3.0</v>
      </c>
      <c r="P90" s="55">
        <v>0.0</v>
      </c>
      <c r="Q90" s="43">
        <f t="shared" si="2"/>
        <v>5</v>
      </c>
      <c r="R90" s="43"/>
      <c r="S90" s="43"/>
      <c r="T90" s="43"/>
      <c r="U90" s="43"/>
      <c r="V90" s="43"/>
      <c r="W90" s="56" t="s">
        <v>46</v>
      </c>
      <c r="Z90" s="61"/>
      <c r="AA90" s="61"/>
      <c r="AB90" s="66"/>
      <c r="AC90" s="34"/>
      <c r="AD90" s="34"/>
    </row>
    <row r="91" ht="13.5" customHeight="1">
      <c r="A91" s="28">
        <v>85.0</v>
      </c>
      <c r="B91" s="339" t="s">
        <v>3818</v>
      </c>
      <c r="C91" s="340" t="s">
        <v>3819</v>
      </c>
      <c r="D91" s="340" t="s">
        <v>3820</v>
      </c>
      <c r="E91" s="341" t="s">
        <v>338</v>
      </c>
      <c r="F91" s="342">
        <v>36.0</v>
      </c>
      <c r="G91" s="342" t="s">
        <v>385</v>
      </c>
      <c r="H91" s="342" t="s">
        <v>480</v>
      </c>
      <c r="I91" s="342">
        <v>9.198511517E9</v>
      </c>
      <c r="J91" s="54">
        <v>27.0</v>
      </c>
      <c r="K91" s="55">
        <v>15.0</v>
      </c>
      <c r="L91" s="55">
        <v>1.0</v>
      </c>
      <c r="M91" s="55">
        <v>9.0</v>
      </c>
      <c r="N91" s="43">
        <f t="shared" si="3"/>
        <v>10</v>
      </c>
      <c r="O91" s="55">
        <v>5.0</v>
      </c>
      <c r="P91" s="55">
        <v>2.0</v>
      </c>
      <c r="Q91" s="43">
        <f t="shared" si="2"/>
        <v>17</v>
      </c>
      <c r="R91" s="43"/>
      <c r="S91" s="43"/>
      <c r="T91" s="43"/>
      <c r="U91" s="43"/>
      <c r="V91" s="43"/>
      <c r="W91" s="56" t="s">
        <v>46</v>
      </c>
      <c r="Z91" s="61"/>
      <c r="AA91" s="61"/>
      <c r="AB91" s="66"/>
      <c r="AC91" s="34"/>
      <c r="AD91" s="34"/>
    </row>
    <row r="92" ht="13.5" customHeight="1">
      <c r="A92" s="28">
        <v>86.0</v>
      </c>
      <c r="B92" s="339" t="s">
        <v>3821</v>
      </c>
      <c r="C92" s="340" t="s">
        <v>3822</v>
      </c>
      <c r="D92" s="340" t="s">
        <v>1164</v>
      </c>
      <c r="E92" s="341" t="s">
        <v>338</v>
      </c>
      <c r="F92" s="342">
        <v>49.0</v>
      </c>
      <c r="G92" s="342" t="s">
        <v>339</v>
      </c>
      <c r="H92" s="342" t="s">
        <v>2658</v>
      </c>
      <c r="I92" s="342">
        <v>9.090056605E9</v>
      </c>
      <c r="J92" s="54">
        <v>31.0</v>
      </c>
      <c r="K92" s="55">
        <v>25.0</v>
      </c>
      <c r="L92" s="55">
        <v>0.0</v>
      </c>
      <c r="M92" s="55">
        <v>6.0</v>
      </c>
      <c r="N92" s="43">
        <f t="shared" si="3"/>
        <v>6</v>
      </c>
      <c r="O92" s="55">
        <v>1.0</v>
      </c>
      <c r="P92" s="55">
        <v>0.0</v>
      </c>
      <c r="Q92" s="43">
        <f t="shared" si="2"/>
        <v>7</v>
      </c>
      <c r="R92" s="43"/>
      <c r="S92" s="43"/>
      <c r="T92" s="43"/>
      <c r="U92" s="43"/>
      <c r="V92" s="43"/>
      <c r="W92" s="56" t="s">
        <v>46</v>
      </c>
      <c r="Z92" s="61"/>
      <c r="AA92" s="61"/>
      <c r="AB92" s="66"/>
      <c r="AC92" s="34"/>
      <c r="AD92" s="34"/>
    </row>
    <row r="93" ht="13.5" customHeight="1">
      <c r="A93" s="28">
        <v>87.0</v>
      </c>
      <c r="B93" s="339" t="s">
        <v>3823</v>
      </c>
      <c r="C93" s="340" t="s">
        <v>3824</v>
      </c>
      <c r="D93" s="340" t="s">
        <v>981</v>
      </c>
      <c r="E93" s="341" t="s">
        <v>338</v>
      </c>
      <c r="F93" s="342">
        <v>26.0</v>
      </c>
      <c r="G93" s="342" t="s">
        <v>385</v>
      </c>
      <c r="H93" s="342" t="s">
        <v>663</v>
      </c>
      <c r="I93" s="342">
        <v>9.077906516E9</v>
      </c>
      <c r="J93" s="54">
        <v>28.0</v>
      </c>
      <c r="K93" s="55">
        <v>22.0</v>
      </c>
      <c r="L93" s="55">
        <v>0.0</v>
      </c>
      <c r="M93" s="55">
        <v>2.0</v>
      </c>
      <c r="N93" s="43">
        <f t="shared" si="3"/>
        <v>2</v>
      </c>
      <c r="O93" s="55">
        <v>3.0</v>
      </c>
      <c r="P93" s="55">
        <v>4.0</v>
      </c>
      <c r="Q93" s="43">
        <f t="shared" si="2"/>
        <v>9</v>
      </c>
      <c r="R93" s="43"/>
      <c r="S93" s="55" t="s">
        <v>277</v>
      </c>
      <c r="T93" s="43"/>
      <c r="U93" s="43"/>
      <c r="V93" s="43"/>
      <c r="W93" s="56" t="s">
        <v>46</v>
      </c>
      <c r="Z93" s="61"/>
      <c r="AA93" s="61"/>
      <c r="AB93" s="66"/>
      <c r="AC93" s="34"/>
      <c r="AD93" s="34"/>
    </row>
    <row r="94" ht="13.5" customHeight="1">
      <c r="A94" s="28">
        <v>88.0</v>
      </c>
      <c r="B94" s="339" t="s">
        <v>2710</v>
      </c>
      <c r="C94" s="340" t="s">
        <v>1354</v>
      </c>
      <c r="D94" s="340" t="s">
        <v>3825</v>
      </c>
      <c r="E94" s="341" t="s">
        <v>338</v>
      </c>
      <c r="F94" s="342">
        <v>28.0</v>
      </c>
      <c r="G94" s="342" t="s">
        <v>385</v>
      </c>
      <c r="H94" s="342" t="s">
        <v>663</v>
      </c>
      <c r="I94" s="342">
        <v>9.995921324E9</v>
      </c>
      <c r="J94" s="54">
        <v>31.0</v>
      </c>
      <c r="K94" s="55">
        <v>23.0</v>
      </c>
      <c r="L94" s="55">
        <v>0.0</v>
      </c>
      <c r="M94" s="55">
        <v>8.0</v>
      </c>
      <c r="N94" s="43">
        <f t="shared" si="3"/>
        <v>8</v>
      </c>
      <c r="O94" s="55">
        <v>1.0</v>
      </c>
      <c r="P94" s="55">
        <v>0.0</v>
      </c>
      <c r="Q94" s="43">
        <f t="shared" si="2"/>
        <v>9</v>
      </c>
      <c r="R94" s="43"/>
      <c r="S94" s="43"/>
      <c r="T94" s="43"/>
      <c r="U94" s="43"/>
      <c r="V94" s="43"/>
      <c r="W94" s="56" t="s">
        <v>46</v>
      </c>
      <c r="Z94" s="61"/>
      <c r="AA94" s="61"/>
      <c r="AB94" s="66"/>
      <c r="AC94" s="34"/>
      <c r="AD94" s="34"/>
    </row>
    <row r="95" ht="13.5" customHeight="1">
      <c r="A95" s="28">
        <v>89.0</v>
      </c>
      <c r="B95" s="339" t="s">
        <v>3826</v>
      </c>
      <c r="C95" s="340" t="s">
        <v>1940</v>
      </c>
      <c r="D95" s="340" t="s">
        <v>881</v>
      </c>
      <c r="E95" s="341" t="s">
        <v>338</v>
      </c>
      <c r="F95" s="342">
        <v>55.0</v>
      </c>
      <c r="G95" s="342" t="s">
        <v>339</v>
      </c>
      <c r="H95" s="342" t="s">
        <v>839</v>
      </c>
      <c r="I95" s="342">
        <v>9.393777561E9</v>
      </c>
      <c r="J95" s="54">
        <v>20.0</v>
      </c>
      <c r="K95" s="55">
        <v>18.0</v>
      </c>
      <c r="L95" s="55">
        <v>0.0</v>
      </c>
      <c r="M95" s="55">
        <v>1.0</v>
      </c>
      <c r="N95" s="43">
        <f t="shared" si="3"/>
        <v>1</v>
      </c>
      <c r="O95" s="55">
        <v>6.0</v>
      </c>
      <c r="P95" s="55">
        <v>4.0</v>
      </c>
      <c r="Q95" s="43">
        <f t="shared" si="2"/>
        <v>11</v>
      </c>
      <c r="R95" s="43"/>
      <c r="S95" s="55" t="s">
        <v>88</v>
      </c>
      <c r="T95" s="43"/>
      <c r="U95" s="43"/>
      <c r="V95" s="43"/>
      <c r="W95" s="56" t="s">
        <v>46</v>
      </c>
      <c r="Z95" s="61"/>
      <c r="AA95" s="61"/>
      <c r="AB95" s="66"/>
      <c r="AC95" s="34"/>
      <c r="AD95" s="34"/>
    </row>
    <row r="96" ht="13.5" customHeight="1">
      <c r="A96" s="28">
        <v>90.0</v>
      </c>
      <c r="B96" s="339" t="s">
        <v>3826</v>
      </c>
      <c r="C96" s="340" t="s">
        <v>3827</v>
      </c>
      <c r="D96" s="340" t="s">
        <v>3828</v>
      </c>
      <c r="E96" s="341" t="s">
        <v>338</v>
      </c>
      <c r="F96" s="342">
        <v>25.0</v>
      </c>
      <c r="G96" s="342" t="s">
        <v>339</v>
      </c>
      <c r="H96" s="342" t="s">
        <v>663</v>
      </c>
      <c r="I96" s="342">
        <v>9.198789236E9</v>
      </c>
      <c r="J96" s="54">
        <v>31.0</v>
      </c>
      <c r="K96" s="55">
        <v>30.0</v>
      </c>
      <c r="L96" s="55">
        <v>0.0</v>
      </c>
      <c r="M96" s="55">
        <v>1.0</v>
      </c>
      <c r="N96" s="43">
        <f t="shared" si="3"/>
        <v>1</v>
      </c>
      <c r="O96" s="55">
        <v>1.0</v>
      </c>
      <c r="P96" s="55">
        <v>0.0</v>
      </c>
      <c r="Q96" s="43">
        <f t="shared" si="2"/>
        <v>2</v>
      </c>
      <c r="R96" s="43"/>
      <c r="S96" s="43"/>
      <c r="T96" s="43"/>
      <c r="U96" s="43"/>
      <c r="V96" s="43"/>
      <c r="W96" s="56" t="s">
        <v>46</v>
      </c>
      <c r="Z96" s="61"/>
      <c r="AA96" s="61"/>
      <c r="AB96" s="66"/>
      <c r="AC96" s="34"/>
      <c r="AD96" s="34"/>
    </row>
    <row r="97" ht="13.5" customHeight="1">
      <c r="A97" s="28">
        <v>91.0</v>
      </c>
      <c r="B97" s="339" t="s">
        <v>3829</v>
      </c>
      <c r="C97" s="340" t="s">
        <v>2794</v>
      </c>
      <c r="D97" s="340" t="s">
        <v>3830</v>
      </c>
      <c r="E97" s="341" t="s">
        <v>338</v>
      </c>
      <c r="F97" s="342">
        <v>40.0</v>
      </c>
      <c r="G97" s="342" t="s">
        <v>385</v>
      </c>
      <c r="H97" s="342" t="s">
        <v>646</v>
      </c>
      <c r="I97" s="342">
        <v>9.625284716E9</v>
      </c>
      <c r="J97" s="54">
        <v>26.0</v>
      </c>
      <c r="K97" s="55">
        <v>22.0</v>
      </c>
      <c r="L97" s="55">
        <v>1.0</v>
      </c>
      <c r="M97" s="55">
        <v>3.0</v>
      </c>
      <c r="N97" s="43">
        <f t="shared" si="3"/>
        <v>4</v>
      </c>
      <c r="O97" s="55">
        <v>6.0</v>
      </c>
      <c r="P97" s="55">
        <v>0.0</v>
      </c>
      <c r="Q97" s="43">
        <f t="shared" si="2"/>
        <v>10</v>
      </c>
      <c r="R97" s="43"/>
      <c r="S97" s="55" t="s">
        <v>648</v>
      </c>
      <c r="T97" s="55" t="s">
        <v>140</v>
      </c>
      <c r="U97" s="43"/>
      <c r="V97" s="55" t="s">
        <v>3831</v>
      </c>
      <c r="W97" s="56" t="s">
        <v>46</v>
      </c>
      <c r="Z97" s="61"/>
      <c r="AA97" s="61"/>
      <c r="AB97" s="66"/>
      <c r="AC97" s="34"/>
      <c r="AD97" s="34"/>
    </row>
    <row r="98" ht="13.5" customHeight="1">
      <c r="A98" s="28">
        <v>92.0</v>
      </c>
      <c r="B98" s="339" t="s">
        <v>3832</v>
      </c>
      <c r="C98" s="340" t="s">
        <v>3403</v>
      </c>
      <c r="D98" s="340" t="s">
        <v>3833</v>
      </c>
      <c r="E98" s="341" t="s">
        <v>338</v>
      </c>
      <c r="F98" s="342">
        <v>45.0</v>
      </c>
      <c r="G98" s="342" t="s">
        <v>339</v>
      </c>
      <c r="H98" s="342" t="s">
        <v>340</v>
      </c>
      <c r="I98" s="342">
        <v>9.605314165E9</v>
      </c>
      <c r="J98" s="54">
        <v>18.0</v>
      </c>
      <c r="K98" s="55">
        <v>17.0</v>
      </c>
      <c r="L98" s="55">
        <v>0.0</v>
      </c>
      <c r="M98" s="55">
        <v>0.0</v>
      </c>
      <c r="N98" s="43">
        <f t="shared" si="3"/>
        <v>0</v>
      </c>
      <c r="O98" s="55">
        <v>14.0</v>
      </c>
      <c r="P98" s="55">
        <v>1.0</v>
      </c>
      <c r="Q98" s="43">
        <f t="shared" si="2"/>
        <v>15</v>
      </c>
      <c r="R98" s="43"/>
      <c r="S98" s="55" t="s">
        <v>88</v>
      </c>
      <c r="T98" s="43"/>
      <c r="U98" s="43"/>
      <c r="V98" s="43"/>
      <c r="W98" s="56" t="s">
        <v>46</v>
      </c>
      <c r="Z98" s="61"/>
      <c r="AA98" s="61"/>
      <c r="AB98" s="66"/>
      <c r="AC98" s="34"/>
      <c r="AD98" s="34"/>
    </row>
    <row r="99" ht="13.5" customHeight="1">
      <c r="A99" s="28">
        <v>93.0</v>
      </c>
      <c r="B99" s="339" t="s">
        <v>3834</v>
      </c>
      <c r="C99" s="340" t="s">
        <v>3835</v>
      </c>
      <c r="D99" s="340" t="s">
        <v>3836</v>
      </c>
      <c r="E99" s="341" t="s">
        <v>338</v>
      </c>
      <c r="F99" s="342">
        <v>27.0</v>
      </c>
      <c r="G99" s="342" t="s">
        <v>339</v>
      </c>
      <c r="H99" s="342" t="s">
        <v>340</v>
      </c>
      <c r="I99" s="342">
        <v>9.677883952E9</v>
      </c>
      <c r="J99" s="54">
        <v>27.0</v>
      </c>
      <c r="K99" s="55">
        <v>23.0</v>
      </c>
      <c r="L99" s="55">
        <v>0.0</v>
      </c>
      <c r="M99" s="55">
        <v>4.0</v>
      </c>
      <c r="N99" s="43">
        <f t="shared" si="3"/>
        <v>4</v>
      </c>
      <c r="O99" s="55">
        <v>1.0</v>
      </c>
      <c r="P99" s="55">
        <v>0.0</v>
      </c>
      <c r="Q99" s="43">
        <f t="shared" si="2"/>
        <v>5</v>
      </c>
      <c r="R99" s="43"/>
      <c r="S99" s="43"/>
      <c r="T99" s="43"/>
      <c r="U99" s="43"/>
      <c r="V99" s="43"/>
      <c r="W99" s="56" t="s">
        <v>46</v>
      </c>
      <c r="Z99" s="61"/>
      <c r="AA99" s="61"/>
      <c r="AB99" s="66"/>
      <c r="AC99" s="34"/>
      <c r="AD99" s="34"/>
    </row>
    <row r="100" ht="13.5" customHeight="1">
      <c r="A100" s="28">
        <v>94.0</v>
      </c>
      <c r="B100" s="339" t="s">
        <v>3837</v>
      </c>
      <c r="C100" s="340" t="s">
        <v>427</v>
      </c>
      <c r="D100" s="340" t="s">
        <v>3838</v>
      </c>
      <c r="E100" s="341" t="s">
        <v>338</v>
      </c>
      <c r="F100" s="342">
        <v>51.0</v>
      </c>
      <c r="G100" s="342" t="s">
        <v>339</v>
      </c>
      <c r="H100" s="342" t="s">
        <v>833</v>
      </c>
      <c r="I100" s="342">
        <v>9.062502087E9</v>
      </c>
      <c r="J100" s="54">
        <v>32.0</v>
      </c>
      <c r="K100" s="55">
        <v>31.0</v>
      </c>
      <c r="L100" s="55">
        <v>0.0</v>
      </c>
      <c r="M100" s="55">
        <v>1.0</v>
      </c>
      <c r="N100" s="43">
        <f t="shared" si="3"/>
        <v>1</v>
      </c>
      <c r="O100" s="55">
        <v>0.0</v>
      </c>
      <c r="P100" s="55">
        <v>0.0</v>
      </c>
      <c r="Q100" s="43">
        <f t="shared" si="2"/>
        <v>1</v>
      </c>
      <c r="R100" s="43"/>
      <c r="S100" s="43"/>
      <c r="T100" s="43"/>
      <c r="U100" s="43"/>
      <c r="V100" s="43"/>
      <c r="W100" s="56" t="s">
        <v>46</v>
      </c>
      <c r="Z100" s="61"/>
      <c r="AA100" s="61"/>
      <c r="AB100" s="66"/>
      <c r="AC100" s="34"/>
      <c r="AD100" s="34"/>
    </row>
    <row r="101" ht="13.5" customHeight="1">
      <c r="A101" s="28">
        <v>95.0</v>
      </c>
      <c r="B101" s="339" t="s">
        <v>3839</v>
      </c>
      <c r="C101" s="340" t="s">
        <v>3840</v>
      </c>
      <c r="D101" s="340" t="s">
        <v>3829</v>
      </c>
      <c r="E101" s="341" t="s">
        <v>338</v>
      </c>
      <c r="F101" s="342">
        <v>33.0</v>
      </c>
      <c r="G101" s="342" t="s">
        <v>339</v>
      </c>
      <c r="H101" s="342" t="s">
        <v>839</v>
      </c>
      <c r="I101" s="342">
        <v>9.684992054E9</v>
      </c>
      <c r="J101" s="54">
        <v>31.0</v>
      </c>
      <c r="K101" s="55">
        <v>29.0</v>
      </c>
      <c r="L101" s="55">
        <v>0.0</v>
      </c>
      <c r="M101" s="55">
        <v>1.0</v>
      </c>
      <c r="N101" s="43">
        <f t="shared" si="3"/>
        <v>1</v>
      </c>
      <c r="O101" s="55">
        <v>1.0</v>
      </c>
      <c r="P101" s="55">
        <v>1.0</v>
      </c>
      <c r="Q101" s="43">
        <f t="shared" si="2"/>
        <v>3</v>
      </c>
      <c r="R101" s="43"/>
      <c r="S101" s="43"/>
      <c r="T101" s="43"/>
      <c r="U101" s="43"/>
      <c r="V101" s="43"/>
      <c r="W101" s="56" t="s">
        <v>46</v>
      </c>
      <c r="Z101" s="61"/>
      <c r="AA101" s="61"/>
      <c r="AB101" s="66"/>
      <c r="AC101" s="34"/>
      <c r="AD101" s="34"/>
    </row>
    <row r="102" ht="13.5" customHeight="1">
      <c r="A102" s="28">
        <v>96.0</v>
      </c>
      <c r="B102" s="339" t="s">
        <v>3841</v>
      </c>
      <c r="C102" s="340" t="s">
        <v>3842</v>
      </c>
      <c r="D102" s="340" t="s">
        <v>3843</v>
      </c>
      <c r="E102" s="341" t="s">
        <v>338</v>
      </c>
      <c r="F102" s="342">
        <v>33.0</v>
      </c>
      <c r="G102" s="342" t="s">
        <v>339</v>
      </c>
      <c r="H102" s="342" t="s">
        <v>663</v>
      </c>
      <c r="I102" s="342">
        <v>9.995663689E9</v>
      </c>
      <c r="J102" s="54">
        <v>31.0</v>
      </c>
      <c r="K102" s="55">
        <v>29.0</v>
      </c>
      <c r="L102" s="55">
        <v>0.0</v>
      </c>
      <c r="M102" s="55">
        <v>1.0</v>
      </c>
      <c r="N102" s="43">
        <f t="shared" si="3"/>
        <v>1</v>
      </c>
      <c r="O102" s="55">
        <v>1.0</v>
      </c>
      <c r="P102" s="55">
        <v>0.0</v>
      </c>
      <c r="Q102" s="43">
        <f t="shared" si="2"/>
        <v>2</v>
      </c>
      <c r="R102" s="43"/>
      <c r="S102" s="43"/>
      <c r="T102" s="43"/>
      <c r="U102" s="43"/>
      <c r="V102" s="43"/>
      <c r="W102" s="56" t="s">
        <v>46</v>
      </c>
      <c r="Z102" s="61"/>
      <c r="AA102" s="61"/>
      <c r="AB102" s="66"/>
      <c r="AC102" s="34"/>
      <c r="AD102" s="34"/>
    </row>
    <row r="103" ht="13.5" customHeight="1">
      <c r="A103" s="28">
        <v>97.0</v>
      </c>
      <c r="B103" s="339" t="s">
        <v>1316</v>
      </c>
      <c r="C103" s="340" t="s">
        <v>3844</v>
      </c>
      <c r="D103" s="340" t="s">
        <v>913</v>
      </c>
      <c r="E103" s="341" t="s">
        <v>338</v>
      </c>
      <c r="F103" s="342">
        <v>48.0</v>
      </c>
      <c r="G103" s="342" t="s">
        <v>339</v>
      </c>
      <c r="H103" s="342" t="s">
        <v>3845</v>
      </c>
      <c r="I103" s="342">
        <v>9.198896483E9</v>
      </c>
      <c r="J103" s="54">
        <v>23.0</v>
      </c>
      <c r="K103" s="55">
        <v>15.0</v>
      </c>
      <c r="L103" s="55">
        <v>2.0</v>
      </c>
      <c r="M103" s="55">
        <v>4.0</v>
      </c>
      <c r="N103" s="43">
        <f t="shared" si="3"/>
        <v>6</v>
      </c>
      <c r="O103" s="55">
        <v>5.0</v>
      </c>
      <c r="P103" s="55">
        <v>2.0</v>
      </c>
      <c r="Q103" s="43">
        <f t="shared" si="2"/>
        <v>13</v>
      </c>
      <c r="R103" s="43"/>
      <c r="S103" s="43"/>
      <c r="T103" s="43"/>
      <c r="U103" s="43"/>
      <c r="V103" s="43"/>
      <c r="W103" s="56" t="s">
        <v>46</v>
      </c>
      <c r="Z103" s="61"/>
      <c r="AA103" s="61"/>
      <c r="AB103" s="66"/>
      <c r="AC103" s="34"/>
      <c r="AD103" s="34"/>
    </row>
    <row r="104" ht="13.5" customHeight="1">
      <c r="A104" s="28">
        <v>98.0</v>
      </c>
      <c r="B104" s="339" t="s">
        <v>3846</v>
      </c>
      <c r="C104" s="340" t="s">
        <v>1734</v>
      </c>
      <c r="D104" s="340" t="s">
        <v>3687</v>
      </c>
      <c r="E104" s="341" t="s">
        <v>338</v>
      </c>
      <c r="F104" s="342">
        <v>63.0</v>
      </c>
      <c r="G104" s="342" t="s">
        <v>339</v>
      </c>
      <c r="H104" s="342" t="s">
        <v>833</v>
      </c>
      <c r="I104" s="342">
        <v>9.420757576E9</v>
      </c>
      <c r="J104" s="54">
        <v>26.0</v>
      </c>
      <c r="K104" s="55">
        <v>18.0</v>
      </c>
      <c r="L104" s="55">
        <v>1.0</v>
      </c>
      <c r="M104" s="55">
        <v>5.0</v>
      </c>
      <c r="N104" s="43">
        <f t="shared" si="3"/>
        <v>6</v>
      </c>
      <c r="O104" s="55">
        <v>6.0</v>
      </c>
      <c r="P104" s="55">
        <v>2.0</v>
      </c>
      <c r="Q104" s="43">
        <f t="shared" si="2"/>
        <v>14</v>
      </c>
      <c r="R104" s="43"/>
      <c r="S104" s="43"/>
      <c r="T104" s="43"/>
      <c r="U104" s="43"/>
      <c r="V104" s="43"/>
      <c r="W104" s="56" t="s">
        <v>46</v>
      </c>
      <c r="Z104" s="61"/>
      <c r="AA104" s="61"/>
      <c r="AB104" s="66"/>
      <c r="AC104" s="34"/>
      <c r="AD104" s="34"/>
    </row>
    <row r="105" ht="13.5" customHeight="1">
      <c r="A105" s="28">
        <v>99.0</v>
      </c>
      <c r="B105" s="339" t="s">
        <v>3847</v>
      </c>
      <c r="C105" s="340" t="s">
        <v>1932</v>
      </c>
      <c r="D105" s="340" t="s">
        <v>3848</v>
      </c>
      <c r="E105" s="341" t="s">
        <v>338</v>
      </c>
      <c r="F105" s="342">
        <v>55.0</v>
      </c>
      <c r="G105" s="342" t="s">
        <v>339</v>
      </c>
      <c r="H105" s="342" t="s">
        <v>839</v>
      </c>
      <c r="I105" s="342">
        <v>9.184192953E9</v>
      </c>
      <c r="J105" s="54">
        <v>28.0</v>
      </c>
      <c r="K105" s="55">
        <v>22.0</v>
      </c>
      <c r="L105" s="55">
        <v>0.0</v>
      </c>
      <c r="M105" s="55">
        <v>0.0</v>
      </c>
      <c r="N105" s="43">
        <f t="shared" si="3"/>
        <v>0</v>
      </c>
      <c r="O105" s="55">
        <v>0.0</v>
      </c>
      <c r="P105" s="55">
        <v>6.0</v>
      </c>
      <c r="Q105" s="43">
        <f t="shared" si="2"/>
        <v>6</v>
      </c>
      <c r="R105" s="43"/>
      <c r="S105" s="43"/>
      <c r="T105" s="43"/>
      <c r="U105" s="43"/>
      <c r="V105" s="43"/>
      <c r="W105" s="56" t="s">
        <v>46</v>
      </c>
      <c r="Z105" s="61"/>
      <c r="AA105" s="61"/>
      <c r="AB105" s="66"/>
      <c r="AC105" s="34"/>
      <c r="AD105" s="34"/>
    </row>
    <row r="106" ht="13.5" customHeight="1">
      <c r="A106" s="28">
        <v>100.0</v>
      </c>
      <c r="B106" s="339" t="s">
        <v>3849</v>
      </c>
      <c r="C106" s="340" t="s">
        <v>3850</v>
      </c>
      <c r="D106" s="340" t="s">
        <v>3851</v>
      </c>
      <c r="E106" s="341" t="s">
        <v>338</v>
      </c>
      <c r="F106" s="342">
        <v>37.0</v>
      </c>
      <c r="G106" s="342" t="s">
        <v>385</v>
      </c>
      <c r="H106" s="342" t="s">
        <v>839</v>
      </c>
      <c r="I106" s="342">
        <v>9.684997725E9</v>
      </c>
      <c r="J106" s="54">
        <v>30.0</v>
      </c>
      <c r="K106" s="55">
        <v>26.0</v>
      </c>
      <c r="L106" s="55">
        <v>1.0</v>
      </c>
      <c r="M106" s="55">
        <v>3.0</v>
      </c>
      <c r="N106" s="43">
        <f t="shared" si="3"/>
        <v>4</v>
      </c>
      <c r="O106" s="55">
        <v>2.0</v>
      </c>
      <c r="P106" s="55">
        <v>0.0</v>
      </c>
      <c r="Q106" s="43">
        <f t="shared" si="2"/>
        <v>6</v>
      </c>
      <c r="R106" s="43"/>
      <c r="S106" s="43"/>
      <c r="T106" s="43"/>
      <c r="U106" s="43"/>
      <c r="V106" s="43"/>
      <c r="W106" s="56" t="s">
        <v>46</v>
      </c>
      <c r="Z106" s="61"/>
      <c r="AA106" s="61"/>
      <c r="AB106" s="66"/>
      <c r="AC106" s="34"/>
      <c r="AD106" s="34"/>
    </row>
    <row r="107" ht="13.5" customHeight="1">
      <c r="A107" s="28">
        <v>101.0</v>
      </c>
      <c r="B107" s="339" t="s">
        <v>202</v>
      </c>
      <c r="C107" s="340" t="s">
        <v>3852</v>
      </c>
      <c r="D107" s="340" t="s">
        <v>3839</v>
      </c>
      <c r="E107" s="341" t="s">
        <v>338</v>
      </c>
      <c r="F107" s="342">
        <v>49.0</v>
      </c>
      <c r="G107" s="342" t="s">
        <v>339</v>
      </c>
      <c r="H107" s="342" t="s">
        <v>839</v>
      </c>
      <c r="I107" s="342">
        <v>9.491586672E9</v>
      </c>
      <c r="J107" s="54">
        <v>27.0</v>
      </c>
      <c r="K107" s="55">
        <v>26.0</v>
      </c>
      <c r="L107" s="55">
        <v>0.0</v>
      </c>
      <c r="M107" s="55">
        <v>1.0</v>
      </c>
      <c r="N107" s="43">
        <f t="shared" si="3"/>
        <v>1</v>
      </c>
      <c r="O107" s="55">
        <v>5.0</v>
      </c>
      <c r="P107" s="55">
        <v>0.0</v>
      </c>
      <c r="Q107" s="43">
        <f t="shared" si="2"/>
        <v>6</v>
      </c>
      <c r="R107" s="43"/>
      <c r="S107" s="43"/>
      <c r="T107" s="43"/>
      <c r="U107" s="43"/>
      <c r="V107" s="43"/>
      <c r="W107" s="56" t="s">
        <v>46</v>
      </c>
      <c r="Z107" s="61"/>
      <c r="AA107" s="61"/>
      <c r="AB107" s="66"/>
      <c r="AC107" s="34"/>
      <c r="AD107" s="34"/>
    </row>
    <row r="108" ht="13.5" customHeight="1">
      <c r="A108" s="28">
        <v>102.0</v>
      </c>
      <c r="B108" s="339" t="s">
        <v>112</v>
      </c>
      <c r="C108" s="340" t="s">
        <v>1434</v>
      </c>
      <c r="D108" s="340" t="s">
        <v>3853</v>
      </c>
      <c r="E108" s="341" t="s">
        <v>338</v>
      </c>
      <c r="F108" s="342">
        <v>57.0</v>
      </c>
      <c r="G108" s="342" t="s">
        <v>339</v>
      </c>
      <c r="H108" s="342" t="s">
        <v>839</v>
      </c>
      <c r="I108" s="342">
        <v>9.212817596E9</v>
      </c>
      <c r="J108" s="54">
        <v>20.0</v>
      </c>
      <c r="K108" s="55">
        <v>19.0</v>
      </c>
      <c r="L108" s="55">
        <v>0.0</v>
      </c>
      <c r="M108" s="55">
        <v>1.0</v>
      </c>
      <c r="N108" s="43">
        <f t="shared" si="3"/>
        <v>1</v>
      </c>
      <c r="O108" s="55">
        <v>12.0</v>
      </c>
      <c r="P108" s="55">
        <v>0.0</v>
      </c>
      <c r="Q108" s="43">
        <f t="shared" si="2"/>
        <v>13</v>
      </c>
      <c r="R108" s="43"/>
      <c r="S108" s="43"/>
      <c r="T108" s="43"/>
      <c r="U108" s="43"/>
      <c r="V108" s="43"/>
      <c r="W108" s="56" t="s">
        <v>46</v>
      </c>
      <c r="Z108" s="61"/>
      <c r="AA108" s="61"/>
      <c r="AB108" s="66"/>
      <c r="AC108" s="34"/>
      <c r="AD108" s="34"/>
    </row>
    <row r="109" ht="13.5" customHeight="1">
      <c r="A109" s="28">
        <v>103.0</v>
      </c>
      <c r="B109" s="339" t="s">
        <v>112</v>
      </c>
      <c r="C109" s="340" t="s">
        <v>1425</v>
      </c>
      <c r="D109" s="340" t="s">
        <v>3854</v>
      </c>
      <c r="E109" s="341" t="s">
        <v>338</v>
      </c>
      <c r="F109" s="342">
        <v>44.0</v>
      </c>
      <c r="G109" s="342" t="s">
        <v>339</v>
      </c>
      <c r="H109" s="342" t="s">
        <v>340</v>
      </c>
      <c r="I109" s="342">
        <v>9.999950997E9</v>
      </c>
      <c r="J109" s="54">
        <v>29.0</v>
      </c>
      <c r="K109" s="55">
        <v>24.0</v>
      </c>
      <c r="L109" s="55">
        <v>0.0</v>
      </c>
      <c r="M109" s="55">
        <v>0.0</v>
      </c>
      <c r="N109" s="43">
        <f t="shared" si="3"/>
        <v>0</v>
      </c>
      <c r="O109" s="55">
        <v>3.0</v>
      </c>
      <c r="P109" s="55">
        <v>5.0</v>
      </c>
      <c r="Q109" s="43">
        <f t="shared" si="2"/>
        <v>8</v>
      </c>
      <c r="R109" s="43"/>
      <c r="S109" s="43"/>
      <c r="T109" s="43"/>
      <c r="U109" s="43"/>
      <c r="V109" s="43"/>
      <c r="W109" s="56" t="s">
        <v>46</v>
      </c>
      <c r="Z109" s="61"/>
      <c r="AA109" s="61"/>
      <c r="AB109" s="66"/>
      <c r="AC109" s="34"/>
      <c r="AD109" s="34"/>
    </row>
    <row r="110" ht="13.5" customHeight="1">
      <c r="A110" s="28">
        <v>104.0</v>
      </c>
      <c r="B110" s="339" t="s">
        <v>3807</v>
      </c>
      <c r="C110" s="340" t="s">
        <v>3855</v>
      </c>
      <c r="D110" s="340" t="s">
        <v>3856</v>
      </c>
      <c r="E110" s="341" t="s">
        <v>338</v>
      </c>
      <c r="F110" s="342">
        <v>28.0</v>
      </c>
      <c r="G110" s="342" t="s">
        <v>339</v>
      </c>
      <c r="H110" s="342" t="s">
        <v>839</v>
      </c>
      <c r="I110" s="342">
        <v>9.491195943E9</v>
      </c>
      <c r="J110" s="42"/>
      <c r="K110" s="43"/>
      <c r="L110" s="43"/>
      <c r="M110" s="43"/>
      <c r="N110" s="43">
        <f t="shared" si="3"/>
        <v>0</v>
      </c>
      <c r="O110" s="43"/>
      <c r="P110" s="43"/>
      <c r="Q110" s="43">
        <f t="shared" si="2"/>
        <v>0</v>
      </c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339" t="s">
        <v>3857</v>
      </c>
      <c r="C111" s="340" t="s">
        <v>3858</v>
      </c>
      <c r="D111" s="340" t="s">
        <v>3859</v>
      </c>
      <c r="E111" s="341" t="s">
        <v>338</v>
      </c>
      <c r="F111" s="342">
        <v>52.0</v>
      </c>
      <c r="G111" s="342" t="s">
        <v>339</v>
      </c>
      <c r="H111" s="342" t="s">
        <v>839</v>
      </c>
      <c r="I111" s="342">
        <v>9.158429811E9</v>
      </c>
      <c r="J111" s="54">
        <v>18.0</v>
      </c>
      <c r="K111" s="55">
        <v>10.0</v>
      </c>
      <c r="L111" s="55">
        <v>0.0</v>
      </c>
      <c r="M111" s="55">
        <v>0.0</v>
      </c>
      <c r="N111" s="43">
        <f t="shared" si="3"/>
        <v>0</v>
      </c>
      <c r="O111" s="55">
        <v>12.0</v>
      </c>
      <c r="P111" s="55">
        <v>8.0</v>
      </c>
      <c r="Q111" s="43">
        <f t="shared" si="2"/>
        <v>20</v>
      </c>
      <c r="R111" s="43"/>
      <c r="S111" s="55" t="s">
        <v>237</v>
      </c>
      <c r="T111" s="43"/>
      <c r="U111" s="43"/>
      <c r="V111" s="43"/>
      <c r="W111" s="56" t="s">
        <v>46</v>
      </c>
      <c r="Z111" s="61"/>
      <c r="AA111" s="61"/>
      <c r="AB111" s="66"/>
      <c r="AC111" s="34"/>
      <c r="AD111" s="34"/>
    </row>
    <row r="112" ht="13.5" customHeight="1">
      <c r="A112" s="348">
        <v>106.0</v>
      </c>
      <c r="B112" s="349" t="s">
        <v>3069</v>
      </c>
      <c r="C112" s="350" t="s">
        <v>3860</v>
      </c>
      <c r="D112" s="350" t="s">
        <v>1894</v>
      </c>
      <c r="E112" s="350" t="s">
        <v>338</v>
      </c>
      <c r="F112" s="350">
        <v>26.0</v>
      </c>
      <c r="G112" s="350" t="s">
        <v>385</v>
      </c>
      <c r="H112" s="350" t="s">
        <v>340</v>
      </c>
      <c r="I112" s="350">
        <v>9.488027678E9</v>
      </c>
      <c r="J112" s="351">
        <v>32.0</v>
      </c>
      <c r="K112" s="352">
        <v>32.0</v>
      </c>
      <c r="L112" s="352">
        <v>0.0</v>
      </c>
      <c r="M112" s="352">
        <v>0.0</v>
      </c>
      <c r="N112" s="353">
        <f t="shared" si="3"/>
        <v>0</v>
      </c>
      <c r="O112" s="352">
        <v>0.0</v>
      </c>
      <c r="P112" s="352">
        <v>0.0</v>
      </c>
      <c r="Q112" s="353">
        <f t="shared" si="2"/>
        <v>0</v>
      </c>
      <c r="R112" s="353"/>
      <c r="S112" s="353"/>
      <c r="T112" s="353"/>
      <c r="U112" s="353"/>
      <c r="V112" s="353"/>
      <c r="W112" s="354" t="s">
        <v>46</v>
      </c>
      <c r="Z112" s="61"/>
      <c r="AA112" s="61"/>
      <c r="AB112" s="66"/>
      <c r="AC112" s="34"/>
      <c r="AD112" s="34"/>
    </row>
    <row r="113" ht="13.5" customHeight="1">
      <c r="A113" s="28">
        <v>107.0</v>
      </c>
      <c r="B113" s="339" t="s">
        <v>2152</v>
      </c>
      <c r="C113" s="340" t="s">
        <v>3861</v>
      </c>
      <c r="D113" s="340" t="s">
        <v>3862</v>
      </c>
      <c r="E113" s="341" t="s">
        <v>338</v>
      </c>
      <c r="F113" s="342">
        <v>51.0</v>
      </c>
      <c r="G113" s="342" t="s">
        <v>339</v>
      </c>
      <c r="H113" s="342" t="s">
        <v>954</v>
      </c>
      <c r="I113" s="342">
        <v>9.17808179E9</v>
      </c>
      <c r="J113" s="54">
        <v>19.0</v>
      </c>
      <c r="K113" s="55">
        <v>14.0</v>
      </c>
      <c r="L113" s="55">
        <v>0.0</v>
      </c>
      <c r="M113" s="55">
        <v>0.0</v>
      </c>
      <c r="N113" s="43">
        <f t="shared" si="3"/>
        <v>0</v>
      </c>
      <c r="O113" s="55">
        <v>13.0</v>
      </c>
      <c r="P113" s="55">
        <v>5.0</v>
      </c>
      <c r="Q113" s="43">
        <f t="shared" si="2"/>
        <v>18</v>
      </c>
      <c r="R113" s="43"/>
      <c r="S113" s="43"/>
      <c r="T113" s="43"/>
      <c r="U113" s="43"/>
      <c r="V113" s="43"/>
      <c r="W113" s="56" t="s">
        <v>46</v>
      </c>
      <c r="Z113" s="61"/>
      <c r="AA113" s="61"/>
      <c r="AB113" s="66"/>
      <c r="AC113" s="34"/>
      <c r="AD113" s="34"/>
    </row>
    <row r="114" ht="13.5" customHeight="1">
      <c r="A114" s="28">
        <v>108.0</v>
      </c>
      <c r="B114" s="339" t="s">
        <v>1382</v>
      </c>
      <c r="C114" s="340" t="s">
        <v>3863</v>
      </c>
      <c r="D114" s="340" t="s">
        <v>3864</v>
      </c>
      <c r="E114" s="341" t="s">
        <v>338</v>
      </c>
      <c r="F114" s="342">
        <v>36.0</v>
      </c>
      <c r="G114" s="342" t="s">
        <v>339</v>
      </c>
      <c r="H114" s="342" t="s">
        <v>340</v>
      </c>
      <c r="I114" s="342">
        <v>9.212259105E9</v>
      </c>
      <c r="J114" s="54">
        <v>25.0</v>
      </c>
      <c r="K114" s="55">
        <v>14.0</v>
      </c>
      <c r="L114" s="55">
        <v>0.0</v>
      </c>
      <c r="M114" s="55">
        <v>11.0</v>
      </c>
      <c r="N114" s="43">
        <f t="shared" si="3"/>
        <v>11</v>
      </c>
      <c r="O114" s="55">
        <v>3.0</v>
      </c>
      <c r="P114" s="55">
        <v>0.0</v>
      </c>
      <c r="Q114" s="43">
        <f t="shared" si="2"/>
        <v>14</v>
      </c>
      <c r="R114" s="43"/>
      <c r="S114" s="43"/>
      <c r="T114" s="43"/>
      <c r="U114" s="43"/>
      <c r="V114" s="43"/>
      <c r="W114" s="56" t="s">
        <v>46</v>
      </c>
      <c r="Z114" s="61"/>
      <c r="AA114" s="61"/>
      <c r="AB114" s="66"/>
      <c r="AC114" s="34"/>
      <c r="AD114" s="34"/>
    </row>
    <row r="115" ht="13.5" customHeight="1">
      <c r="A115" s="28">
        <v>109.0</v>
      </c>
      <c r="B115" s="339" t="s">
        <v>1382</v>
      </c>
      <c r="C115" s="340" t="s">
        <v>1347</v>
      </c>
      <c r="D115" s="340" t="s">
        <v>2863</v>
      </c>
      <c r="E115" s="341" t="s">
        <v>338</v>
      </c>
      <c r="F115" s="342">
        <v>41.0</v>
      </c>
      <c r="G115" s="342" t="s">
        <v>339</v>
      </c>
      <c r="H115" s="342" t="s">
        <v>833</v>
      </c>
      <c r="I115" s="342">
        <v>9.20967012E9</v>
      </c>
      <c r="J115" s="42"/>
      <c r="K115" s="43"/>
      <c r="L115" s="43"/>
      <c r="M115" s="43"/>
      <c r="N115" s="43">
        <f t="shared" si="3"/>
        <v>0</v>
      </c>
      <c r="O115" s="43"/>
      <c r="P115" s="43"/>
      <c r="Q115" s="43">
        <f t="shared" si="2"/>
        <v>0</v>
      </c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339" t="s">
        <v>3865</v>
      </c>
      <c r="C116" s="340" t="s">
        <v>3866</v>
      </c>
      <c r="D116" s="340" t="s">
        <v>3867</v>
      </c>
      <c r="E116" s="341" t="s">
        <v>338</v>
      </c>
      <c r="F116" s="342">
        <v>27.0</v>
      </c>
      <c r="G116" s="342" t="s">
        <v>385</v>
      </c>
      <c r="H116" s="342" t="s">
        <v>340</v>
      </c>
      <c r="I116" s="342">
        <v>9.605311302E9</v>
      </c>
      <c r="J116" s="54">
        <v>28.0</v>
      </c>
      <c r="K116" s="55">
        <v>24.0</v>
      </c>
      <c r="L116" s="55">
        <v>0.0</v>
      </c>
      <c r="M116" s="55">
        <v>1.0</v>
      </c>
      <c r="N116" s="43">
        <f t="shared" si="3"/>
        <v>1</v>
      </c>
      <c r="O116" s="55">
        <v>0.0</v>
      </c>
      <c r="P116" s="55">
        <v>3.0</v>
      </c>
      <c r="Q116" s="43">
        <f t="shared" si="2"/>
        <v>4</v>
      </c>
      <c r="R116" s="43"/>
      <c r="S116" s="55" t="s">
        <v>277</v>
      </c>
      <c r="T116" s="43"/>
      <c r="U116" s="43"/>
      <c r="V116" s="43"/>
      <c r="W116" s="56" t="s">
        <v>46</v>
      </c>
      <c r="Z116" s="61"/>
      <c r="AA116" s="61"/>
      <c r="AB116" s="66"/>
      <c r="AC116" s="34"/>
      <c r="AD116" s="34"/>
    </row>
    <row r="117" ht="13.5" customHeight="1">
      <c r="A117" s="28">
        <v>111.0</v>
      </c>
      <c r="B117" s="339" t="s">
        <v>3868</v>
      </c>
      <c r="C117" s="340" t="s">
        <v>2571</v>
      </c>
      <c r="D117" s="340" t="s">
        <v>3869</v>
      </c>
      <c r="E117" s="341" t="s">
        <v>338</v>
      </c>
      <c r="F117" s="342">
        <v>30.0</v>
      </c>
      <c r="G117" s="342" t="s">
        <v>339</v>
      </c>
      <c r="H117" s="342" t="s">
        <v>833</v>
      </c>
      <c r="I117" s="342">
        <v>9.97173024E9</v>
      </c>
      <c r="J117" s="54">
        <v>29.0</v>
      </c>
      <c r="K117" s="55">
        <v>21.0</v>
      </c>
      <c r="L117" s="55">
        <v>0.0</v>
      </c>
      <c r="M117" s="55">
        <v>6.0</v>
      </c>
      <c r="N117" s="43">
        <f t="shared" si="3"/>
        <v>6</v>
      </c>
      <c r="O117" s="55">
        <v>2.0</v>
      </c>
      <c r="P117" s="55">
        <v>2.0</v>
      </c>
      <c r="Q117" s="43">
        <f t="shared" si="2"/>
        <v>10</v>
      </c>
      <c r="R117" s="43"/>
      <c r="S117" s="43"/>
      <c r="T117" s="43"/>
      <c r="U117" s="43"/>
      <c r="V117" s="43"/>
      <c r="W117" s="56" t="s">
        <v>46</v>
      </c>
      <c r="Z117" s="61"/>
      <c r="AA117" s="61"/>
      <c r="AB117" s="66"/>
      <c r="AC117" s="34"/>
      <c r="AD117" s="34"/>
    </row>
    <row r="118" ht="13.5" customHeight="1">
      <c r="A118" s="28">
        <v>112.0</v>
      </c>
      <c r="B118" s="339" t="s">
        <v>3870</v>
      </c>
      <c r="C118" s="340" t="s">
        <v>3871</v>
      </c>
      <c r="D118" s="340" t="s">
        <v>3872</v>
      </c>
      <c r="E118" s="341" t="s">
        <v>338</v>
      </c>
      <c r="F118" s="342">
        <v>61.0</v>
      </c>
      <c r="G118" s="342" t="s">
        <v>339</v>
      </c>
      <c r="H118" s="342" t="s">
        <v>839</v>
      </c>
      <c r="I118" s="342">
        <v>9.938731562E9</v>
      </c>
      <c r="J118" s="54">
        <v>0.0</v>
      </c>
      <c r="K118" s="55">
        <v>0.0</v>
      </c>
      <c r="L118" s="55">
        <v>0.0</v>
      </c>
      <c r="M118" s="55">
        <v>0.0</v>
      </c>
      <c r="N118" s="43">
        <f t="shared" si="3"/>
        <v>0</v>
      </c>
      <c r="O118" s="55">
        <v>32.0</v>
      </c>
      <c r="P118" s="55">
        <v>0.0</v>
      </c>
      <c r="Q118" s="43">
        <f t="shared" si="2"/>
        <v>32</v>
      </c>
      <c r="R118" s="43"/>
      <c r="S118" s="55" t="s">
        <v>74</v>
      </c>
      <c r="T118" s="43"/>
      <c r="U118" s="43"/>
      <c r="V118" s="43"/>
      <c r="W118" s="56" t="s">
        <v>46</v>
      </c>
      <c r="Z118" s="61"/>
      <c r="AA118" s="61"/>
      <c r="AB118" s="66"/>
      <c r="AC118" s="34"/>
      <c r="AD118" s="34"/>
    </row>
    <row r="119" ht="13.5" customHeight="1">
      <c r="A119" s="28">
        <v>113.0</v>
      </c>
      <c r="B119" s="339" t="s">
        <v>3873</v>
      </c>
      <c r="C119" s="340" t="s">
        <v>3874</v>
      </c>
      <c r="D119" s="340" t="s">
        <v>609</v>
      </c>
      <c r="E119" s="341" t="s">
        <v>338</v>
      </c>
      <c r="F119" s="342">
        <v>50.0</v>
      </c>
      <c r="G119" s="342" t="s">
        <v>339</v>
      </c>
      <c r="H119" s="342" t="s">
        <v>340</v>
      </c>
      <c r="I119" s="342">
        <v>9.284410736E9</v>
      </c>
      <c r="J119" s="54">
        <v>12.0</v>
      </c>
      <c r="K119" s="55">
        <v>4.0</v>
      </c>
      <c r="L119" s="55">
        <v>0.0</v>
      </c>
      <c r="M119" s="55">
        <v>3.0</v>
      </c>
      <c r="N119" s="43">
        <f t="shared" si="3"/>
        <v>3</v>
      </c>
      <c r="O119" s="55">
        <v>20.0</v>
      </c>
      <c r="P119" s="55">
        <v>5.0</v>
      </c>
      <c r="Q119" s="43">
        <f t="shared" si="2"/>
        <v>28</v>
      </c>
      <c r="R119" s="43"/>
      <c r="S119" s="43"/>
      <c r="T119" s="43"/>
      <c r="U119" s="43"/>
      <c r="V119" s="43"/>
      <c r="W119" s="56" t="s">
        <v>46</v>
      </c>
      <c r="Z119" s="61"/>
      <c r="AA119" s="61"/>
      <c r="AB119" s="66"/>
      <c r="AC119" s="34"/>
      <c r="AD119" s="34"/>
    </row>
    <row r="120" ht="13.5" customHeight="1">
      <c r="A120" s="28">
        <v>114.0</v>
      </c>
      <c r="B120" s="339" t="s">
        <v>3720</v>
      </c>
      <c r="C120" s="340" t="s">
        <v>3875</v>
      </c>
      <c r="D120" s="340" t="s">
        <v>3876</v>
      </c>
      <c r="E120" s="341" t="s">
        <v>338</v>
      </c>
      <c r="F120" s="342">
        <v>54.0</v>
      </c>
      <c r="G120" s="342" t="s">
        <v>385</v>
      </c>
      <c r="H120" s="342" t="s">
        <v>340</v>
      </c>
      <c r="I120" s="342">
        <v>9.677883219E9</v>
      </c>
      <c r="J120" s="54">
        <v>25.0</v>
      </c>
      <c r="K120" s="55">
        <v>19.0</v>
      </c>
      <c r="L120" s="55">
        <v>0.0</v>
      </c>
      <c r="M120" s="55">
        <v>6.0</v>
      </c>
      <c r="N120" s="43">
        <f t="shared" si="3"/>
        <v>6</v>
      </c>
      <c r="O120" s="55">
        <v>7.0</v>
      </c>
      <c r="P120" s="55">
        <v>0.0</v>
      </c>
      <c r="Q120" s="43">
        <f t="shared" si="2"/>
        <v>13</v>
      </c>
      <c r="R120" s="43"/>
      <c r="S120" s="43"/>
      <c r="T120" s="43"/>
      <c r="U120" s="43"/>
      <c r="V120" s="43"/>
      <c r="W120" s="56" t="s">
        <v>46</v>
      </c>
      <c r="Z120" s="61"/>
      <c r="AA120" s="61"/>
      <c r="AB120" s="66"/>
      <c r="AC120" s="34"/>
      <c r="AD120" s="34"/>
    </row>
    <row r="121" ht="13.5" customHeight="1">
      <c r="A121" s="28">
        <v>115.0</v>
      </c>
      <c r="B121" s="339" t="s">
        <v>3877</v>
      </c>
      <c r="C121" s="340" t="s">
        <v>437</v>
      </c>
      <c r="D121" s="340" t="s">
        <v>3878</v>
      </c>
      <c r="E121" s="341" t="s">
        <v>338</v>
      </c>
      <c r="F121" s="342">
        <v>60.0</v>
      </c>
      <c r="G121" s="342" t="s">
        <v>339</v>
      </c>
      <c r="H121" s="342" t="s">
        <v>3879</v>
      </c>
      <c r="I121" s="342">
        <v>9.1787495E9</v>
      </c>
      <c r="J121" s="42"/>
      <c r="K121" s="43"/>
      <c r="L121" s="43"/>
      <c r="M121" s="43"/>
      <c r="N121" s="43">
        <f t="shared" si="3"/>
        <v>0</v>
      </c>
      <c r="O121" s="43"/>
      <c r="P121" s="43"/>
      <c r="Q121" s="43">
        <f t="shared" si="2"/>
        <v>0</v>
      </c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339" t="s">
        <v>3730</v>
      </c>
      <c r="C122" s="340" t="s">
        <v>3880</v>
      </c>
      <c r="D122" s="340" t="s">
        <v>3881</v>
      </c>
      <c r="E122" s="341" t="s">
        <v>338</v>
      </c>
      <c r="F122" s="342">
        <v>62.0</v>
      </c>
      <c r="G122" s="342" t="s">
        <v>339</v>
      </c>
      <c r="H122" s="342" t="s">
        <v>349</v>
      </c>
      <c r="I122" s="342">
        <v>9.77236862E9</v>
      </c>
      <c r="J122" s="54">
        <v>16.0</v>
      </c>
      <c r="K122" s="55">
        <v>13.0</v>
      </c>
      <c r="L122" s="55">
        <v>2.0</v>
      </c>
      <c r="M122" s="55">
        <v>1.0</v>
      </c>
      <c r="N122" s="43">
        <f t="shared" si="3"/>
        <v>3</v>
      </c>
      <c r="O122" s="55">
        <v>16.0</v>
      </c>
      <c r="P122" s="55">
        <v>0.0</v>
      </c>
      <c r="Q122" s="43">
        <f t="shared" si="2"/>
        <v>19</v>
      </c>
      <c r="R122" s="43"/>
      <c r="S122" s="55" t="s">
        <v>97</v>
      </c>
      <c r="T122" s="43"/>
      <c r="U122" s="43"/>
      <c r="V122" s="43"/>
      <c r="W122" s="56" t="s">
        <v>46</v>
      </c>
      <c r="Z122" s="61"/>
      <c r="AA122" s="61"/>
      <c r="AB122" s="66"/>
      <c r="AC122" s="34"/>
      <c r="AD122" s="34"/>
    </row>
    <row r="123" ht="13.5" customHeight="1">
      <c r="A123" s="28">
        <v>117.0</v>
      </c>
      <c r="B123" s="339" t="s">
        <v>3882</v>
      </c>
      <c r="C123" s="340" t="s">
        <v>3883</v>
      </c>
      <c r="D123" s="340" t="s">
        <v>1039</v>
      </c>
      <c r="E123" s="341" t="s">
        <v>338</v>
      </c>
      <c r="F123" s="342">
        <v>46.0</v>
      </c>
      <c r="G123" s="342" t="s">
        <v>385</v>
      </c>
      <c r="H123" s="342" t="s">
        <v>368</v>
      </c>
      <c r="I123" s="342">
        <v>9.177193772E9</v>
      </c>
      <c r="J123" s="54">
        <v>21.0</v>
      </c>
      <c r="K123" s="55">
        <v>11.0</v>
      </c>
      <c r="L123" s="55">
        <v>3.0</v>
      </c>
      <c r="M123" s="55">
        <v>7.0</v>
      </c>
      <c r="N123" s="43">
        <f t="shared" si="3"/>
        <v>10</v>
      </c>
      <c r="O123" s="55">
        <v>11.0</v>
      </c>
      <c r="P123" s="55">
        <v>0.0</v>
      </c>
      <c r="Q123" s="43">
        <f t="shared" si="2"/>
        <v>21</v>
      </c>
      <c r="R123" s="43"/>
      <c r="S123" s="55" t="s">
        <v>88</v>
      </c>
      <c r="T123" s="43"/>
      <c r="U123" s="43"/>
      <c r="V123" s="43"/>
      <c r="W123" s="56" t="s">
        <v>46</v>
      </c>
      <c r="Z123" s="61"/>
      <c r="AA123" s="61"/>
      <c r="AB123" s="66"/>
      <c r="AC123" s="34"/>
      <c r="AD123" s="34"/>
    </row>
    <row r="124" ht="13.5" customHeight="1">
      <c r="A124" s="28">
        <v>118.0</v>
      </c>
      <c r="B124" s="339" t="s">
        <v>3884</v>
      </c>
      <c r="C124" s="340" t="s">
        <v>3885</v>
      </c>
      <c r="D124" s="340" t="s">
        <v>3698</v>
      </c>
      <c r="E124" s="341" t="s">
        <v>338</v>
      </c>
      <c r="F124" s="342">
        <v>30.0</v>
      </c>
      <c r="G124" s="342" t="s">
        <v>339</v>
      </c>
      <c r="H124" s="342" t="s">
        <v>480</v>
      </c>
      <c r="I124" s="342">
        <v>9.150159044E9</v>
      </c>
      <c r="J124" s="54">
        <v>27.0</v>
      </c>
      <c r="K124" s="55">
        <v>16.0</v>
      </c>
      <c r="L124" s="55">
        <v>0.0</v>
      </c>
      <c r="M124" s="55">
        <v>9.0</v>
      </c>
      <c r="N124" s="43">
        <f t="shared" si="3"/>
        <v>9</v>
      </c>
      <c r="O124" s="55">
        <v>5.0</v>
      </c>
      <c r="P124" s="55">
        <v>2.0</v>
      </c>
      <c r="Q124" s="43">
        <f t="shared" si="2"/>
        <v>16</v>
      </c>
      <c r="R124" s="43"/>
      <c r="S124" s="43"/>
      <c r="T124" s="43"/>
      <c r="U124" s="43"/>
      <c r="V124" s="43"/>
      <c r="W124" s="56" t="s">
        <v>46</v>
      </c>
      <c r="Z124" s="61"/>
      <c r="AA124" s="61"/>
      <c r="AB124" s="66"/>
      <c r="AC124" s="34"/>
      <c r="AD124" s="34"/>
    </row>
    <row r="125" ht="13.5" customHeight="1">
      <c r="A125" s="28">
        <v>119.0</v>
      </c>
      <c r="B125" s="339" t="s">
        <v>410</v>
      </c>
      <c r="C125" s="340" t="s">
        <v>427</v>
      </c>
      <c r="D125" s="340" t="s">
        <v>886</v>
      </c>
      <c r="E125" s="341" t="s">
        <v>338</v>
      </c>
      <c r="F125" s="342">
        <v>43.0</v>
      </c>
      <c r="G125" s="342" t="s">
        <v>339</v>
      </c>
      <c r="H125" s="342" t="s">
        <v>663</v>
      </c>
      <c r="I125" s="342">
        <v>9.472511036E9</v>
      </c>
      <c r="J125" s="54">
        <v>25.0</v>
      </c>
      <c r="K125" s="55">
        <v>24.0</v>
      </c>
      <c r="L125" s="55">
        <v>0.0</v>
      </c>
      <c r="M125" s="55">
        <v>0.0</v>
      </c>
      <c r="N125" s="43">
        <f t="shared" si="3"/>
        <v>0</v>
      </c>
      <c r="O125" s="55">
        <v>7.0</v>
      </c>
      <c r="P125" s="55">
        <v>1.0</v>
      </c>
      <c r="Q125" s="43">
        <f t="shared" si="2"/>
        <v>8</v>
      </c>
      <c r="R125" s="43"/>
      <c r="S125" s="43"/>
      <c r="T125" s="43"/>
      <c r="U125" s="43"/>
      <c r="V125" s="43"/>
      <c r="W125" s="56" t="s">
        <v>46</v>
      </c>
      <c r="Z125" s="61"/>
      <c r="AA125" s="61"/>
      <c r="AB125" s="66"/>
      <c r="AC125" s="34"/>
      <c r="AD125" s="34"/>
    </row>
    <row r="126" ht="13.5" customHeight="1">
      <c r="A126" s="28">
        <v>120.0</v>
      </c>
      <c r="B126" s="339" t="s">
        <v>3703</v>
      </c>
      <c r="C126" s="340" t="s">
        <v>3363</v>
      </c>
      <c r="D126" s="340" t="s">
        <v>3886</v>
      </c>
      <c r="E126" s="341" t="s">
        <v>338</v>
      </c>
      <c r="F126" s="342">
        <v>27.0</v>
      </c>
      <c r="G126" s="342" t="s">
        <v>339</v>
      </c>
      <c r="H126" s="342" t="s">
        <v>839</v>
      </c>
      <c r="I126" s="342">
        <v>9.51773016E9</v>
      </c>
      <c r="J126" s="54">
        <v>31.0</v>
      </c>
      <c r="K126" s="55">
        <v>25.0</v>
      </c>
      <c r="L126" s="55">
        <v>0.0</v>
      </c>
      <c r="M126" s="55">
        <v>5.0</v>
      </c>
      <c r="N126" s="43">
        <f t="shared" si="3"/>
        <v>5</v>
      </c>
      <c r="O126" s="55">
        <v>1.0</v>
      </c>
      <c r="P126" s="55">
        <v>1.0</v>
      </c>
      <c r="Q126" s="43">
        <f t="shared" si="2"/>
        <v>7</v>
      </c>
      <c r="R126" s="43"/>
      <c r="S126" s="43"/>
      <c r="T126" s="43"/>
      <c r="U126" s="43"/>
      <c r="V126" s="43"/>
      <c r="W126" s="56" t="s">
        <v>46</v>
      </c>
      <c r="Z126" s="61"/>
      <c r="AA126" s="61"/>
      <c r="AB126" s="66"/>
      <c r="AC126" s="34"/>
      <c r="AD126" s="34"/>
    </row>
    <row r="127" ht="13.5" customHeight="1">
      <c r="A127" s="28">
        <v>121.0</v>
      </c>
      <c r="B127" s="339" t="s">
        <v>3887</v>
      </c>
      <c r="C127" s="340" t="s">
        <v>3888</v>
      </c>
      <c r="D127" s="340" t="s">
        <v>3889</v>
      </c>
      <c r="E127" s="341" t="s">
        <v>338</v>
      </c>
      <c r="F127" s="342">
        <v>33.0</v>
      </c>
      <c r="G127" s="342" t="s">
        <v>339</v>
      </c>
      <c r="H127" s="342" t="s">
        <v>340</v>
      </c>
      <c r="I127" s="342">
        <v>9.777953249E9</v>
      </c>
      <c r="J127" s="42"/>
      <c r="K127" s="43"/>
      <c r="L127" s="43"/>
      <c r="M127" s="43"/>
      <c r="N127" s="43">
        <f t="shared" si="3"/>
        <v>0</v>
      </c>
      <c r="O127" s="43"/>
      <c r="P127" s="43"/>
      <c r="Q127" s="43">
        <f t="shared" si="2"/>
        <v>0</v>
      </c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339" t="s">
        <v>3890</v>
      </c>
      <c r="C128" s="340" t="s">
        <v>3891</v>
      </c>
      <c r="D128" s="340" t="s">
        <v>1059</v>
      </c>
      <c r="E128" s="341" t="s">
        <v>338</v>
      </c>
      <c r="F128" s="342">
        <v>36.0</v>
      </c>
      <c r="G128" s="342" t="s">
        <v>339</v>
      </c>
      <c r="H128" s="342" t="s">
        <v>839</v>
      </c>
      <c r="I128" s="342">
        <v>9.175222024E9</v>
      </c>
      <c r="J128" s="42"/>
      <c r="K128" s="43"/>
      <c r="L128" s="43"/>
      <c r="M128" s="43"/>
      <c r="N128" s="43">
        <f t="shared" si="3"/>
        <v>0</v>
      </c>
      <c r="O128" s="43"/>
      <c r="P128" s="43"/>
      <c r="Q128" s="43">
        <f t="shared" si="2"/>
        <v>0</v>
      </c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339" t="s">
        <v>3892</v>
      </c>
      <c r="C129" s="340" t="s">
        <v>1293</v>
      </c>
      <c r="D129" s="340" t="s">
        <v>3893</v>
      </c>
      <c r="E129" s="341" t="s">
        <v>338</v>
      </c>
      <c r="F129" s="355"/>
      <c r="G129" s="342" t="s">
        <v>339</v>
      </c>
      <c r="H129" s="342" t="s">
        <v>349</v>
      </c>
      <c r="I129" s="342">
        <v>9.296788529E9</v>
      </c>
      <c r="J129" s="42"/>
      <c r="K129" s="43"/>
      <c r="L129" s="43"/>
      <c r="M129" s="43"/>
      <c r="N129" s="43">
        <f t="shared" si="3"/>
        <v>0</v>
      </c>
      <c r="O129" s="43"/>
      <c r="P129" s="43"/>
      <c r="Q129" s="43">
        <f t="shared" si="2"/>
        <v>0</v>
      </c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339" t="s">
        <v>3894</v>
      </c>
      <c r="C130" s="340" t="s">
        <v>1092</v>
      </c>
      <c r="D130" s="340" t="s">
        <v>3895</v>
      </c>
      <c r="E130" s="341" t="s">
        <v>338</v>
      </c>
      <c r="F130" s="342">
        <v>46.0</v>
      </c>
      <c r="G130" s="342" t="s">
        <v>339</v>
      </c>
      <c r="H130" s="342" t="s">
        <v>340</v>
      </c>
      <c r="I130" s="342">
        <v>9.605314241E9</v>
      </c>
      <c r="J130" s="54">
        <v>29.0</v>
      </c>
      <c r="K130" s="55">
        <v>23.0</v>
      </c>
      <c r="L130" s="55">
        <v>4.0</v>
      </c>
      <c r="M130" s="55">
        <v>1.0</v>
      </c>
      <c r="N130" s="43">
        <f t="shared" si="3"/>
        <v>5</v>
      </c>
      <c r="O130" s="55">
        <v>3.0</v>
      </c>
      <c r="P130" s="55">
        <v>1.0</v>
      </c>
      <c r="Q130" s="43">
        <f t="shared" si="2"/>
        <v>9</v>
      </c>
      <c r="R130" s="43"/>
      <c r="S130" s="43"/>
      <c r="T130" s="43"/>
      <c r="U130" s="43"/>
      <c r="V130" s="43"/>
      <c r="W130" s="56" t="s">
        <v>46</v>
      </c>
      <c r="Z130" s="61"/>
      <c r="AA130" s="61"/>
      <c r="AB130" s="66"/>
      <c r="AC130" s="34"/>
      <c r="AD130" s="34"/>
    </row>
    <row r="131" ht="13.5" customHeight="1">
      <c r="A131" s="28">
        <v>125.0</v>
      </c>
      <c r="B131" s="339" t="s">
        <v>280</v>
      </c>
      <c r="C131" s="340" t="s">
        <v>3896</v>
      </c>
      <c r="D131" s="340" t="s">
        <v>3897</v>
      </c>
      <c r="E131" s="341" t="s">
        <v>338</v>
      </c>
      <c r="F131" s="342">
        <v>40.0</v>
      </c>
      <c r="G131" s="342" t="s">
        <v>339</v>
      </c>
      <c r="H131" s="342" t="s">
        <v>340</v>
      </c>
      <c r="I131" s="342">
        <v>9.605314155E9</v>
      </c>
      <c r="J131" s="54">
        <v>26.0</v>
      </c>
      <c r="K131" s="55">
        <v>21.0</v>
      </c>
      <c r="L131" s="55">
        <v>1.0</v>
      </c>
      <c r="M131" s="55">
        <v>4.0</v>
      </c>
      <c r="N131" s="43">
        <f t="shared" si="3"/>
        <v>5</v>
      </c>
      <c r="O131" s="55">
        <v>6.0</v>
      </c>
      <c r="P131" s="55">
        <v>0.0</v>
      </c>
      <c r="Q131" s="43">
        <f t="shared" si="2"/>
        <v>11</v>
      </c>
      <c r="R131" s="43"/>
      <c r="S131" s="43"/>
      <c r="T131" s="43"/>
      <c r="U131" s="43"/>
      <c r="V131" s="43"/>
      <c r="W131" s="56" t="s">
        <v>46</v>
      </c>
      <c r="Z131" s="61"/>
      <c r="AA131" s="61"/>
      <c r="AB131" s="66"/>
      <c r="AC131" s="34"/>
      <c r="AD131" s="34"/>
    </row>
    <row r="132" ht="13.5" customHeight="1">
      <c r="A132" s="28">
        <v>126.0</v>
      </c>
      <c r="B132" s="339" t="s">
        <v>171</v>
      </c>
      <c r="C132" s="340" t="s">
        <v>2683</v>
      </c>
      <c r="D132" s="340" t="s">
        <v>1255</v>
      </c>
      <c r="E132" s="341" t="s">
        <v>338</v>
      </c>
      <c r="F132" s="342">
        <v>39.0</v>
      </c>
      <c r="G132" s="342" t="s">
        <v>339</v>
      </c>
      <c r="H132" s="342" t="s">
        <v>839</v>
      </c>
      <c r="I132" s="342">
        <v>9.216256417E9</v>
      </c>
      <c r="J132" s="54">
        <v>27.0</v>
      </c>
      <c r="K132" s="55">
        <v>22.0</v>
      </c>
      <c r="L132" s="55">
        <v>0.0</v>
      </c>
      <c r="M132" s="55">
        <v>0.0</v>
      </c>
      <c r="N132" s="43">
        <f t="shared" si="3"/>
        <v>0</v>
      </c>
      <c r="O132" s="55">
        <v>1.0</v>
      </c>
      <c r="P132" s="55">
        <v>5.0</v>
      </c>
      <c r="Q132" s="43">
        <f t="shared" si="2"/>
        <v>6</v>
      </c>
      <c r="R132" s="43"/>
      <c r="S132" s="55" t="s">
        <v>3776</v>
      </c>
      <c r="T132" s="43"/>
      <c r="U132" s="43"/>
      <c r="V132" s="55" t="s">
        <v>3898</v>
      </c>
      <c r="W132" s="56" t="s">
        <v>46</v>
      </c>
      <c r="Z132" s="61"/>
      <c r="AA132" s="61"/>
      <c r="AB132" s="66"/>
      <c r="AC132" s="34"/>
      <c r="AD132" s="34"/>
    </row>
    <row r="133" ht="13.5" customHeight="1">
      <c r="A133" s="28">
        <v>127.0</v>
      </c>
      <c r="B133" s="339" t="s">
        <v>171</v>
      </c>
      <c r="C133" s="340" t="s">
        <v>3899</v>
      </c>
      <c r="D133" s="340" t="s">
        <v>2196</v>
      </c>
      <c r="E133" s="341" t="s">
        <v>338</v>
      </c>
      <c r="F133" s="342">
        <v>42.0</v>
      </c>
      <c r="G133" s="342" t="s">
        <v>339</v>
      </c>
      <c r="H133" s="342" t="s">
        <v>349</v>
      </c>
      <c r="I133" s="342">
        <v>9.279112165E9</v>
      </c>
      <c r="J133" s="54">
        <v>28.0</v>
      </c>
      <c r="K133" s="55">
        <v>27.0</v>
      </c>
      <c r="L133" s="55">
        <v>0.0</v>
      </c>
      <c r="M133" s="55">
        <v>0.0</v>
      </c>
      <c r="N133" s="43">
        <f t="shared" si="3"/>
        <v>0</v>
      </c>
      <c r="O133" s="55">
        <v>4.0</v>
      </c>
      <c r="P133" s="55">
        <v>1.0</v>
      </c>
      <c r="Q133" s="43">
        <f t="shared" si="2"/>
        <v>5</v>
      </c>
      <c r="R133" s="43"/>
      <c r="S133" s="43"/>
      <c r="T133" s="43"/>
      <c r="U133" s="43"/>
      <c r="V133" s="43"/>
      <c r="W133" s="56" t="s">
        <v>46</v>
      </c>
      <c r="Z133" s="61"/>
      <c r="AA133" s="61"/>
      <c r="AB133" s="66"/>
      <c r="AC133" s="34"/>
      <c r="AD133" s="34"/>
    </row>
    <row r="134" ht="13.5" customHeight="1">
      <c r="A134" s="28">
        <v>128.0</v>
      </c>
      <c r="B134" s="339" t="s">
        <v>3900</v>
      </c>
      <c r="C134" s="340" t="s">
        <v>3901</v>
      </c>
      <c r="D134" s="340" t="s">
        <v>1062</v>
      </c>
      <c r="E134" s="341" t="s">
        <v>338</v>
      </c>
      <c r="F134" s="342">
        <v>47.0</v>
      </c>
      <c r="G134" s="342" t="s">
        <v>339</v>
      </c>
      <c r="H134" s="342" t="s">
        <v>340</v>
      </c>
      <c r="I134" s="342">
        <v>9.222553618E9</v>
      </c>
      <c r="J134" s="54">
        <v>23.0</v>
      </c>
      <c r="K134" s="55">
        <v>8.0</v>
      </c>
      <c r="L134" s="55">
        <v>0.0</v>
      </c>
      <c r="M134" s="55">
        <v>3.0</v>
      </c>
      <c r="N134" s="43">
        <f t="shared" si="3"/>
        <v>3</v>
      </c>
      <c r="O134" s="55">
        <v>9.0</v>
      </c>
      <c r="P134" s="55">
        <v>12.0</v>
      </c>
      <c r="Q134" s="43">
        <f t="shared" si="2"/>
        <v>24</v>
      </c>
      <c r="R134" s="43"/>
      <c r="S134" s="55" t="s">
        <v>105</v>
      </c>
      <c r="T134" s="43"/>
      <c r="U134" s="43"/>
      <c r="V134" s="55" t="s">
        <v>3902</v>
      </c>
      <c r="W134" s="56" t="s">
        <v>46</v>
      </c>
      <c r="Z134" s="61"/>
      <c r="AA134" s="61"/>
      <c r="AB134" s="66"/>
      <c r="AC134" s="34"/>
      <c r="AD134" s="34"/>
    </row>
    <row r="135" ht="13.5" customHeight="1">
      <c r="A135" s="28">
        <v>129.0</v>
      </c>
      <c r="B135" s="339" t="s">
        <v>3903</v>
      </c>
      <c r="C135" s="340" t="s">
        <v>3904</v>
      </c>
      <c r="D135" s="340" t="s">
        <v>3714</v>
      </c>
      <c r="E135" s="341" t="s">
        <v>338</v>
      </c>
      <c r="F135" s="356">
        <v>53.0</v>
      </c>
      <c r="G135" s="342" t="s">
        <v>339</v>
      </c>
      <c r="H135" s="342" t="s">
        <v>839</v>
      </c>
      <c r="I135" s="342">
        <v>9.684992109E9</v>
      </c>
      <c r="J135" s="357">
        <v>29.0</v>
      </c>
      <c r="K135" s="102">
        <v>29.0</v>
      </c>
      <c r="L135" s="71">
        <v>0.0</v>
      </c>
      <c r="M135" s="102">
        <v>0.0</v>
      </c>
      <c r="N135" s="71">
        <f t="shared" si="3"/>
        <v>0</v>
      </c>
      <c r="O135" s="102">
        <v>3.0</v>
      </c>
      <c r="P135" s="71">
        <v>0.0</v>
      </c>
      <c r="Q135" s="71">
        <f t="shared" si="2"/>
        <v>3</v>
      </c>
      <c r="R135" s="358"/>
      <c r="S135" s="358"/>
      <c r="T135" s="358"/>
      <c r="U135" s="358"/>
      <c r="V135" s="358"/>
      <c r="W135" s="359" t="s">
        <v>46</v>
      </c>
      <c r="Z135" s="61"/>
      <c r="AA135" s="61"/>
      <c r="AB135" s="66"/>
      <c r="AC135" s="34"/>
      <c r="AD135" s="34"/>
    </row>
    <row r="136" ht="13.5" customHeight="1">
      <c r="A136" s="28">
        <v>130.0</v>
      </c>
      <c r="B136" s="339" t="s">
        <v>3905</v>
      </c>
      <c r="C136" s="340" t="s">
        <v>1425</v>
      </c>
      <c r="D136" s="340" t="s">
        <v>3906</v>
      </c>
      <c r="E136" s="341" t="s">
        <v>338</v>
      </c>
      <c r="F136" s="342">
        <v>41.0</v>
      </c>
      <c r="G136" s="342" t="s">
        <v>339</v>
      </c>
      <c r="H136" s="342" t="s">
        <v>839</v>
      </c>
      <c r="I136" s="342">
        <v>9.356537434E9</v>
      </c>
      <c r="J136" s="54">
        <v>25.0</v>
      </c>
      <c r="K136" s="55">
        <v>16.0</v>
      </c>
      <c r="L136" s="55">
        <v>0.0</v>
      </c>
      <c r="M136" s="55">
        <v>3.0</v>
      </c>
      <c r="N136" s="43">
        <f t="shared" si="3"/>
        <v>3</v>
      </c>
      <c r="O136" s="55">
        <v>7.0</v>
      </c>
      <c r="P136" s="55">
        <v>6.0</v>
      </c>
      <c r="Q136" s="43">
        <f t="shared" si="2"/>
        <v>16</v>
      </c>
      <c r="R136" s="43"/>
      <c r="S136" s="55" t="s">
        <v>237</v>
      </c>
      <c r="T136" s="43"/>
      <c r="U136" s="43"/>
      <c r="V136" s="43"/>
      <c r="W136" s="56" t="s">
        <v>46</v>
      </c>
      <c r="Z136" s="61"/>
      <c r="AA136" s="61"/>
      <c r="AB136" s="66"/>
      <c r="AC136" s="34"/>
      <c r="AD136" s="34"/>
    </row>
    <row r="137" ht="13.5" customHeight="1">
      <c r="A137" s="28">
        <v>131.0</v>
      </c>
      <c r="B137" s="339" t="s">
        <v>886</v>
      </c>
      <c r="C137" s="340" t="s">
        <v>3907</v>
      </c>
      <c r="D137" s="340" t="s">
        <v>1017</v>
      </c>
      <c r="E137" s="341" t="s">
        <v>338</v>
      </c>
      <c r="F137" s="342">
        <v>38.0</v>
      </c>
      <c r="G137" s="342" t="s">
        <v>339</v>
      </c>
      <c r="H137" s="342" t="s">
        <v>340</v>
      </c>
      <c r="I137" s="342">
        <v>9.60531419E9</v>
      </c>
      <c r="J137" s="54">
        <v>23.0</v>
      </c>
      <c r="K137" s="55">
        <v>13.0</v>
      </c>
      <c r="L137" s="55">
        <v>0.0</v>
      </c>
      <c r="M137" s="55">
        <v>0.0</v>
      </c>
      <c r="N137" s="43">
        <f t="shared" si="3"/>
        <v>0</v>
      </c>
      <c r="O137" s="55">
        <v>9.0</v>
      </c>
      <c r="P137" s="55">
        <v>10.0</v>
      </c>
      <c r="Q137" s="43">
        <f t="shared" si="2"/>
        <v>19</v>
      </c>
      <c r="R137" s="43"/>
      <c r="S137" s="55" t="s">
        <v>105</v>
      </c>
      <c r="T137" s="43"/>
      <c r="U137" s="43"/>
      <c r="V137" s="55" t="s">
        <v>3908</v>
      </c>
      <c r="W137" s="56" t="s">
        <v>46</v>
      </c>
      <c r="Z137" s="61"/>
      <c r="AA137" s="61"/>
      <c r="AB137" s="66"/>
      <c r="AC137" s="34"/>
      <c r="AD137" s="34"/>
    </row>
    <row r="138" ht="13.5" customHeight="1">
      <c r="A138" s="28">
        <v>132.0</v>
      </c>
      <c r="B138" s="339" t="s">
        <v>3909</v>
      </c>
      <c r="C138" s="340" t="s">
        <v>2160</v>
      </c>
      <c r="D138" s="340" t="s">
        <v>3910</v>
      </c>
      <c r="E138" s="341" t="s">
        <v>338</v>
      </c>
      <c r="F138" s="342">
        <v>40.0</v>
      </c>
      <c r="G138" s="342" t="s">
        <v>339</v>
      </c>
      <c r="H138" s="342" t="s">
        <v>469</v>
      </c>
      <c r="I138" s="342">
        <v>9.071021606E9</v>
      </c>
      <c r="J138" s="54">
        <v>26.0</v>
      </c>
      <c r="K138" s="55">
        <v>15.0</v>
      </c>
      <c r="L138" s="55">
        <v>0.0</v>
      </c>
      <c r="M138" s="55">
        <v>5.0</v>
      </c>
      <c r="N138" s="43">
        <f t="shared" si="3"/>
        <v>5</v>
      </c>
      <c r="O138" s="55">
        <v>6.0</v>
      </c>
      <c r="P138" s="55">
        <v>6.0</v>
      </c>
      <c r="Q138" s="43">
        <f t="shared" si="2"/>
        <v>17</v>
      </c>
      <c r="R138" s="43"/>
      <c r="S138" s="55" t="s">
        <v>237</v>
      </c>
      <c r="T138" s="43"/>
      <c r="U138" s="43"/>
      <c r="V138" s="43"/>
      <c r="W138" s="56" t="s">
        <v>46</v>
      </c>
      <c r="Z138" s="61"/>
      <c r="AA138" s="61"/>
      <c r="AB138" s="66"/>
      <c r="AC138" s="34"/>
      <c r="AD138" s="34"/>
    </row>
    <row r="139" ht="13.5" customHeight="1">
      <c r="A139" s="28">
        <v>133.0</v>
      </c>
      <c r="B139" s="339" t="s">
        <v>2149</v>
      </c>
      <c r="C139" s="340" t="s">
        <v>2428</v>
      </c>
      <c r="D139" s="340" t="s">
        <v>148</v>
      </c>
      <c r="E139" s="341" t="s">
        <v>338</v>
      </c>
      <c r="F139" s="342">
        <v>34.0</v>
      </c>
      <c r="G139" s="342" t="s">
        <v>339</v>
      </c>
      <c r="H139" s="342" t="s">
        <v>839</v>
      </c>
      <c r="I139" s="342">
        <v>9.090387821E9</v>
      </c>
      <c r="J139" s="54">
        <v>30.0</v>
      </c>
      <c r="K139" s="55">
        <v>24.0</v>
      </c>
      <c r="L139" s="55">
        <v>0.0</v>
      </c>
      <c r="M139" s="55">
        <v>3.0</v>
      </c>
      <c r="N139" s="43">
        <f t="shared" si="3"/>
        <v>3</v>
      </c>
      <c r="O139" s="55">
        <v>2.0</v>
      </c>
      <c r="P139" s="55">
        <v>3.0</v>
      </c>
      <c r="Q139" s="43">
        <f t="shared" si="2"/>
        <v>8</v>
      </c>
      <c r="R139" s="43"/>
      <c r="S139" s="43"/>
      <c r="T139" s="43"/>
      <c r="U139" s="43"/>
      <c r="V139" s="43"/>
      <c r="W139" s="56" t="s">
        <v>46</v>
      </c>
      <c r="Z139" s="61"/>
      <c r="AA139" s="61"/>
      <c r="AB139" s="66"/>
      <c r="AC139" s="34"/>
      <c r="AD139" s="34"/>
    </row>
    <row r="140" ht="13.5" customHeight="1">
      <c r="A140" s="28">
        <v>134.0</v>
      </c>
      <c r="B140" s="339" t="s">
        <v>3795</v>
      </c>
      <c r="C140" s="340" t="s">
        <v>3911</v>
      </c>
      <c r="D140" s="340" t="s">
        <v>3618</v>
      </c>
      <c r="E140" s="341" t="s">
        <v>338</v>
      </c>
      <c r="F140" s="342">
        <v>48.0</v>
      </c>
      <c r="G140" s="342" t="s">
        <v>339</v>
      </c>
      <c r="H140" s="342" t="s">
        <v>839</v>
      </c>
      <c r="I140" s="342">
        <v>9.684992119E9</v>
      </c>
      <c r="J140" s="54">
        <v>26.0</v>
      </c>
      <c r="K140" s="55">
        <v>20.0</v>
      </c>
      <c r="L140" s="55">
        <v>0.0</v>
      </c>
      <c r="M140" s="55">
        <v>0.0</v>
      </c>
      <c r="N140" s="43">
        <f t="shared" si="3"/>
        <v>0</v>
      </c>
      <c r="O140" s="55">
        <v>6.0</v>
      </c>
      <c r="P140" s="55">
        <v>5.0</v>
      </c>
      <c r="Q140" s="43">
        <f t="shared" si="2"/>
        <v>11</v>
      </c>
      <c r="R140" s="43"/>
      <c r="S140" s="43"/>
      <c r="T140" s="43"/>
      <c r="U140" s="43"/>
      <c r="V140" s="43"/>
      <c r="W140" s="56" t="s">
        <v>46</v>
      </c>
      <c r="Z140" s="61"/>
      <c r="AA140" s="61"/>
      <c r="AB140" s="66"/>
      <c r="AC140" s="34"/>
      <c r="AD140" s="34"/>
    </row>
    <row r="141" ht="13.5" customHeight="1">
      <c r="A141" s="28">
        <v>135.0</v>
      </c>
      <c r="B141" s="339" t="s">
        <v>3912</v>
      </c>
      <c r="C141" s="340" t="s">
        <v>3913</v>
      </c>
      <c r="D141" s="340" t="s">
        <v>3914</v>
      </c>
      <c r="E141" s="341" t="s">
        <v>338</v>
      </c>
      <c r="F141" s="342">
        <v>38.0</v>
      </c>
      <c r="G141" s="342" t="s">
        <v>339</v>
      </c>
      <c r="H141" s="342" t="s">
        <v>833</v>
      </c>
      <c r="I141" s="342">
        <v>9.176320139E9</v>
      </c>
      <c r="J141" s="54">
        <v>27.0</v>
      </c>
      <c r="K141" s="55">
        <v>23.0</v>
      </c>
      <c r="L141" s="55">
        <v>0.0</v>
      </c>
      <c r="M141" s="55">
        <v>1.0</v>
      </c>
      <c r="N141" s="43">
        <f t="shared" si="3"/>
        <v>1</v>
      </c>
      <c r="O141" s="55">
        <v>5.0</v>
      </c>
      <c r="P141" s="55">
        <v>3.0</v>
      </c>
      <c r="Q141" s="43">
        <f t="shared" si="2"/>
        <v>9</v>
      </c>
      <c r="R141" s="43"/>
      <c r="S141" s="43"/>
      <c r="T141" s="43"/>
      <c r="U141" s="43"/>
      <c r="V141" s="43"/>
      <c r="W141" s="56" t="s">
        <v>46</v>
      </c>
      <c r="Z141" s="61"/>
      <c r="AA141" s="61"/>
      <c r="AB141" s="66"/>
      <c r="AC141" s="34"/>
      <c r="AD141" s="34"/>
    </row>
    <row r="142" ht="13.5" customHeight="1">
      <c r="A142" s="28">
        <v>136.0</v>
      </c>
      <c r="B142" s="339" t="s">
        <v>3915</v>
      </c>
      <c r="C142" s="340" t="s">
        <v>3916</v>
      </c>
      <c r="D142" s="340" t="s">
        <v>3329</v>
      </c>
      <c r="E142" s="341" t="s">
        <v>338</v>
      </c>
      <c r="F142" s="342">
        <v>63.0</v>
      </c>
      <c r="G142" s="342" t="s">
        <v>385</v>
      </c>
      <c r="H142" s="342" t="s">
        <v>954</v>
      </c>
      <c r="I142" s="342">
        <v>9.088954203E9</v>
      </c>
      <c r="J142" s="54">
        <v>11.0</v>
      </c>
      <c r="K142" s="55">
        <v>9.0</v>
      </c>
      <c r="L142" s="55">
        <v>0.0</v>
      </c>
      <c r="M142" s="55">
        <v>2.0</v>
      </c>
      <c r="N142" s="43">
        <f t="shared" si="3"/>
        <v>2</v>
      </c>
      <c r="O142" s="55">
        <v>21.0</v>
      </c>
      <c r="P142" s="55">
        <v>0.0</v>
      </c>
      <c r="Q142" s="43">
        <f t="shared" si="2"/>
        <v>23</v>
      </c>
      <c r="R142" s="43"/>
      <c r="S142" s="55" t="s">
        <v>237</v>
      </c>
      <c r="T142" s="43"/>
      <c r="U142" s="43"/>
      <c r="V142" s="43"/>
      <c r="W142" s="56" t="s">
        <v>46</v>
      </c>
      <c r="Z142" s="61"/>
      <c r="AA142" s="61"/>
      <c r="AB142" s="66"/>
      <c r="AC142" s="34"/>
      <c r="AD142" s="34"/>
    </row>
    <row r="143" ht="13.5" customHeight="1">
      <c r="A143" s="28">
        <v>137.0</v>
      </c>
      <c r="B143" s="339" t="s">
        <v>3917</v>
      </c>
      <c r="C143" s="340" t="s">
        <v>2862</v>
      </c>
      <c r="D143" s="340" t="s">
        <v>1925</v>
      </c>
      <c r="E143" s="341" t="s">
        <v>338</v>
      </c>
      <c r="F143" s="342">
        <v>35.0</v>
      </c>
      <c r="G143" s="342" t="s">
        <v>339</v>
      </c>
      <c r="H143" s="342" t="s">
        <v>833</v>
      </c>
      <c r="I143" s="342">
        <v>9.106301518E9</v>
      </c>
      <c r="J143" s="54">
        <v>26.0</v>
      </c>
      <c r="K143" s="55">
        <v>20.0</v>
      </c>
      <c r="L143" s="55">
        <v>0.0</v>
      </c>
      <c r="M143" s="55">
        <v>4.0</v>
      </c>
      <c r="N143" s="43">
        <f t="shared" si="3"/>
        <v>4</v>
      </c>
      <c r="O143" s="55">
        <v>6.0</v>
      </c>
      <c r="P143" s="55">
        <v>2.0</v>
      </c>
      <c r="Q143" s="43">
        <f t="shared" si="2"/>
        <v>12</v>
      </c>
      <c r="R143" s="43"/>
      <c r="S143" s="55" t="s">
        <v>88</v>
      </c>
      <c r="T143" s="43"/>
      <c r="U143" s="43"/>
      <c r="V143" s="43"/>
      <c r="W143" s="56" t="s">
        <v>46</v>
      </c>
      <c r="Z143" s="61"/>
      <c r="AA143" s="61"/>
      <c r="AB143" s="66"/>
      <c r="AC143" s="34"/>
      <c r="AD143" s="34"/>
    </row>
    <row r="144" ht="13.5" customHeight="1">
      <c r="A144" s="28">
        <v>138.0</v>
      </c>
      <c r="B144" s="339" t="s">
        <v>3918</v>
      </c>
      <c r="C144" s="340" t="s">
        <v>2539</v>
      </c>
      <c r="D144" s="340" t="s">
        <v>3745</v>
      </c>
      <c r="E144" s="341" t="s">
        <v>338</v>
      </c>
      <c r="F144" s="342">
        <v>41.0</v>
      </c>
      <c r="G144" s="342" t="s">
        <v>339</v>
      </c>
      <c r="H144" s="342" t="s">
        <v>340</v>
      </c>
      <c r="I144" s="342">
        <v>9.064857918E9</v>
      </c>
      <c r="J144" s="54">
        <v>29.0</v>
      </c>
      <c r="K144" s="55">
        <v>26.0</v>
      </c>
      <c r="L144" s="55">
        <v>0.0</v>
      </c>
      <c r="M144" s="55">
        <v>2.0</v>
      </c>
      <c r="N144" s="43">
        <f t="shared" si="3"/>
        <v>2</v>
      </c>
      <c r="O144" s="55">
        <v>3.0</v>
      </c>
      <c r="P144" s="55">
        <v>1.0</v>
      </c>
      <c r="Q144" s="43">
        <f t="shared" si="2"/>
        <v>6</v>
      </c>
      <c r="R144" s="43"/>
      <c r="S144" s="43"/>
      <c r="T144" s="43"/>
      <c r="U144" s="43"/>
      <c r="V144" s="43"/>
      <c r="W144" s="56" t="s">
        <v>46</v>
      </c>
      <c r="Z144" s="61"/>
      <c r="AA144" s="61"/>
      <c r="AB144" s="66"/>
      <c r="AC144" s="34"/>
      <c r="AD144" s="34"/>
    </row>
    <row r="145" ht="13.5" customHeight="1">
      <c r="A145" s="28">
        <v>139.0</v>
      </c>
      <c r="B145" s="339" t="s">
        <v>3919</v>
      </c>
      <c r="C145" s="340" t="s">
        <v>3920</v>
      </c>
      <c r="D145" s="340" t="s">
        <v>3921</v>
      </c>
      <c r="E145" s="341" t="s">
        <v>338</v>
      </c>
      <c r="F145" s="342">
        <v>51.0</v>
      </c>
      <c r="G145" s="342" t="s">
        <v>339</v>
      </c>
      <c r="H145" s="342" t="s">
        <v>839</v>
      </c>
      <c r="I145" s="342">
        <v>9.452735681E9</v>
      </c>
      <c r="J145" s="54">
        <v>21.0</v>
      </c>
      <c r="K145" s="55">
        <v>18.0</v>
      </c>
      <c r="L145" s="55">
        <v>0.0</v>
      </c>
      <c r="M145" s="55">
        <v>2.0</v>
      </c>
      <c r="N145" s="43">
        <f t="shared" si="3"/>
        <v>2</v>
      </c>
      <c r="O145" s="55">
        <v>11.0</v>
      </c>
      <c r="P145" s="55">
        <v>1.0</v>
      </c>
      <c r="Q145" s="43">
        <f t="shared" si="2"/>
        <v>14</v>
      </c>
      <c r="R145" s="43"/>
      <c r="S145" s="43"/>
      <c r="T145" s="43"/>
      <c r="U145" s="43"/>
      <c r="V145" s="43"/>
      <c r="W145" s="56" t="s">
        <v>46</v>
      </c>
      <c r="Z145" s="61"/>
      <c r="AA145" s="61"/>
      <c r="AB145" s="66"/>
      <c r="AC145" s="34"/>
      <c r="AD145" s="34"/>
    </row>
    <row r="146" ht="13.5" customHeight="1">
      <c r="A146" s="28">
        <v>140.0</v>
      </c>
      <c r="B146" s="339" t="s">
        <v>3922</v>
      </c>
      <c r="C146" s="340" t="s">
        <v>3923</v>
      </c>
      <c r="D146" s="340" t="s">
        <v>1219</v>
      </c>
      <c r="E146" s="341" t="s">
        <v>338</v>
      </c>
      <c r="F146" s="342">
        <v>52.0</v>
      </c>
      <c r="G146" s="342" t="s">
        <v>339</v>
      </c>
      <c r="H146" s="342" t="s">
        <v>833</v>
      </c>
      <c r="I146" s="342">
        <v>9.322835856E9</v>
      </c>
      <c r="J146" s="54">
        <v>13.0</v>
      </c>
      <c r="K146" s="55">
        <v>7.0</v>
      </c>
      <c r="L146" s="55">
        <v>2.0</v>
      </c>
      <c r="M146" s="55">
        <v>3.0</v>
      </c>
      <c r="N146" s="43">
        <f t="shared" si="3"/>
        <v>5</v>
      </c>
      <c r="O146" s="55">
        <v>19.0</v>
      </c>
      <c r="P146" s="55">
        <v>1.0</v>
      </c>
      <c r="Q146" s="43">
        <f t="shared" si="2"/>
        <v>25</v>
      </c>
      <c r="R146" s="43"/>
      <c r="S146" s="55" t="s">
        <v>97</v>
      </c>
      <c r="T146" s="43"/>
      <c r="U146" s="43"/>
      <c r="V146" s="43"/>
      <c r="W146" s="56" t="s">
        <v>46</v>
      </c>
      <c r="Z146" s="61"/>
      <c r="AA146" s="61"/>
      <c r="AB146" s="66"/>
      <c r="AC146" s="34"/>
      <c r="AD146" s="34"/>
    </row>
    <row r="147" ht="13.5" customHeight="1">
      <c r="A147" s="28">
        <v>141.0</v>
      </c>
      <c r="B147" s="339" t="s">
        <v>2199</v>
      </c>
      <c r="C147" s="340" t="s">
        <v>3924</v>
      </c>
      <c r="D147" s="340" t="s">
        <v>3925</v>
      </c>
      <c r="E147" s="341" t="s">
        <v>338</v>
      </c>
      <c r="F147" s="342">
        <v>51.0</v>
      </c>
      <c r="G147" s="342" t="s">
        <v>385</v>
      </c>
      <c r="H147" s="342" t="s">
        <v>368</v>
      </c>
      <c r="I147" s="342" t="s">
        <v>3926</v>
      </c>
      <c r="J147" s="54">
        <v>31.0</v>
      </c>
      <c r="K147" s="55">
        <v>28.0</v>
      </c>
      <c r="L147" s="55">
        <v>0.0</v>
      </c>
      <c r="M147" s="55">
        <v>0.0</v>
      </c>
      <c r="N147" s="43">
        <f t="shared" si="3"/>
        <v>0</v>
      </c>
      <c r="O147" s="55">
        <v>1.0</v>
      </c>
      <c r="P147" s="55">
        <v>3.0</v>
      </c>
      <c r="Q147" s="43">
        <f t="shared" si="2"/>
        <v>4</v>
      </c>
      <c r="R147" s="43"/>
      <c r="S147" s="43"/>
      <c r="T147" s="43"/>
      <c r="U147" s="43"/>
      <c r="V147" s="43"/>
      <c r="W147" s="56" t="s">
        <v>46</v>
      </c>
      <c r="Z147" s="61"/>
      <c r="AA147" s="61"/>
      <c r="AB147" s="66"/>
      <c r="AC147" s="34"/>
      <c r="AD147" s="34"/>
    </row>
    <row r="148" ht="13.5" customHeight="1">
      <c r="A148" s="28">
        <v>142.0</v>
      </c>
      <c r="B148" s="339" t="s">
        <v>3927</v>
      </c>
      <c r="C148" s="340" t="s">
        <v>3928</v>
      </c>
      <c r="D148" s="340" t="s">
        <v>1216</v>
      </c>
      <c r="E148" s="341" t="s">
        <v>338</v>
      </c>
      <c r="F148" s="342">
        <v>27.0</v>
      </c>
      <c r="G148" s="342" t="s">
        <v>339</v>
      </c>
      <c r="H148" s="342" t="s">
        <v>839</v>
      </c>
      <c r="I148" s="342">
        <v>9.081386003E9</v>
      </c>
      <c r="J148" s="54">
        <v>28.0</v>
      </c>
      <c r="K148" s="55">
        <v>20.0</v>
      </c>
      <c r="L148" s="55">
        <v>0.0</v>
      </c>
      <c r="M148" s="55">
        <v>5.0</v>
      </c>
      <c r="N148" s="43">
        <f t="shared" si="3"/>
        <v>5</v>
      </c>
      <c r="O148" s="55">
        <v>4.0</v>
      </c>
      <c r="P148" s="55">
        <v>3.0</v>
      </c>
      <c r="Q148" s="43">
        <f t="shared" si="2"/>
        <v>12</v>
      </c>
      <c r="R148" s="43"/>
      <c r="S148" s="55" t="s">
        <v>277</v>
      </c>
      <c r="T148" s="43"/>
      <c r="U148" s="43"/>
      <c r="V148" s="43"/>
      <c r="W148" s="56" t="s">
        <v>46</v>
      </c>
      <c r="Z148" s="61"/>
      <c r="AA148" s="61"/>
      <c r="AB148" s="66"/>
      <c r="AC148" s="34"/>
      <c r="AD148" s="34"/>
    </row>
    <row r="149" ht="13.5" customHeight="1">
      <c r="A149" s="28">
        <v>143.0</v>
      </c>
      <c r="B149" s="339" t="s">
        <v>2042</v>
      </c>
      <c r="C149" s="340" t="s">
        <v>3929</v>
      </c>
      <c r="D149" s="340" t="s">
        <v>3930</v>
      </c>
      <c r="E149" s="341" t="s">
        <v>338</v>
      </c>
      <c r="F149" s="342">
        <v>48.0</v>
      </c>
      <c r="G149" s="342" t="s">
        <v>385</v>
      </c>
      <c r="H149" s="342" t="s">
        <v>663</v>
      </c>
      <c r="I149" s="342">
        <v>9.605311281E9</v>
      </c>
      <c r="J149" s="54">
        <v>26.0</v>
      </c>
      <c r="K149" s="55">
        <v>15.0</v>
      </c>
      <c r="L149" s="55">
        <v>0.0</v>
      </c>
      <c r="M149" s="55">
        <v>0.0</v>
      </c>
      <c r="N149" s="43">
        <f t="shared" si="3"/>
        <v>0</v>
      </c>
      <c r="O149" s="55">
        <v>6.0</v>
      </c>
      <c r="P149" s="55">
        <v>11.0</v>
      </c>
      <c r="Q149" s="43">
        <f t="shared" si="2"/>
        <v>17</v>
      </c>
      <c r="R149" s="43"/>
      <c r="S149" s="55" t="s">
        <v>3931</v>
      </c>
      <c r="T149" s="43"/>
      <c r="U149" s="43"/>
      <c r="V149" s="55" t="s">
        <v>2470</v>
      </c>
      <c r="W149" s="56" t="s">
        <v>46</v>
      </c>
      <c r="Z149" s="61"/>
      <c r="AA149" s="61"/>
      <c r="AB149" s="66"/>
      <c r="AC149" s="34"/>
      <c r="AD149" s="34"/>
    </row>
    <row r="150" ht="13.5" customHeight="1">
      <c r="A150" s="28">
        <v>144.0</v>
      </c>
      <c r="B150" s="339" t="s">
        <v>2042</v>
      </c>
      <c r="C150" s="340" t="s">
        <v>3932</v>
      </c>
      <c r="D150" s="340" t="s">
        <v>932</v>
      </c>
      <c r="E150" s="341" t="s">
        <v>338</v>
      </c>
      <c r="F150" s="342">
        <v>33.0</v>
      </c>
      <c r="G150" s="342" t="s">
        <v>339</v>
      </c>
      <c r="H150" s="342" t="s">
        <v>646</v>
      </c>
      <c r="I150" s="342">
        <v>9.090250336E9</v>
      </c>
      <c r="J150" s="54">
        <v>29.0</v>
      </c>
      <c r="K150" s="55">
        <v>25.0</v>
      </c>
      <c r="L150" s="55">
        <v>0.0</v>
      </c>
      <c r="M150" s="55">
        <v>0.0</v>
      </c>
      <c r="N150" s="43">
        <f t="shared" si="3"/>
        <v>0</v>
      </c>
      <c r="O150" s="55">
        <v>3.0</v>
      </c>
      <c r="P150" s="55">
        <v>4.0</v>
      </c>
      <c r="Q150" s="43">
        <f t="shared" si="2"/>
        <v>7</v>
      </c>
      <c r="R150" s="43"/>
      <c r="S150" s="55" t="s">
        <v>88</v>
      </c>
      <c r="T150" s="43"/>
      <c r="U150" s="43"/>
      <c r="V150" s="43"/>
      <c r="W150" s="56" t="s">
        <v>46</v>
      </c>
      <c r="Z150" s="61"/>
      <c r="AA150" s="61"/>
      <c r="AB150" s="66"/>
      <c r="AC150" s="34"/>
      <c r="AD150" s="34"/>
    </row>
    <row r="151" ht="13.5" customHeight="1">
      <c r="A151" s="28">
        <v>145.0</v>
      </c>
      <c r="B151" s="339" t="s">
        <v>3933</v>
      </c>
      <c r="C151" s="340" t="s">
        <v>342</v>
      </c>
      <c r="D151" s="340" t="s">
        <v>232</v>
      </c>
      <c r="E151" s="341" t="s">
        <v>338</v>
      </c>
      <c r="F151" s="342">
        <v>47.0</v>
      </c>
      <c r="G151" s="342" t="s">
        <v>339</v>
      </c>
      <c r="H151" s="342" t="s">
        <v>340</v>
      </c>
      <c r="I151" s="342">
        <v>9.983217251E9</v>
      </c>
      <c r="J151" s="54">
        <v>22.0</v>
      </c>
      <c r="K151" s="55">
        <v>20.0</v>
      </c>
      <c r="L151" s="55">
        <v>1.0</v>
      </c>
      <c r="M151" s="55">
        <v>0.0</v>
      </c>
      <c r="N151" s="43">
        <f t="shared" si="3"/>
        <v>1</v>
      </c>
      <c r="O151" s="55">
        <v>10.0</v>
      </c>
      <c r="P151" s="55">
        <v>1.0</v>
      </c>
      <c r="Q151" s="43">
        <f t="shared" si="2"/>
        <v>12</v>
      </c>
      <c r="R151" s="43"/>
      <c r="S151" s="43"/>
      <c r="T151" s="43"/>
      <c r="U151" s="43"/>
      <c r="V151" s="43"/>
      <c r="W151" s="56" t="s">
        <v>46</v>
      </c>
      <c r="Z151" s="61"/>
      <c r="AA151" s="61"/>
      <c r="AB151" s="66"/>
      <c r="AC151" s="34"/>
      <c r="AD151" s="34"/>
    </row>
    <row r="152" ht="13.5" customHeight="1">
      <c r="A152" s="28">
        <v>146.0</v>
      </c>
      <c r="B152" s="339" t="s">
        <v>3934</v>
      </c>
      <c r="C152" s="340" t="s">
        <v>3935</v>
      </c>
      <c r="D152" s="340" t="s">
        <v>3936</v>
      </c>
      <c r="E152" s="341" t="s">
        <v>338</v>
      </c>
      <c r="F152" s="342">
        <v>32.0</v>
      </c>
      <c r="G152" s="342" t="s">
        <v>339</v>
      </c>
      <c r="H152" s="342" t="s">
        <v>663</v>
      </c>
      <c r="I152" s="342">
        <v>9.484815024E9</v>
      </c>
      <c r="J152" s="54">
        <v>25.0</v>
      </c>
      <c r="K152" s="55">
        <v>21.0</v>
      </c>
      <c r="L152" s="55">
        <v>0.0</v>
      </c>
      <c r="M152" s="55">
        <v>0.0</v>
      </c>
      <c r="N152" s="43">
        <f t="shared" si="3"/>
        <v>0</v>
      </c>
      <c r="O152" s="55">
        <v>7.0</v>
      </c>
      <c r="P152" s="55">
        <v>4.0</v>
      </c>
      <c r="Q152" s="43">
        <f t="shared" si="2"/>
        <v>11</v>
      </c>
      <c r="R152" s="43"/>
      <c r="S152" s="55" t="s">
        <v>3937</v>
      </c>
      <c r="T152" s="43"/>
      <c r="U152" s="43"/>
      <c r="V152" s="43"/>
      <c r="W152" s="56" t="s">
        <v>46</v>
      </c>
      <c r="Z152" s="61"/>
      <c r="AA152" s="61"/>
      <c r="AB152" s="66"/>
      <c r="AC152" s="34"/>
      <c r="AD152" s="34"/>
    </row>
    <row r="153" ht="13.5" customHeight="1">
      <c r="A153" s="28">
        <v>147.0</v>
      </c>
      <c r="B153" s="339" t="s">
        <v>1243</v>
      </c>
      <c r="C153" s="340" t="s">
        <v>3938</v>
      </c>
      <c r="D153" s="340" t="s">
        <v>3939</v>
      </c>
      <c r="E153" s="341" t="s">
        <v>338</v>
      </c>
      <c r="F153" s="342">
        <v>56.0</v>
      </c>
      <c r="G153" s="342" t="s">
        <v>385</v>
      </c>
      <c r="H153" s="342" t="s">
        <v>3940</v>
      </c>
      <c r="I153" s="342">
        <v>9.603642423E9</v>
      </c>
      <c r="J153" s="54">
        <v>13.0</v>
      </c>
      <c r="K153" s="55">
        <v>10.0</v>
      </c>
      <c r="L153" s="55">
        <v>0.0</v>
      </c>
      <c r="M153" s="55">
        <v>3.0</v>
      </c>
      <c r="N153" s="43">
        <f t="shared" si="3"/>
        <v>3</v>
      </c>
      <c r="O153" s="55">
        <v>19.0</v>
      </c>
      <c r="P153" s="55">
        <v>0.0</v>
      </c>
      <c r="Q153" s="43">
        <f t="shared" si="2"/>
        <v>22</v>
      </c>
      <c r="R153" s="43"/>
      <c r="S153" s="55" t="s">
        <v>237</v>
      </c>
      <c r="T153" s="43"/>
      <c r="U153" s="43"/>
      <c r="V153" s="43"/>
      <c r="W153" s="56" t="s">
        <v>46</v>
      </c>
      <c r="Z153" s="61"/>
      <c r="AA153" s="61"/>
      <c r="AB153" s="66"/>
      <c r="AC153" s="34"/>
      <c r="AD153" s="34"/>
    </row>
    <row r="154" ht="13.5" customHeight="1">
      <c r="A154" s="28">
        <v>148.0</v>
      </c>
      <c r="B154" s="339" t="s">
        <v>1096</v>
      </c>
      <c r="C154" s="340" t="s">
        <v>1976</v>
      </c>
      <c r="D154" s="340" t="s">
        <v>3941</v>
      </c>
      <c r="E154" s="341" t="s">
        <v>338</v>
      </c>
      <c r="F154" s="342">
        <v>30.0</v>
      </c>
      <c r="G154" s="342" t="s">
        <v>339</v>
      </c>
      <c r="H154" s="342" t="s">
        <v>663</v>
      </c>
      <c r="I154" s="342">
        <v>9.057394413E9</v>
      </c>
      <c r="J154" s="54">
        <v>27.0</v>
      </c>
      <c r="K154" s="55">
        <v>24.0</v>
      </c>
      <c r="L154" s="55">
        <v>1.0</v>
      </c>
      <c r="M154" s="55">
        <v>2.0</v>
      </c>
      <c r="N154" s="43">
        <f t="shared" si="3"/>
        <v>3</v>
      </c>
      <c r="O154" s="55">
        <v>1.0</v>
      </c>
      <c r="P154" s="55">
        <v>0.0</v>
      </c>
      <c r="Q154" s="43">
        <f t="shared" si="2"/>
        <v>4</v>
      </c>
      <c r="R154" s="43"/>
      <c r="S154" s="43"/>
      <c r="T154" s="43"/>
      <c r="U154" s="43"/>
      <c r="V154" s="43"/>
      <c r="W154" s="56" t="s">
        <v>46</v>
      </c>
      <c r="Z154" s="61"/>
      <c r="AA154" s="61"/>
      <c r="AB154" s="66"/>
      <c r="AC154" s="34"/>
      <c r="AD154" s="34"/>
    </row>
    <row r="155" ht="15.0" customHeight="1">
      <c r="A155" s="28">
        <v>149.0</v>
      </c>
      <c r="B155" s="339" t="s">
        <v>3942</v>
      </c>
      <c r="C155" s="340" t="s">
        <v>2986</v>
      </c>
      <c r="D155" s="340" t="s">
        <v>3943</v>
      </c>
      <c r="E155" s="341" t="s">
        <v>338</v>
      </c>
      <c r="F155" s="342">
        <v>60.0</v>
      </c>
      <c r="G155" s="342" t="s">
        <v>339</v>
      </c>
      <c r="H155" s="342" t="s">
        <v>3944</v>
      </c>
      <c r="I155" s="342">
        <v>9.438282237E9</v>
      </c>
      <c r="J155" s="54">
        <v>16.0</v>
      </c>
      <c r="K155" s="55">
        <v>13.0</v>
      </c>
      <c r="L155" s="55">
        <v>0.0</v>
      </c>
      <c r="M155" s="55">
        <v>2.0</v>
      </c>
      <c r="N155" s="43">
        <f t="shared" si="3"/>
        <v>2</v>
      </c>
      <c r="O155" s="55">
        <v>15.0</v>
      </c>
      <c r="P155" s="55">
        <v>1.0</v>
      </c>
      <c r="Q155" s="43">
        <f t="shared" si="2"/>
        <v>18</v>
      </c>
      <c r="R155" s="43"/>
      <c r="S155" s="43"/>
      <c r="T155" s="43"/>
      <c r="U155" s="43"/>
      <c r="V155" s="43"/>
      <c r="W155" s="56" t="s">
        <v>46</v>
      </c>
      <c r="Z155" s="61"/>
      <c r="AA155" s="61"/>
      <c r="AB155" s="66"/>
      <c r="AC155" s="34"/>
      <c r="AD155" s="34"/>
    </row>
    <row r="156" ht="13.5" customHeight="1">
      <c r="A156" s="28">
        <v>150.0</v>
      </c>
      <c r="B156" s="339" t="s">
        <v>2469</v>
      </c>
      <c r="C156" s="340" t="s">
        <v>3071</v>
      </c>
      <c r="D156" s="340" t="s">
        <v>3945</v>
      </c>
      <c r="E156" s="341" t="s">
        <v>338</v>
      </c>
      <c r="F156" s="342">
        <v>41.0</v>
      </c>
      <c r="G156" s="342" t="s">
        <v>339</v>
      </c>
      <c r="H156" s="342" t="s">
        <v>663</v>
      </c>
      <c r="I156" s="360">
        <v>9.467227331E9</v>
      </c>
      <c r="J156" s="54">
        <v>22.0</v>
      </c>
      <c r="K156" s="55">
        <v>19.0</v>
      </c>
      <c r="L156" s="55">
        <v>0.0</v>
      </c>
      <c r="M156" s="55">
        <v>1.0</v>
      </c>
      <c r="N156" s="43">
        <f t="shared" si="3"/>
        <v>1</v>
      </c>
      <c r="O156" s="55">
        <v>10.0</v>
      </c>
      <c r="P156" s="55">
        <v>2.0</v>
      </c>
      <c r="Q156" s="43">
        <f t="shared" si="2"/>
        <v>13</v>
      </c>
      <c r="R156" s="43"/>
      <c r="S156" s="55" t="s">
        <v>88</v>
      </c>
      <c r="T156" s="43"/>
      <c r="U156" s="43"/>
      <c r="V156" s="43"/>
      <c r="W156" s="56" t="s">
        <v>46</v>
      </c>
      <c r="Z156" s="61"/>
      <c r="AA156" s="61"/>
      <c r="AB156" s="66"/>
      <c r="AC156" s="34"/>
      <c r="AD156" s="34"/>
    </row>
    <row r="157" ht="13.5" customHeight="1">
      <c r="A157" s="127">
        <v>151.0</v>
      </c>
      <c r="B157" s="339" t="s">
        <v>1424</v>
      </c>
      <c r="C157" s="340" t="s">
        <v>3946</v>
      </c>
      <c r="D157" s="340" t="s">
        <v>3661</v>
      </c>
      <c r="E157" s="341" t="s">
        <v>338</v>
      </c>
      <c r="F157" s="342">
        <v>59.0</v>
      </c>
      <c r="G157" s="342" t="s">
        <v>339</v>
      </c>
      <c r="H157" s="342" t="s">
        <v>646</v>
      </c>
      <c r="I157" s="342">
        <v>9.755632689E9</v>
      </c>
      <c r="J157" s="55">
        <v>16.0</v>
      </c>
      <c r="K157" s="55">
        <v>13.0</v>
      </c>
      <c r="L157" s="55">
        <v>0.0</v>
      </c>
      <c r="M157" s="55">
        <v>0.0</v>
      </c>
      <c r="N157" s="43">
        <f t="shared" si="3"/>
        <v>0</v>
      </c>
      <c r="O157" s="55">
        <v>15.0</v>
      </c>
      <c r="P157" s="55">
        <v>3.0</v>
      </c>
      <c r="Q157" s="43">
        <f t="shared" si="2"/>
        <v>18</v>
      </c>
      <c r="R157" s="43"/>
      <c r="S157" s="55" t="s">
        <v>237</v>
      </c>
      <c r="T157" s="125"/>
      <c r="U157" s="43"/>
      <c r="V157" s="43"/>
      <c r="W157" s="56" t="s">
        <v>46</v>
      </c>
      <c r="Z157" s="61"/>
      <c r="AA157" s="61"/>
      <c r="AB157" s="66"/>
      <c r="AC157" s="34"/>
      <c r="AD157" s="34"/>
    </row>
    <row r="158" ht="13.5" customHeight="1">
      <c r="A158" s="127">
        <v>152.0</v>
      </c>
      <c r="B158" s="339" t="s">
        <v>3947</v>
      </c>
      <c r="C158" s="340" t="s">
        <v>3392</v>
      </c>
      <c r="D158" s="340" t="s">
        <v>3948</v>
      </c>
      <c r="E158" s="341" t="s">
        <v>338</v>
      </c>
      <c r="F158" s="342">
        <v>34.0</v>
      </c>
      <c r="G158" s="342" t="s">
        <v>339</v>
      </c>
      <c r="H158" s="342" t="s">
        <v>435</v>
      </c>
      <c r="I158" s="342">
        <v>9.957432928E9</v>
      </c>
      <c r="J158" s="54">
        <v>30.0</v>
      </c>
      <c r="K158" s="55">
        <v>25.0</v>
      </c>
      <c r="L158" s="55">
        <v>0.0</v>
      </c>
      <c r="M158" s="55">
        <v>4.0</v>
      </c>
      <c r="N158" s="43">
        <f t="shared" si="3"/>
        <v>4</v>
      </c>
      <c r="O158" s="55">
        <v>1.0</v>
      </c>
      <c r="P158" s="55">
        <v>1.0</v>
      </c>
      <c r="Q158" s="43">
        <f t="shared" si="2"/>
        <v>6</v>
      </c>
      <c r="R158" s="43"/>
      <c r="S158" s="43"/>
      <c r="T158" s="43"/>
      <c r="U158" s="43"/>
      <c r="V158" s="43"/>
      <c r="W158" s="56" t="s">
        <v>46</v>
      </c>
      <c r="Z158" s="34"/>
      <c r="AA158" s="34"/>
      <c r="AB158" s="34"/>
      <c r="AC158" s="34"/>
      <c r="AD158" s="34"/>
    </row>
    <row r="159" ht="13.5" customHeight="1">
      <c r="A159" s="127">
        <v>153.0</v>
      </c>
      <c r="B159" s="339" t="s">
        <v>3949</v>
      </c>
      <c r="C159" s="340" t="s">
        <v>3950</v>
      </c>
      <c r="D159" s="340" t="s">
        <v>3951</v>
      </c>
      <c r="E159" s="341" t="s">
        <v>338</v>
      </c>
      <c r="F159" s="342">
        <v>46.0</v>
      </c>
      <c r="G159" s="342" t="s">
        <v>339</v>
      </c>
      <c r="H159" s="342" t="s">
        <v>663</v>
      </c>
      <c r="I159" s="342">
        <v>9.07016292E9</v>
      </c>
      <c r="J159" s="55">
        <v>19.0</v>
      </c>
      <c r="K159" s="55">
        <v>19.0</v>
      </c>
      <c r="L159" s="55">
        <v>0.0</v>
      </c>
      <c r="M159" s="55">
        <v>0.0</v>
      </c>
      <c r="N159" s="43">
        <f t="shared" si="3"/>
        <v>0</v>
      </c>
      <c r="O159" s="55">
        <v>13.0</v>
      </c>
      <c r="P159" s="55">
        <v>0.0</v>
      </c>
      <c r="Q159" s="43">
        <f t="shared" si="2"/>
        <v>13</v>
      </c>
      <c r="R159" s="43"/>
      <c r="S159" s="43"/>
      <c r="T159" s="125"/>
      <c r="U159" s="43"/>
      <c r="V159" s="43"/>
      <c r="W159" s="56" t="s">
        <v>46</v>
      </c>
      <c r="Z159" s="34"/>
      <c r="AA159" s="34"/>
      <c r="AB159" s="34"/>
      <c r="AC159" s="34"/>
      <c r="AD159" s="34"/>
    </row>
    <row r="160" ht="13.5" customHeight="1">
      <c r="A160" s="127">
        <v>154.0</v>
      </c>
      <c r="B160" s="339" t="s">
        <v>3952</v>
      </c>
      <c r="C160" s="340" t="s">
        <v>3953</v>
      </c>
      <c r="D160" s="340" t="s">
        <v>112</v>
      </c>
      <c r="E160" s="341" t="s">
        <v>338</v>
      </c>
      <c r="F160" s="342">
        <v>45.0</v>
      </c>
      <c r="G160" s="342" t="s">
        <v>339</v>
      </c>
      <c r="H160" s="342" t="s">
        <v>435</v>
      </c>
      <c r="I160" s="342">
        <v>9.364708704E9</v>
      </c>
      <c r="J160" s="54">
        <v>28.0</v>
      </c>
      <c r="K160" s="55">
        <v>25.0</v>
      </c>
      <c r="L160" s="55">
        <v>0.0</v>
      </c>
      <c r="M160" s="55">
        <v>1.0</v>
      </c>
      <c r="N160" s="43">
        <f t="shared" si="3"/>
        <v>1</v>
      </c>
      <c r="O160" s="55">
        <v>4.0</v>
      </c>
      <c r="P160" s="55">
        <v>2.0</v>
      </c>
      <c r="Q160" s="43">
        <f t="shared" si="2"/>
        <v>7</v>
      </c>
      <c r="R160" s="43"/>
      <c r="S160" s="43"/>
      <c r="T160" s="43"/>
      <c r="U160" s="43"/>
      <c r="V160" s="43"/>
      <c r="W160" s="56" t="s">
        <v>46</v>
      </c>
      <c r="Z160" s="34"/>
      <c r="AA160" s="34"/>
      <c r="AB160" s="34"/>
      <c r="AC160" s="34"/>
      <c r="AD160" s="34"/>
    </row>
    <row r="161" ht="13.5" customHeight="1">
      <c r="A161" s="127">
        <v>155.0</v>
      </c>
      <c r="B161" s="339" t="s">
        <v>3954</v>
      </c>
      <c r="C161" s="340" t="s">
        <v>2117</v>
      </c>
      <c r="D161" s="340" t="s">
        <v>3955</v>
      </c>
      <c r="E161" s="341" t="s">
        <v>338</v>
      </c>
      <c r="F161" s="344">
        <v>40.0</v>
      </c>
      <c r="G161" s="342" t="s">
        <v>339</v>
      </c>
      <c r="H161" s="342" t="s">
        <v>1002</v>
      </c>
      <c r="I161" s="342">
        <v>9.227400089E9</v>
      </c>
      <c r="J161" s="55">
        <v>26.0</v>
      </c>
      <c r="K161" s="55">
        <v>19.0</v>
      </c>
      <c r="L161" s="55">
        <v>0.0</v>
      </c>
      <c r="M161" s="55">
        <v>3.0</v>
      </c>
      <c r="N161" s="43">
        <f t="shared" si="3"/>
        <v>3</v>
      </c>
      <c r="O161" s="55">
        <v>2.0</v>
      </c>
      <c r="P161" s="55">
        <v>4.0</v>
      </c>
      <c r="Q161" s="43">
        <f t="shared" si="2"/>
        <v>9</v>
      </c>
      <c r="R161" s="43"/>
      <c r="S161" s="55" t="s">
        <v>88</v>
      </c>
      <c r="T161" s="125"/>
      <c r="U161" s="43"/>
      <c r="V161" s="43"/>
      <c r="W161" s="56" t="s">
        <v>46</v>
      </c>
      <c r="Z161" s="34"/>
      <c r="AA161" s="34"/>
      <c r="AB161" s="34"/>
      <c r="AC161" s="34"/>
      <c r="AD161" s="34"/>
    </row>
    <row r="162" ht="13.5" customHeight="1">
      <c r="A162" s="127">
        <v>156.0</v>
      </c>
      <c r="B162" s="339" t="s">
        <v>3956</v>
      </c>
      <c r="C162" s="340" t="s">
        <v>3957</v>
      </c>
      <c r="D162" s="340" t="s">
        <v>1039</v>
      </c>
      <c r="E162" s="341" t="s">
        <v>338</v>
      </c>
      <c r="F162" s="342">
        <v>46.0</v>
      </c>
      <c r="G162" s="342" t="s">
        <v>339</v>
      </c>
      <c r="H162" s="342" t="s">
        <v>646</v>
      </c>
      <c r="I162" s="342">
        <v>9.129281102E9</v>
      </c>
      <c r="J162" s="54">
        <v>23.0</v>
      </c>
      <c r="K162" s="55">
        <v>15.0</v>
      </c>
      <c r="L162" s="55">
        <v>0.0</v>
      </c>
      <c r="M162" s="55">
        <v>0.0</v>
      </c>
      <c r="N162" s="43">
        <f t="shared" si="3"/>
        <v>0</v>
      </c>
      <c r="O162" s="55">
        <v>9.0</v>
      </c>
      <c r="P162" s="55">
        <v>8.0</v>
      </c>
      <c r="Q162" s="43">
        <f t="shared" si="2"/>
        <v>17</v>
      </c>
      <c r="R162" s="43"/>
      <c r="S162" s="43"/>
      <c r="T162" s="43"/>
      <c r="U162" s="43"/>
      <c r="V162" s="43"/>
      <c r="W162" s="56" t="s">
        <v>46</v>
      </c>
      <c r="Z162" s="34"/>
      <c r="AA162" s="34"/>
      <c r="AB162" s="34"/>
      <c r="AC162" s="34"/>
      <c r="AD162" s="34"/>
    </row>
    <row r="163" ht="13.5" customHeight="1">
      <c r="A163" s="127">
        <v>157.0</v>
      </c>
      <c r="B163" s="339" t="s">
        <v>2221</v>
      </c>
      <c r="C163" s="340" t="s">
        <v>1453</v>
      </c>
      <c r="D163" s="340" t="s">
        <v>3958</v>
      </c>
      <c r="E163" s="341" t="s">
        <v>338</v>
      </c>
      <c r="F163" s="342">
        <v>48.0</v>
      </c>
      <c r="G163" s="342" t="s">
        <v>385</v>
      </c>
      <c r="H163" s="342" t="s">
        <v>663</v>
      </c>
      <c r="I163" s="342">
        <v>9.671590143E9</v>
      </c>
      <c r="J163" s="55">
        <v>0.0</v>
      </c>
      <c r="K163" s="55">
        <v>0.0</v>
      </c>
      <c r="L163" s="55">
        <v>0.0</v>
      </c>
      <c r="M163" s="55">
        <v>0.0</v>
      </c>
      <c r="N163" s="43">
        <f t="shared" si="3"/>
        <v>0</v>
      </c>
      <c r="O163" s="55">
        <v>32.0</v>
      </c>
      <c r="P163" s="55">
        <v>0.0</v>
      </c>
      <c r="Q163" s="43">
        <f t="shared" si="2"/>
        <v>32</v>
      </c>
      <c r="R163" s="43"/>
      <c r="S163" s="55" t="s">
        <v>74</v>
      </c>
      <c r="T163" s="125"/>
      <c r="U163" s="43"/>
      <c r="V163" s="43"/>
      <c r="W163" s="56" t="s">
        <v>46</v>
      </c>
      <c r="Z163" s="34"/>
      <c r="AA163" s="34"/>
      <c r="AB163" s="34"/>
      <c r="AC163" s="34"/>
      <c r="AD163" s="34"/>
    </row>
    <row r="164" ht="13.5" customHeight="1">
      <c r="A164" s="127">
        <v>158.0</v>
      </c>
      <c r="B164" s="339" t="s">
        <v>3959</v>
      </c>
      <c r="C164" s="340" t="s">
        <v>3960</v>
      </c>
      <c r="D164" s="340" t="s">
        <v>3847</v>
      </c>
      <c r="E164" s="341" t="s">
        <v>338</v>
      </c>
      <c r="F164" s="342">
        <v>58.0</v>
      </c>
      <c r="G164" s="342" t="s">
        <v>339</v>
      </c>
      <c r="H164" s="342" t="s">
        <v>3940</v>
      </c>
      <c r="I164" s="342">
        <v>9.227921703E9</v>
      </c>
      <c r="J164" s="54">
        <v>25.0</v>
      </c>
      <c r="K164" s="55">
        <v>17.0</v>
      </c>
      <c r="L164" s="55">
        <v>0.0</v>
      </c>
      <c r="M164" s="55">
        <v>0.0</v>
      </c>
      <c r="N164" s="43">
        <f t="shared" si="3"/>
        <v>0</v>
      </c>
      <c r="O164" s="55">
        <v>7.0</v>
      </c>
      <c r="P164" s="55">
        <v>8.0</v>
      </c>
      <c r="Q164" s="43">
        <f t="shared" si="2"/>
        <v>15</v>
      </c>
      <c r="R164" s="43"/>
      <c r="S164" s="55" t="s">
        <v>88</v>
      </c>
      <c r="T164" s="43"/>
      <c r="U164" s="43"/>
      <c r="V164" s="43"/>
      <c r="W164" s="56" t="s">
        <v>46</v>
      </c>
      <c r="Z164" s="34"/>
      <c r="AA164" s="34"/>
      <c r="AB164" s="34"/>
      <c r="AC164" s="34"/>
      <c r="AD164" s="34"/>
    </row>
    <row r="165" ht="13.5" customHeight="1">
      <c r="A165" s="127">
        <v>159.0</v>
      </c>
      <c r="B165" s="339" t="s">
        <v>3961</v>
      </c>
      <c r="C165" s="340" t="s">
        <v>3962</v>
      </c>
      <c r="D165" s="340" t="s">
        <v>3963</v>
      </c>
      <c r="E165" s="341" t="s">
        <v>338</v>
      </c>
      <c r="F165" s="342">
        <v>38.0</v>
      </c>
      <c r="G165" s="342" t="s">
        <v>339</v>
      </c>
      <c r="H165" s="342" t="s">
        <v>663</v>
      </c>
      <c r="I165" s="342">
        <v>9.565029067E9</v>
      </c>
      <c r="J165" s="55">
        <v>29.0</v>
      </c>
      <c r="K165" s="55">
        <v>20.0</v>
      </c>
      <c r="L165" s="55">
        <v>2.0</v>
      </c>
      <c r="M165" s="55">
        <v>3.0</v>
      </c>
      <c r="N165" s="43">
        <f t="shared" si="3"/>
        <v>5</v>
      </c>
      <c r="O165" s="55">
        <v>3.0</v>
      </c>
      <c r="P165" s="55">
        <v>4.0</v>
      </c>
      <c r="Q165" s="43">
        <f t="shared" si="2"/>
        <v>12</v>
      </c>
      <c r="R165" s="43"/>
      <c r="S165" s="43"/>
      <c r="T165" s="125"/>
      <c r="U165" s="43"/>
      <c r="V165" s="43"/>
      <c r="W165" s="56" t="s">
        <v>46</v>
      </c>
      <c r="Z165" s="34"/>
      <c r="AA165" s="34"/>
      <c r="AB165" s="34"/>
      <c r="AC165" s="34"/>
      <c r="AD165" s="34"/>
    </row>
    <row r="166" ht="13.5" customHeight="1">
      <c r="A166" s="127">
        <v>160.0</v>
      </c>
      <c r="B166" s="339" t="s">
        <v>3964</v>
      </c>
      <c r="C166" s="340" t="s">
        <v>3965</v>
      </c>
      <c r="D166" s="340" t="s">
        <v>3966</v>
      </c>
      <c r="E166" s="341" t="s">
        <v>338</v>
      </c>
      <c r="F166" s="342">
        <v>51.0</v>
      </c>
      <c r="G166" s="342" t="s">
        <v>339</v>
      </c>
      <c r="H166" s="342" t="s">
        <v>435</v>
      </c>
      <c r="I166" s="342">
        <v>9.234449934E9</v>
      </c>
      <c r="J166" s="54">
        <v>22.0</v>
      </c>
      <c r="K166" s="55">
        <v>17.0</v>
      </c>
      <c r="L166" s="55">
        <v>0.0</v>
      </c>
      <c r="M166" s="55">
        <v>0.0</v>
      </c>
      <c r="N166" s="43">
        <f t="shared" si="3"/>
        <v>0</v>
      </c>
      <c r="O166" s="55">
        <v>10.0</v>
      </c>
      <c r="P166" s="55">
        <v>3.0</v>
      </c>
      <c r="Q166" s="43">
        <f t="shared" si="2"/>
        <v>13</v>
      </c>
      <c r="R166" s="43"/>
      <c r="S166" s="55" t="s">
        <v>3967</v>
      </c>
      <c r="T166" s="43"/>
      <c r="U166" s="43"/>
      <c r="V166" s="55" t="s">
        <v>2470</v>
      </c>
      <c r="W166" s="56" t="s">
        <v>46</v>
      </c>
      <c r="Z166" s="34"/>
      <c r="AA166" s="34"/>
      <c r="AB166" s="34"/>
      <c r="AC166" s="34"/>
      <c r="AD166" s="34"/>
    </row>
    <row r="167" ht="13.5" customHeight="1">
      <c r="A167" s="127">
        <v>161.0</v>
      </c>
      <c r="B167" s="339" t="s">
        <v>3968</v>
      </c>
      <c r="C167" s="340" t="s">
        <v>2539</v>
      </c>
      <c r="D167" s="340" t="s">
        <v>3969</v>
      </c>
      <c r="E167" s="341" t="s">
        <v>338</v>
      </c>
      <c r="F167" s="342">
        <v>37.0</v>
      </c>
      <c r="G167" s="342" t="s">
        <v>339</v>
      </c>
      <c r="H167" s="342" t="s">
        <v>833</v>
      </c>
      <c r="I167" s="342">
        <v>9.464934334E9</v>
      </c>
      <c r="J167" s="55">
        <v>29.0</v>
      </c>
      <c r="K167" s="55">
        <v>25.0</v>
      </c>
      <c r="L167" s="55">
        <v>0.0</v>
      </c>
      <c r="M167" s="55">
        <v>0.0</v>
      </c>
      <c r="N167" s="43">
        <f t="shared" si="3"/>
        <v>0</v>
      </c>
      <c r="O167" s="55">
        <v>4.0</v>
      </c>
      <c r="P167" s="55">
        <v>0.0</v>
      </c>
      <c r="Q167" s="43">
        <f t="shared" si="2"/>
        <v>4</v>
      </c>
      <c r="R167" s="43"/>
      <c r="S167" s="55" t="s">
        <v>277</v>
      </c>
      <c r="T167" s="125"/>
      <c r="U167" s="43"/>
      <c r="V167" s="43"/>
      <c r="W167" s="56" t="s">
        <v>46</v>
      </c>
      <c r="Z167" s="34"/>
      <c r="AA167" s="34"/>
      <c r="AB167" s="34"/>
      <c r="AC167" s="34"/>
      <c r="AD167" s="34"/>
    </row>
    <row r="168" ht="13.5" customHeight="1">
      <c r="A168" s="127">
        <v>162.0</v>
      </c>
      <c r="B168" s="339" t="s">
        <v>325</v>
      </c>
      <c r="C168" s="340" t="s">
        <v>3970</v>
      </c>
      <c r="D168" s="340" t="s">
        <v>475</v>
      </c>
      <c r="E168" s="341" t="s">
        <v>338</v>
      </c>
      <c r="F168" s="342">
        <v>57.0</v>
      </c>
      <c r="G168" s="342" t="s">
        <v>339</v>
      </c>
      <c r="H168" s="342" t="s">
        <v>3971</v>
      </c>
      <c r="I168" s="342">
        <v>9.055536137E9</v>
      </c>
      <c r="J168" s="54">
        <v>15.0</v>
      </c>
      <c r="K168" s="55">
        <v>10.0</v>
      </c>
      <c r="L168" s="55">
        <v>0.0</v>
      </c>
      <c r="M168" s="55">
        <v>0.0</v>
      </c>
      <c r="N168" s="43">
        <f t="shared" si="3"/>
        <v>0</v>
      </c>
      <c r="O168" s="55">
        <v>17.0</v>
      </c>
      <c r="P168" s="55">
        <v>5.0</v>
      </c>
      <c r="Q168" s="43">
        <f t="shared" si="2"/>
        <v>22</v>
      </c>
      <c r="R168" s="43"/>
      <c r="S168" s="55" t="s">
        <v>237</v>
      </c>
      <c r="T168" s="43"/>
      <c r="U168" s="43"/>
      <c r="V168" s="43"/>
      <c r="W168" s="56" t="s">
        <v>46</v>
      </c>
      <c r="Z168" s="34"/>
      <c r="AA168" s="34"/>
      <c r="AB168" s="34"/>
      <c r="AC168" s="34"/>
      <c r="AD168" s="34"/>
    </row>
    <row r="169" ht="13.5" customHeight="1">
      <c r="A169" s="127">
        <v>163.0</v>
      </c>
      <c r="B169" s="339" t="s">
        <v>3972</v>
      </c>
      <c r="C169" s="340" t="s">
        <v>3973</v>
      </c>
      <c r="D169" s="340" t="s">
        <v>3974</v>
      </c>
      <c r="E169" s="341" t="s">
        <v>338</v>
      </c>
      <c r="F169" s="342">
        <v>32.0</v>
      </c>
      <c r="G169" s="342" t="s">
        <v>385</v>
      </c>
      <c r="H169" s="342" t="s">
        <v>646</v>
      </c>
      <c r="I169" s="342">
        <v>9.508334722E9</v>
      </c>
      <c r="J169" s="55">
        <v>25.0</v>
      </c>
      <c r="K169" s="55">
        <v>21.0</v>
      </c>
      <c r="L169" s="55">
        <v>0.0</v>
      </c>
      <c r="M169" s="55">
        <v>3.0</v>
      </c>
      <c r="N169" s="43">
        <f t="shared" si="3"/>
        <v>3</v>
      </c>
      <c r="O169" s="55">
        <v>7.0</v>
      </c>
      <c r="P169" s="55">
        <v>2.0</v>
      </c>
      <c r="Q169" s="43">
        <f t="shared" si="2"/>
        <v>12</v>
      </c>
      <c r="R169" s="43"/>
      <c r="S169" s="43"/>
      <c r="T169" s="125"/>
      <c r="U169" s="43"/>
      <c r="V169" s="55" t="s">
        <v>3975</v>
      </c>
      <c r="W169" s="56" t="s">
        <v>46</v>
      </c>
      <c r="Z169" s="34"/>
      <c r="AA169" s="34"/>
      <c r="AB169" s="34"/>
      <c r="AC169" s="34"/>
      <c r="AD169" s="34"/>
    </row>
    <row r="170" ht="13.5" customHeight="1">
      <c r="A170" s="127">
        <v>164.0</v>
      </c>
      <c r="B170" s="339" t="s">
        <v>3976</v>
      </c>
      <c r="C170" s="340" t="s">
        <v>3977</v>
      </c>
      <c r="D170" s="340" t="s">
        <v>1316</v>
      </c>
      <c r="E170" s="341" t="s">
        <v>338</v>
      </c>
      <c r="F170" s="342">
        <v>42.0</v>
      </c>
      <c r="G170" s="342" t="s">
        <v>339</v>
      </c>
      <c r="H170" s="342" t="s">
        <v>646</v>
      </c>
      <c r="I170" s="342">
        <v>9.155164855E9</v>
      </c>
      <c r="J170" s="54">
        <v>23.0</v>
      </c>
      <c r="K170" s="55">
        <v>16.0</v>
      </c>
      <c r="L170" s="55">
        <v>0.0</v>
      </c>
      <c r="M170" s="55">
        <v>0.0</v>
      </c>
      <c r="N170" s="43">
        <f t="shared" si="3"/>
        <v>0</v>
      </c>
      <c r="O170" s="55">
        <v>9.0</v>
      </c>
      <c r="P170" s="55">
        <v>7.0</v>
      </c>
      <c r="Q170" s="43">
        <f t="shared" si="2"/>
        <v>16</v>
      </c>
      <c r="R170" s="43"/>
      <c r="S170" s="55" t="s">
        <v>3978</v>
      </c>
      <c r="T170" s="43"/>
      <c r="U170" s="43"/>
      <c r="V170" s="55" t="s">
        <v>1049</v>
      </c>
      <c r="W170" s="56" t="s">
        <v>46</v>
      </c>
      <c r="Z170" s="34"/>
      <c r="AA170" s="34"/>
      <c r="AB170" s="34"/>
      <c r="AC170" s="34"/>
      <c r="AD170" s="34"/>
    </row>
    <row r="171" ht="13.5" customHeight="1">
      <c r="A171" s="127">
        <v>165.0</v>
      </c>
      <c r="B171" s="339" t="s">
        <v>2347</v>
      </c>
      <c r="C171" s="340" t="s">
        <v>1323</v>
      </c>
      <c r="D171" s="340" t="s">
        <v>477</v>
      </c>
      <c r="E171" s="341" t="s">
        <v>338</v>
      </c>
      <c r="F171" s="342">
        <v>44.0</v>
      </c>
      <c r="G171" s="342" t="s">
        <v>385</v>
      </c>
      <c r="H171" s="342" t="s">
        <v>646</v>
      </c>
      <c r="I171" s="342">
        <v>9.930620068E9</v>
      </c>
      <c r="J171" s="55">
        <v>29.0</v>
      </c>
      <c r="K171" s="55">
        <v>26.0</v>
      </c>
      <c r="L171" s="55">
        <v>0.0</v>
      </c>
      <c r="M171" s="55">
        <v>3.0</v>
      </c>
      <c r="N171" s="43">
        <f t="shared" si="3"/>
        <v>3</v>
      </c>
      <c r="O171" s="55">
        <v>3.0</v>
      </c>
      <c r="P171" s="55">
        <v>0.0</v>
      </c>
      <c r="Q171" s="43">
        <f t="shared" si="2"/>
        <v>6</v>
      </c>
      <c r="R171" s="43"/>
      <c r="S171" s="43"/>
      <c r="T171" s="125"/>
      <c r="U171" s="43"/>
      <c r="V171" s="43"/>
      <c r="W171" s="56" t="s">
        <v>46</v>
      </c>
      <c r="Z171" s="34"/>
      <c r="AA171" s="34"/>
      <c r="AB171" s="34"/>
      <c r="AC171" s="34"/>
      <c r="AD171" s="34"/>
    </row>
    <row r="172" ht="13.5" customHeight="1">
      <c r="A172" s="28">
        <v>166.0</v>
      </c>
      <c r="B172" s="339" t="s">
        <v>3979</v>
      </c>
      <c r="C172" s="340" t="s">
        <v>3980</v>
      </c>
      <c r="D172" s="340" t="s">
        <v>3828</v>
      </c>
      <c r="E172" s="341" t="s">
        <v>338</v>
      </c>
      <c r="F172" s="342">
        <v>44.0</v>
      </c>
      <c r="G172" s="342" t="s">
        <v>339</v>
      </c>
      <c r="H172" s="342" t="s">
        <v>663</v>
      </c>
      <c r="I172" s="342">
        <v>9.260476072E9</v>
      </c>
      <c r="J172" s="54">
        <v>18.0</v>
      </c>
      <c r="K172" s="55">
        <v>10.0</v>
      </c>
      <c r="L172" s="55">
        <v>0.0</v>
      </c>
      <c r="M172" s="55">
        <v>0.0</v>
      </c>
      <c r="N172" s="43">
        <f t="shared" si="3"/>
        <v>0</v>
      </c>
      <c r="O172" s="55">
        <v>12.0</v>
      </c>
      <c r="P172" s="55">
        <v>8.0</v>
      </c>
      <c r="Q172" s="43">
        <f t="shared" si="2"/>
        <v>20</v>
      </c>
      <c r="R172" s="43"/>
      <c r="S172" s="43"/>
      <c r="T172" s="43"/>
      <c r="U172" s="43"/>
      <c r="V172" s="43"/>
      <c r="W172" s="56" t="s">
        <v>46</v>
      </c>
      <c r="Z172" s="34"/>
      <c r="AA172" s="34"/>
      <c r="AB172" s="34"/>
      <c r="AC172" s="34"/>
      <c r="AD172" s="34"/>
    </row>
    <row r="173" ht="13.5" customHeight="1">
      <c r="A173" s="127">
        <v>167.0</v>
      </c>
      <c r="B173" s="339" t="s">
        <v>3981</v>
      </c>
      <c r="C173" s="340" t="s">
        <v>1755</v>
      </c>
      <c r="D173" s="340" t="s">
        <v>3982</v>
      </c>
      <c r="E173" s="341" t="s">
        <v>338</v>
      </c>
      <c r="F173" s="342">
        <v>60.0</v>
      </c>
      <c r="G173" s="342" t="s">
        <v>339</v>
      </c>
      <c r="H173" s="342" t="s">
        <v>646</v>
      </c>
      <c r="I173" s="342">
        <v>9.750021034E9</v>
      </c>
      <c r="J173" s="55">
        <v>18.0</v>
      </c>
      <c r="K173" s="55">
        <v>17.0</v>
      </c>
      <c r="L173" s="55">
        <v>0.0</v>
      </c>
      <c r="M173" s="55">
        <v>1.0</v>
      </c>
      <c r="N173" s="43">
        <f t="shared" si="3"/>
        <v>1</v>
      </c>
      <c r="O173" s="55">
        <v>14.0</v>
      </c>
      <c r="P173" s="55">
        <v>0.0</v>
      </c>
      <c r="Q173" s="43">
        <f t="shared" si="2"/>
        <v>15</v>
      </c>
      <c r="R173" s="43"/>
      <c r="S173" s="55" t="s">
        <v>237</v>
      </c>
      <c r="T173" s="125"/>
      <c r="U173" s="43"/>
      <c r="V173" s="43"/>
      <c r="W173" s="56" t="s">
        <v>46</v>
      </c>
      <c r="Z173" s="34"/>
      <c r="AA173" s="34"/>
      <c r="AB173" s="34"/>
      <c r="AC173" s="34"/>
      <c r="AD173" s="34"/>
    </row>
    <row r="174" ht="13.5" customHeight="1">
      <c r="A174" s="127">
        <v>168.0</v>
      </c>
      <c r="B174" s="339" t="s">
        <v>2247</v>
      </c>
      <c r="C174" s="340" t="s">
        <v>3983</v>
      </c>
      <c r="D174" s="361"/>
      <c r="E174" s="341" t="s">
        <v>338</v>
      </c>
      <c r="F174" s="342">
        <v>27.0</v>
      </c>
      <c r="G174" s="342" t="s">
        <v>385</v>
      </c>
      <c r="H174" s="342" t="s">
        <v>340</v>
      </c>
      <c r="I174" s="342">
        <v>9.456972833E9</v>
      </c>
      <c r="J174" s="54">
        <v>29.0</v>
      </c>
      <c r="K174" s="55">
        <v>26.0</v>
      </c>
      <c r="L174" s="55">
        <v>1.0</v>
      </c>
      <c r="M174" s="55">
        <v>2.0</v>
      </c>
      <c r="N174" s="43">
        <f t="shared" si="3"/>
        <v>3</v>
      </c>
      <c r="O174" s="55">
        <v>3.0</v>
      </c>
      <c r="P174" s="55">
        <v>0.0</v>
      </c>
      <c r="Q174" s="43">
        <f t="shared" si="2"/>
        <v>6</v>
      </c>
      <c r="R174" s="43"/>
      <c r="S174" s="43"/>
      <c r="T174" s="43"/>
      <c r="U174" s="43"/>
      <c r="V174" s="43"/>
      <c r="W174" s="56" t="s">
        <v>46</v>
      </c>
      <c r="Z174" s="34"/>
      <c r="AA174" s="34"/>
      <c r="AB174" s="34"/>
      <c r="AC174" s="34"/>
      <c r="AD174" s="34"/>
    </row>
    <row r="175" ht="13.5" customHeight="1">
      <c r="A175" s="127">
        <v>169.0</v>
      </c>
      <c r="B175" s="339" t="s">
        <v>2166</v>
      </c>
      <c r="C175" s="340" t="s">
        <v>3984</v>
      </c>
      <c r="D175" s="340" t="s">
        <v>3985</v>
      </c>
      <c r="E175" s="341" t="s">
        <v>338</v>
      </c>
      <c r="F175" s="342">
        <v>50.0</v>
      </c>
      <c r="G175" s="342" t="s">
        <v>339</v>
      </c>
      <c r="H175" s="342" t="s">
        <v>368</v>
      </c>
      <c r="I175" s="342">
        <v>9.420758008E9</v>
      </c>
      <c r="J175" s="55">
        <v>9.0</v>
      </c>
      <c r="K175" s="55">
        <v>9.0</v>
      </c>
      <c r="L175" s="55">
        <v>0.0</v>
      </c>
      <c r="M175" s="55">
        <v>0.0</v>
      </c>
      <c r="N175" s="43">
        <f t="shared" si="3"/>
        <v>0</v>
      </c>
      <c r="O175" s="55">
        <v>23.0</v>
      </c>
      <c r="P175" s="55">
        <v>0.0</v>
      </c>
      <c r="Q175" s="43">
        <f t="shared" si="2"/>
        <v>23</v>
      </c>
      <c r="R175" s="43"/>
      <c r="S175" s="55" t="s">
        <v>79</v>
      </c>
      <c r="T175" s="125"/>
      <c r="U175" s="43"/>
      <c r="V175" s="43"/>
      <c r="W175" s="56" t="s">
        <v>46</v>
      </c>
      <c r="Z175" s="34"/>
      <c r="AA175" s="34"/>
      <c r="AB175" s="34"/>
      <c r="AC175" s="34"/>
      <c r="AD175" s="34"/>
    </row>
    <row r="176" ht="13.5" customHeight="1">
      <c r="A176" s="127">
        <v>170.0</v>
      </c>
      <c r="B176" s="339" t="s">
        <v>1430</v>
      </c>
      <c r="C176" s="340" t="s">
        <v>3986</v>
      </c>
      <c r="D176" s="340" t="s">
        <v>2536</v>
      </c>
      <c r="E176" s="341" t="s">
        <v>338</v>
      </c>
      <c r="F176" s="342">
        <v>32.0</v>
      </c>
      <c r="G176" s="342" t="s">
        <v>339</v>
      </c>
      <c r="H176" s="342" t="s">
        <v>340</v>
      </c>
      <c r="I176" s="342">
        <v>9.605311279E9</v>
      </c>
      <c r="J176" s="54">
        <v>26.0</v>
      </c>
      <c r="K176" s="55">
        <v>16.0</v>
      </c>
      <c r="L176" s="55">
        <v>0.0</v>
      </c>
      <c r="M176" s="55">
        <v>10.0</v>
      </c>
      <c r="N176" s="43">
        <f t="shared" si="3"/>
        <v>10</v>
      </c>
      <c r="O176" s="55">
        <v>4.0</v>
      </c>
      <c r="P176" s="55">
        <v>0.0</v>
      </c>
      <c r="Q176" s="43">
        <f t="shared" si="2"/>
        <v>14</v>
      </c>
      <c r="R176" s="43"/>
      <c r="S176" s="43"/>
      <c r="T176" s="43"/>
      <c r="U176" s="43"/>
      <c r="V176" s="43"/>
      <c r="W176" s="56" t="s">
        <v>46</v>
      </c>
      <c r="Z176" s="34"/>
      <c r="AA176" s="34"/>
      <c r="AB176" s="34"/>
      <c r="AC176" s="34"/>
      <c r="AD176" s="34"/>
    </row>
    <row r="177" ht="13.5" customHeight="1">
      <c r="A177" s="127">
        <v>171.0</v>
      </c>
      <c r="B177" s="339" t="s">
        <v>3987</v>
      </c>
      <c r="C177" s="340" t="s">
        <v>3988</v>
      </c>
      <c r="D177" s="340" t="s">
        <v>3989</v>
      </c>
      <c r="E177" s="341" t="s">
        <v>338</v>
      </c>
      <c r="F177" s="342">
        <v>25.0</v>
      </c>
      <c r="G177" s="342" t="s">
        <v>339</v>
      </c>
      <c r="H177" s="342" t="s">
        <v>340</v>
      </c>
      <c r="I177" s="342">
        <v>9.451666144E9</v>
      </c>
      <c r="J177" s="55">
        <v>24.0</v>
      </c>
      <c r="K177" s="55">
        <v>19.0</v>
      </c>
      <c r="L177" s="55">
        <v>0.0</v>
      </c>
      <c r="M177" s="55">
        <v>0.0</v>
      </c>
      <c r="N177" s="43">
        <f t="shared" si="3"/>
        <v>0</v>
      </c>
      <c r="O177" s="55">
        <v>8.0</v>
      </c>
      <c r="P177" s="55">
        <v>5.0</v>
      </c>
      <c r="Q177" s="43">
        <f t="shared" si="2"/>
        <v>13</v>
      </c>
      <c r="R177" s="43"/>
      <c r="S177" s="55" t="s">
        <v>277</v>
      </c>
      <c r="T177" s="125"/>
      <c r="U177" s="43"/>
      <c r="V177" s="43"/>
      <c r="W177" s="56" t="s">
        <v>46</v>
      </c>
      <c r="Z177" s="34"/>
      <c r="AA177" s="34"/>
      <c r="AB177" s="34"/>
      <c r="AC177" s="34"/>
      <c r="AD177" s="34"/>
    </row>
    <row r="178" ht="13.5" customHeight="1">
      <c r="A178" s="127">
        <v>172.0</v>
      </c>
      <c r="B178" s="339" t="s">
        <v>3987</v>
      </c>
      <c r="C178" s="340" t="s">
        <v>3990</v>
      </c>
      <c r="D178" s="340" t="s">
        <v>3961</v>
      </c>
      <c r="E178" s="341" t="s">
        <v>338</v>
      </c>
      <c r="F178" s="342">
        <v>55.0</v>
      </c>
      <c r="G178" s="342" t="s">
        <v>339</v>
      </c>
      <c r="H178" s="342" t="s">
        <v>368</v>
      </c>
      <c r="I178" s="342">
        <v>9.958671511E9</v>
      </c>
      <c r="J178" s="54">
        <v>18.0</v>
      </c>
      <c r="K178" s="55">
        <v>15.0</v>
      </c>
      <c r="L178" s="55">
        <v>2.0</v>
      </c>
      <c r="M178" s="55">
        <v>0.0</v>
      </c>
      <c r="N178" s="43">
        <f t="shared" si="3"/>
        <v>2</v>
      </c>
      <c r="O178" s="55">
        <v>14.0</v>
      </c>
      <c r="P178" s="55">
        <v>1.0</v>
      </c>
      <c r="Q178" s="43">
        <f t="shared" si="2"/>
        <v>17</v>
      </c>
      <c r="R178" s="43"/>
      <c r="S178" s="55" t="s">
        <v>97</v>
      </c>
      <c r="T178" s="43"/>
      <c r="U178" s="43"/>
      <c r="V178" s="43"/>
      <c r="W178" s="56" t="s">
        <v>46</v>
      </c>
    </row>
    <row r="179" ht="13.5" customHeight="1">
      <c r="A179" s="127">
        <v>173.0</v>
      </c>
      <c r="B179" s="339" t="s">
        <v>3991</v>
      </c>
      <c r="C179" s="340" t="s">
        <v>2272</v>
      </c>
      <c r="D179" s="340" t="s">
        <v>3992</v>
      </c>
      <c r="E179" s="341" t="s">
        <v>338</v>
      </c>
      <c r="F179" s="342">
        <v>33.0</v>
      </c>
      <c r="G179" s="342" t="s">
        <v>339</v>
      </c>
      <c r="H179" s="342" t="s">
        <v>340</v>
      </c>
      <c r="I179" s="342">
        <v>9.178705867E9</v>
      </c>
      <c r="J179" s="55">
        <v>29.0</v>
      </c>
      <c r="K179" s="55">
        <v>23.0</v>
      </c>
      <c r="L179" s="55">
        <v>0.0</v>
      </c>
      <c r="M179" s="55">
        <v>6.0</v>
      </c>
      <c r="N179" s="43">
        <f t="shared" si="3"/>
        <v>6</v>
      </c>
      <c r="O179" s="55">
        <v>1.0</v>
      </c>
      <c r="P179" s="55">
        <v>0.0</v>
      </c>
      <c r="Q179" s="43">
        <f t="shared" si="2"/>
        <v>7</v>
      </c>
      <c r="R179" s="43"/>
      <c r="S179" s="43"/>
      <c r="T179" s="125"/>
      <c r="U179" s="43"/>
      <c r="V179" s="43"/>
      <c r="W179" s="56" t="s">
        <v>46</v>
      </c>
    </row>
    <row r="180" ht="13.5" customHeight="1">
      <c r="A180" s="127">
        <v>174.0</v>
      </c>
      <c r="B180" s="339" t="s">
        <v>3993</v>
      </c>
      <c r="C180" s="340" t="s">
        <v>3994</v>
      </c>
      <c r="D180" s="340" t="s">
        <v>1715</v>
      </c>
      <c r="E180" s="341" t="s">
        <v>338</v>
      </c>
      <c r="F180" s="342">
        <v>54.0</v>
      </c>
      <c r="G180" s="342" t="s">
        <v>339</v>
      </c>
      <c r="H180" s="342" t="s">
        <v>839</v>
      </c>
      <c r="I180" s="342">
        <v>9.328792181E9</v>
      </c>
      <c r="J180" s="54">
        <v>31.0</v>
      </c>
      <c r="K180" s="55">
        <v>30.0</v>
      </c>
      <c r="L180" s="55">
        <v>0.0</v>
      </c>
      <c r="M180" s="55">
        <v>1.0</v>
      </c>
      <c r="N180" s="43">
        <f t="shared" si="3"/>
        <v>1</v>
      </c>
      <c r="O180" s="55">
        <v>1.0</v>
      </c>
      <c r="P180" s="55">
        <v>0.0</v>
      </c>
      <c r="Q180" s="43">
        <f t="shared" si="2"/>
        <v>2</v>
      </c>
      <c r="R180" s="43"/>
      <c r="S180" s="43"/>
      <c r="T180" s="43"/>
      <c r="U180" s="43"/>
      <c r="V180" s="43"/>
      <c r="W180" s="56" t="s">
        <v>46</v>
      </c>
    </row>
    <row r="181" ht="13.5" customHeight="1">
      <c r="A181" s="127">
        <v>175.0</v>
      </c>
      <c r="B181" s="339" t="s">
        <v>3995</v>
      </c>
      <c r="C181" s="340" t="s">
        <v>3996</v>
      </c>
      <c r="D181" s="340" t="s">
        <v>3997</v>
      </c>
      <c r="E181" s="341" t="s">
        <v>338</v>
      </c>
      <c r="F181" s="342">
        <v>61.0</v>
      </c>
      <c r="G181" s="342" t="s">
        <v>339</v>
      </c>
      <c r="H181" s="342" t="s">
        <v>340</v>
      </c>
      <c r="I181" s="342">
        <v>9.103000446E9</v>
      </c>
      <c r="J181" s="55">
        <v>25.0</v>
      </c>
      <c r="K181" s="55">
        <v>16.0</v>
      </c>
      <c r="L181" s="55">
        <v>1.0</v>
      </c>
      <c r="M181" s="55">
        <v>8.0</v>
      </c>
      <c r="N181" s="43">
        <f t="shared" si="3"/>
        <v>9</v>
      </c>
      <c r="O181" s="55">
        <v>7.0</v>
      </c>
      <c r="P181" s="55">
        <v>0.0</v>
      </c>
      <c r="Q181" s="43">
        <f t="shared" si="2"/>
        <v>16</v>
      </c>
      <c r="R181" s="43"/>
      <c r="S181" s="43"/>
      <c r="T181" s="125"/>
      <c r="U181" s="43"/>
      <c r="V181" s="43"/>
      <c r="W181" s="56" t="s">
        <v>46</v>
      </c>
    </row>
    <row r="182" ht="13.5" customHeight="1">
      <c r="A182" s="28">
        <v>176.0</v>
      </c>
      <c r="B182" s="339" t="s">
        <v>2506</v>
      </c>
      <c r="C182" s="340" t="s">
        <v>3998</v>
      </c>
      <c r="D182" s="340" t="s">
        <v>3999</v>
      </c>
      <c r="E182" s="341" t="s">
        <v>338</v>
      </c>
      <c r="F182" s="342">
        <v>30.0</v>
      </c>
      <c r="G182" s="342" t="s">
        <v>385</v>
      </c>
      <c r="H182" s="342" t="s">
        <v>839</v>
      </c>
      <c r="I182" s="342">
        <v>9.169095051E9</v>
      </c>
      <c r="J182" s="42"/>
      <c r="K182" s="43"/>
      <c r="L182" s="43"/>
      <c r="M182" s="43"/>
      <c r="N182" s="43">
        <f t="shared" si="3"/>
        <v>0</v>
      </c>
      <c r="O182" s="43"/>
      <c r="P182" s="43"/>
      <c r="Q182" s="43">
        <f t="shared" si="2"/>
        <v>0</v>
      </c>
      <c r="R182" s="43"/>
      <c r="S182" s="43"/>
      <c r="T182" s="43"/>
      <c r="U182" s="43"/>
      <c r="V182" s="43"/>
      <c r="W182" s="44"/>
    </row>
    <row r="183" ht="13.5" customHeight="1">
      <c r="A183" s="127">
        <v>177.0</v>
      </c>
      <c r="B183" s="339" t="s">
        <v>4000</v>
      </c>
      <c r="C183" s="340" t="s">
        <v>4001</v>
      </c>
      <c r="D183" s="340" t="s">
        <v>913</v>
      </c>
      <c r="E183" s="341" t="s">
        <v>338</v>
      </c>
      <c r="F183" s="342">
        <v>39.0</v>
      </c>
      <c r="G183" s="342" t="s">
        <v>339</v>
      </c>
      <c r="H183" s="342" t="s">
        <v>340</v>
      </c>
      <c r="I183" s="342">
        <v>9.293795114E9</v>
      </c>
      <c r="J183" s="55">
        <v>16.0</v>
      </c>
      <c r="K183" s="55">
        <v>14.0</v>
      </c>
      <c r="L183" s="55">
        <v>0.0</v>
      </c>
      <c r="M183" s="55">
        <v>1.0</v>
      </c>
      <c r="N183" s="43">
        <f t="shared" si="3"/>
        <v>1</v>
      </c>
      <c r="O183" s="55">
        <v>16.0</v>
      </c>
      <c r="P183" s="55">
        <v>1.0</v>
      </c>
      <c r="Q183" s="43">
        <v>4.0</v>
      </c>
      <c r="R183" s="43"/>
      <c r="S183" s="55" t="s">
        <v>88</v>
      </c>
      <c r="T183" s="125"/>
      <c r="U183" s="43"/>
      <c r="V183" s="43"/>
      <c r="W183" s="56" t="s">
        <v>46</v>
      </c>
    </row>
    <row r="184" ht="13.5" customHeight="1">
      <c r="A184" s="127">
        <v>178.0</v>
      </c>
      <c r="B184" s="339" t="s">
        <v>232</v>
      </c>
      <c r="C184" s="340" t="s">
        <v>4002</v>
      </c>
      <c r="D184" s="340" t="s">
        <v>4003</v>
      </c>
      <c r="E184" s="341" t="s">
        <v>338</v>
      </c>
      <c r="F184" s="342">
        <v>30.0</v>
      </c>
      <c r="G184" s="342" t="s">
        <v>339</v>
      </c>
      <c r="H184" s="342" t="s">
        <v>340</v>
      </c>
      <c r="I184" s="342">
        <v>9.76539692E9</v>
      </c>
      <c r="J184" s="54">
        <v>29.0</v>
      </c>
      <c r="K184" s="55">
        <v>27.0</v>
      </c>
      <c r="L184" s="55">
        <v>0.0</v>
      </c>
      <c r="M184" s="55">
        <v>0.0</v>
      </c>
      <c r="N184" s="43">
        <f t="shared" si="3"/>
        <v>0</v>
      </c>
      <c r="O184" s="55">
        <v>3.0</v>
      </c>
      <c r="P184" s="55">
        <v>2.0</v>
      </c>
      <c r="Q184" s="43">
        <f t="shared" ref="Q184:Q247" si="4">sum(N184,O184,P184)</f>
        <v>5</v>
      </c>
      <c r="R184" s="43"/>
      <c r="S184" s="55" t="s">
        <v>78</v>
      </c>
      <c r="T184" s="43"/>
      <c r="U184" s="43"/>
      <c r="V184" s="43"/>
      <c r="W184" s="56" t="s">
        <v>46</v>
      </c>
    </row>
    <row r="185" ht="13.5" customHeight="1">
      <c r="A185" s="127">
        <v>179.0</v>
      </c>
      <c r="B185" s="339" t="s">
        <v>473</v>
      </c>
      <c r="C185" s="340" t="s">
        <v>4004</v>
      </c>
      <c r="D185" s="340" t="s">
        <v>4005</v>
      </c>
      <c r="E185" s="341" t="s">
        <v>338</v>
      </c>
      <c r="F185" s="342">
        <v>36.0</v>
      </c>
      <c r="G185" s="342" t="s">
        <v>385</v>
      </c>
      <c r="H185" s="342" t="s">
        <v>340</v>
      </c>
      <c r="I185" s="342">
        <v>9.941583386E9</v>
      </c>
      <c r="J185" s="55">
        <v>29.0</v>
      </c>
      <c r="K185" s="55">
        <v>26.0</v>
      </c>
      <c r="L185" s="55">
        <v>0.0</v>
      </c>
      <c r="M185" s="55">
        <v>2.0</v>
      </c>
      <c r="N185" s="43">
        <f t="shared" si="3"/>
        <v>2</v>
      </c>
      <c r="O185" s="55">
        <v>3.0</v>
      </c>
      <c r="P185" s="55">
        <v>1.0</v>
      </c>
      <c r="Q185" s="43">
        <f t="shared" si="4"/>
        <v>6</v>
      </c>
      <c r="R185" s="43"/>
      <c r="S185" s="43"/>
      <c r="T185" s="125"/>
      <c r="U185" s="43"/>
      <c r="V185" s="55" t="s">
        <v>4006</v>
      </c>
      <c r="W185" s="56" t="s">
        <v>46</v>
      </c>
    </row>
    <row r="186" ht="13.5" customHeight="1">
      <c r="A186" s="127">
        <v>180.0</v>
      </c>
      <c r="B186" s="339" t="s">
        <v>4007</v>
      </c>
      <c r="C186" s="340" t="s">
        <v>4008</v>
      </c>
      <c r="D186" s="340" t="s">
        <v>1674</v>
      </c>
      <c r="E186" s="341" t="s">
        <v>338</v>
      </c>
      <c r="F186" s="342">
        <v>31.0</v>
      </c>
      <c r="G186" s="342" t="s">
        <v>339</v>
      </c>
      <c r="H186" s="342" t="s">
        <v>340</v>
      </c>
      <c r="I186" s="342">
        <v>9.178711715E9</v>
      </c>
      <c r="J186" s="54">
        <v>30.0</v>
      </c>
      <c r="K186" s="55">
        <v>29.0</v>
      </c>
      <c r="L186" s="55">
        <v>0.0</v>
      </c>
      <c r="M186" s="55">
        <v>0.0</v>
      </c>
      <c r="N186" s="43">
        <f t="shared" si="3"/>
        <v>0</v>
      </c>
      <c r="O186" s="55">
        <v>2.0</v>
      </c>
      <c r="P186" s="55">
        <v>1.0</v>
      </c>
      <c r="Q186" s="43">
        <f t="shared" si="4"/>
        <v>3</v>
      </c>
      <c r="R186" s="43"/>
      <c r="S186" s="55" t="s">
        <v>277</v>
      </c>
      <c r="T186" s="43"/>
      <c r="U186" s="43"/>
      <c r="V186" s="43"/>
      <c r="W186" s="56" t="s">
        <v>46</v>
      </c>
    </row>
    <row r="187" ht="13.5" customHeight="1">
      <c r="A187" s="127">
        <v>181.0</v>
      </c>
      <c r="B187" s="339" t="s">
        <v>477</v>
      </c>
      <c r="C187" s="340" t="s">
        <v>4009</v>
      </c>
      <c r="D187" s="340" t="s">
        <v>250</v>
      </c>
      <c r="E187" s="341" t="s">
        <v>338</v>
      </c>
      <c r="F187" s="342">
        <v>25.0</v>
      </c>
      <c r="G187" s="342" t="s">
        <v>339</v>
      </c>
      <c r="H187" s="342" t="s">
        <v>340</v>
      </c>
      <c r="I187" s="342">
        <v>9.667683613E9</v>
      </c>
      <c r="J187" s="55">
        <v>26.0</v>
      </c>
      <c r="K187" s="55">
        <v>24.0</v>
      </c>
      <c r="L187" s="55">
        <v>0.0</v>
      </c>
      <c r="M187" s="55">
        <v>0.0</v>
      </c>
      <c r="N187" s="43">
        <f t="shared" si="3"/>
        <v>0</v>
      </c>
      <c r="O187" s="55">
        <v>2.0</v>
      </c>
      <c r="P187" s="55">
        <v>1.0</v>
      </c>
      <c r="Q187" s="43">
        <f t="shared" si="4"/>
        <v>3</v>
      </c>
      <c r="R187" s="43"/>
      <c r="S187" s="55" t="s">
        <v>277</v>
      </c>
      <c r="T187" s="125"/>
      <c r="U187" s="43"/>
      <c r="V187" s="43"/>
      <c r="W187" s="56" t="s">
        <v>46</v>
      </c>
    </row>
    <row r="188" ht="13.5" customHeight="1">
      <c r="A188" s="28">
        <v>182.0</v>
      </c>
      <c r="B188" s="339" t="s">
        <v>4010</v>
      </c>
      <c r="C188" s="340" t="s">
        <v>4011</v>
      </c>
      <c r="D188" s="340" t="s">
        <v>4012</v>
      </c>
      <c r="E188" s="341" t="s">
        <v>338</v>
      </c>
      <c r="F188" s="342">
        <v>28.0</v>
      </c>
      <c r="G188" s="342" t="s">
        <v>339</v>
      </c>
      <c r="H188" s="342" t="s">
        <v>340</v>
      </c>
      <c r="I188" s="342">
        <v>9.272098652E9</v>
      </c>
      <c r="J188" s="54">
        <v>26.0</v>
      </c>
      <c r="K188" s="55">
        <v>20.0</v>
      </c>
      <c r="L188" s="55">
        <v>2.0</v>
      </c>
      <c r="M188" s="55">
        <v>4.0</v>
      </c>
      <c r="N188" s="43">
        <f t="shared" si="3"/>
        <v>6</v>
      </c>
      <c r="O188" s="55">
        <v>0.0</v>
      </c>
      <c r="P188" s="55">
        <v>0.0</v>
      </c>
      <c r="Q188" s="43">
        <f t="shared" si="4"/>
        <v>6</v>
      </c>
      <c r="R188" s="43"/>
      <c r="S188" s="55" t="s">
        <v>88</v>
      </c>
      <c r="T188" s="43"/>
      <c r="U188" s="43"/>
      <c r="V188" s="43"/>
      <c r="W188" s="56" t="s">
        <v>46</v>
      </c>
    </row>
    <row r="189" ht="13.5" customHeight="1">
      <c r="A189" s="127">
        <v>183.0</v>
      </c>
      <c r="B189" s="339" t="s">
        <v>4013</v>
      </c>
      <c r="C189" s="340" t="s">
        <v>4014</v>
      </c>
      <c r="D189" s="340" t="s">
        <v>4015</v>
      </c>
      <c r="E189" s="341" t="s">
        <v>338</v>
      </c>
      <c r="F189" s="344">
        <v>60.0</v>
      </c>
      <c r="G189" s="342" t="s">
        <v>385</v>
      </c>
      <c r="H189" s="342" t="s">
        <v>839</v>
      </c>
      <c r="I189" s="342">
        <v>9.484234885E9</v>
      </c>
      <c r="J189" s="55">
        <v>1.0</v>
      </c>
      <c r="K189" s="55">
        <v>1.0</v>
      </c>
      <c r="L189" s="55">
        <v>0.0</v>
      </c>
      <c r="M189" s="55">
        <v>0.0</v>
      </c>
      <c r="N189" s="43">
        <f t="shared" si="3"/>
        <v>0</v>
      </c>
      <c r="O189" s="55">
        <v>31.0</v>
      </c>
      <c r="P189" s="55">
        <v>0.0</v>
      </c>
      <c r="Q189" s="43">
        <f t="shared" si="4"/>
        <v>31</v>
      </c>
      <c r="R189" s="43"/>
      <c r="S189" s="55" t="s">
        <v>74</v>
      </c>
      <c r="T189" s="125"/>
      <c r="U189" s="43"/>
      <c r="V189" s="43"/>
      <c r="W189" s="56" t="s">
        <v>46</v>
      </c>
    </row>
    <row r="190" ht="13.5" customHeight="1">
      <c r="A190" s="127">
        <v>184.0</v>
      </c>
      <c r="B190" s="339" t="s">
        <v>4016</v>
      </c>
      <c r="C190" s="340" t="s">
        <v>4017</v>
      </c>
      <c r="D190" s="340" t="s">
        <v>4018</v>
      </c>
      <c r="E190" s="341" t="s">
        <v>338</v>
      </c>
      <c r="F190" s="342">
        <v>52.0</v>
      </c>
      <c r="G190" s="342" t="s">
        <v>339</v>
      </c>
      <c r="H190" s="342" t="s">
        <v>833</v>
      </c>
      <c r="I190" s="342">
        <v>9.197685907E9</v>
      </c>
      <c r="J190" s="54">
        <v>21.0</v>
      </c>
      <c r="K190" s="55">
        <v>13.0</v>
      </c>
      <c r="L190" s="55">
        <v>0.0</v>
      </c>
      <c r="M190" s="55">
        <v>4.0</v>
      </c>
      <c r="N190" s="43">
        <f t="shared" si="3"/>
        <v>4</v>
      </c>
      <c r="O190" s="55">
        <v>11.0</v>
      </c>
      <c r="P190" s="55">
        <v>3.0</v>
      </c>
      <c r="Q190" s="43">
        <f t="shared" si="4"/>
        <v>18</v>
      </c>
      <c r="R190" s="43"/>
      <c r="S190" s="55" t="s">
        <v>237</v>
      </c>
      <c r="T190" s="43"/>
      <c r="U190" s="43"/>
      <c r="V190" s="43"/>
      <c r="W190" s="56" t="s">
        <v>46</v>
      </c>
    </row>
    <row r="191" ht="13.5" customHeight="1">
      <c r="A191" s="127">
        <v>185.0</v>
      </c>
      <c r="B191" s="339" t="s">
        <v>4019</v>
      </c>
      <c r="C191" s="340" t="s">
        <v>459</v>
      </c>
      <c r="D191" s="340" t="s">
        <v>4020</v>
      </c>
      <c r="E191" s="341" t="s">
        <v>338</v>
      </c>
      <c r="F191" s="342">
        <v>58.0</v>
      </c>
      <c r="G191" s="342" t="s">
        <v>339</v>
      </c>
      <c r="H191" s="342" t="s">
        <v>340</v>
      </c>
      <c r="I191" s="342">
        <v>9.954074122E9</v>
      </c>
      <c r="J191" s="55">
        <v>24.0</v>
      </c>
      <c r="K191" s="55">
        <v>22.0</v>
      </c>
      <c r="L191" s="55">
        <v>0.0</v>
      </c>
      <c r="M191" s="55">
        <v>0.0</v>
      </c>
      <c r="N191" s="43">
        <f t="shared" si="3"/>
        <v>0</v>
      </c>
      <c r="O191" s="55">
        <v>8.0</v>
      </c>
      <c r="P191" s="55">
        <v>2.0</v>
      </c>
      <c r="Q191" s="43">
        <f t="shared" si="4"/>
        <v>10</v>
      </c>
      <c r="R191" s="43"/>
      <c r="S191" s="43"/>
      <c r="T191" s="125"/>
      <c r="U191" s="43"/>
      <c r="V191" s="43"/>
      <c r="W191" s="56" t="s">
        <v>46</v>
      </c>
    </row>
    <row r="192" ht="13.5" customHeight="1">
      <c r="A192" s="127">
        <v>186.0</v>
      </c>
      <c r="B192" s="339" t="s">
        <v>3859</v>
      </c>
      <c r="C192" s="340" t="s">
        <v>3041</v>
      </c>
      <c r="D192" s="340" t="s">
        <v>4021</v>
      </c>
      <c r="E192" s="341" t="s">
        <v>338</v>
      </c>
      <c r="F192" s="342">
        <v>38.0</v>
      </c>
      <c r="G192" s="342" t="s">
        <v>339</v>
      </c>
      <c r="H192" s="342" t="s">
        <v>349</v>
      </c>
      <c r="I192" s="342">
        <v>9.108267223E9</v>
      </c>
      <c r="J192" s="54">
        <v>31.0</v>
      </c>
      <c r="K192" s="55">
        <v>30.0</v>
      </c>
      <c r="L192" s="55">
        <v>0.0</v>
      </c>
      <c r="M192" s="55">
        <v>1.0</v>
      </c>
      <c r="N192" s="43">
        <f t="shared" si="3"/>
        <v>1</v>
      </c>
      <c r="O192" s="55">
        <v>1.0</v>
      </c>
      <c r="P192" s="55">
        <v>0.0</v>
      </c>
      <c r="Q192" s="43">
        <f t="shared" si="4"/>
        <v>2</v>
      </c>
      <c r="R192" s="43"/>
      <c r="S192" s="43"/>
      <c r="T192" s="43"/>
      <c r="U192" s="43"/>
      <c r="V192" s="43"/>
      <c r="W192" s="56" t="s">
        <v>46</v>
      </c>
    </row>
    <row r="193" ht="13.5" customHeight="1">
      <c r="A193" s="127">
        <v>187.0</v>
      </c>
      <c r="B193" s="339" t="s">
        <v>948</v>
      </c>
      <c r="C193" s="340" t="s">
        <v>4022</v>
      </c>
      <c r="D193" s="340" t="s">
        <v>4023</v>
      </c>
      <c r="E193" s="341" t="s">
        <v>338</v>
      </c>
      <c r="F193" s="342">
        <v>45.0</v>
      </c>
      <c r="G193" s="342" t="s">
        <v>339</v>
      </c>
      <c r="H193" s="342" t="s">
        <v>839</v>
      </c>
      <c r="I193" s="342">
        <v>9.399163071E9</v>
      </c>
      <c r="J193" s="55">
        <v>21.0</v>
      </c>
      <c r="K193" s="55">
        <v>14.0</v>
      </c>
      <c r="L193" s="55">
        <v>0.0</v>
      </c>
      <c r="M193" s="55">
        <v>0.0</v>
      </c>
      <c r="N193" s="43">
        <f t="shared" si="3"/>
        <v>0</v>
      </c>
      <c r="O193" s="55">
        <v>8.0</v>
      </c>
      <c r="P193" s="55">
        <v>7.0</v>
      </c>
      <c r="Q193" s="43">
        <f t="shared" si="4"/>
        <v>15</v>
      </c>
      <c r="R193" s="43"/>
      <c r="S193" s="55" t="s">
        <v>105</v>
      </c>
      <c r="T193" s="125"/>
      <c r="U193" s="43"/>
      <c r="V193" s="55" t="s">
        <v>4024</v>
      </c>
      <c r="W193" s="56" t="s">
        <v>46</v>
      </c>
    </row>
    <row r="194" ht="14.25" customHeight="1">
      <c r="A194" s="127">
        <v>188.0</v>
      </c>
      <c r="B194" s="339" t="s">
        <v>4025</v>
      </c>
      <c r="C194" s="340" t="s">
        <v>4026</v>
      </c>
      <c r="D194" s="340" t="s">
        <v>4027</v>
      </c>
      <c r="E194" s="341" t="s">
        <v>338</v>
      </c>
      <c r="F194" s="342">
        <v>30.0</v>
      </c>
      <c r="G194" s="342" t="s">
        <v>385</v>
      </c>
      <c r="H194" s="342" t="s">
        <v>646</v>
      </c>
      <c r="I194" s="342">
        <v>9.774433678E9</v>
      </c>
      <c r="J194" s="54">
        <v>32.0</v>
      </c>
      <c r="K194" s="55">
        <v>30.0</v>
      </c>
      <c r="L194" s="55">
        <v>0.0</v>
      </c>
      <c r="M194" s="55">
        <v>2.0</v>
      </c>
      <c r="N194" s="43">
        <f t="shared" si="3"/>
        <v>2</v>
      </c>
      <c r="O194" s="55">
        <v>0.0</v>
      </c>
      <c r="P194" s="55">
        <v>0.0</v>
      </c>
      <c r="Q194" s="43">
        <f t="shared" si="4"/>
        <v>2</v>
      </c>
      <c r="R194" s="43"/>
      <c r="S194" s="43"/>
      <c r="T194" s="43"/>
      <c r="U194" s="43"/>
      <c r="V194" s="43"/>
      <c r="W194" s="56" t="s">
        <v>46</v>
      </c>
    </row>
    <row r="195" ht="13.5" customHeight="1">
      <c r="A195" s="127">
        <v>189.0</v>
      </c>
      <c r="B195" s="339" t="s">
        <v>2727</v>
      </c>
      <c r="C195" s="340" t="s">
        <v>4028</v>
      </c>
      <c r="D195" s="340" t="s">
        <v>1586</v>
      </c>
      <c r="E195" s="341" t="s">
        <v>338</v>
      </c>
      <c r="F195" s="342">
        <v>57.0</v>
      </c>
      <c r="G195" s="342" t="s">
        <v>339</v>
      </c>
      <c r="H195" s="342" t="s">
        <v>663</v>
      </c>
      <c r="I195" s="342">
        <v>9.989899395E9</v>
      </c>
      <c r="J195" s="55">
        <v>26.0</v>
      </c>
      <c r="K195" s="55">
        <v>22.0</v>
      </c>
      <c r="L195" s="55">
        <v>0.0</v>
      </c>
      <c r="M195" s="55">
        <v>0.0</v>
      </c>
      <c r="N195" s="43">
        <f t="shared" si="3"/>
        <v>0</v>
      </c>
      <c r="O195" s="55">
        <v>6.0</v>
      </c>
      <c r="P195" s="55">
        <v>4.0</v>
      </c>
      <c r="Q195" s="43">
        <f t="shared" si="4"/>
        <v>10</v>
      </c>
      <c r="R195" s="43"/>
      <c r="S195" s="55" t="s">
        <v>97</v>
      </c>
      <c r="T195" s="125"/>
      <c r="U195" s="43"/>
      <c r="V195" s="43"/>
      <c r="W195" s="56" t="s">
        <v>46</v>
      </c>
    </row>
    <row r="196" ht="13.5" customHeight="1">
      <c r="A196" s="127">
        <v>190.0</v>
      </c>
      <c r="B196" s="339" t="s">
        <v>4029</v>
      </c>
      <c r="C196" s="340" t="s">
        <v>4030</v>
      </c>
      <c r="D196" s="340" t="s">
        <v>4031</v>
      </c>
      <c r="E196" s="341" t="s">
        <v>338</v>
      </c>
      <c r="F196" s="342">
        <v>32.0</v>
      </c>
      <c r="G196" s="342" t="s">
        <v>385</v>
      </c>
      <c r="H196" s="342" t="s">
        <v>663</v>
      </c>
      <c r="I196" s="342">
        <v>9.48915882E9</v>
      </c>
      <c r="J196" s="54">
        <v>27.0</v>
      </c>
      <c r="K196" s="55">
        <v>25.0</v>
      </c>
      <c r="L196" s="55">
        <v>0.0</v>
      </c>
      <c r="M196" s="55">
        <v>2.0</v>
      </c>
      <c r="N196" s="43">
        <f t="shared" si="3"/>
        <v>2</v>
      </c>
      <c r="O196" s="55">
        <v>5.0</v>
      </c>
      <c r="P196" s="55">
        <v>0.0</v>
      </c>
      <c r="Q196" s="43">
        <f t="shared" si="4"/>
        <v>7</v>
      </c>
      <c r="R196" s="43"/>
      <c r="S196" s="43"/>
      <c r="T196" s="43"/>
      <c r="U196" s="43"/>
      <c r="V196" s="43"/>
      <c r="W196" s="56" t="s">
        <v>46</v>
      </c>
    </row>
    <row r="197" ht="13.5" customHeight="1">
      <c r="A197" s="127">
        <v>191.0</v>
      </c>
      <c r="B197" s="339" t="s">
        <v>4032</v>
      </c>
      <c r="C197" s="340" t="s">
        <v>3394</v>
      </c>
      <c r="D197" s="340" t="s">
        <v>472</v>
      </c>
      <c r="E197" s="341" t="s">
        <v>338</v>
      </c>
      <c r="F197" s="342">
        <v>52.0</v>
      </c>
      <c r="G197" s="342" t="s">
        <v>385</v>
      </c>
      <c r="H197" s="342" t="s">
        <v>340</v>
      </c>
      <c r="I197" s="342">
        <v>9.684997703E9</v>
      </c>
      <c r="J197" s="55">
        <v>20.0</v>
      </c>
      <c r="K197" s="55">
        <v>13.0</v>
      </c>
      <c r="L197" s="55">
        <v>0.0</v>
      </c>
      <c r="M197" s="55">
        <v>3.0</v>
      </c>
      <c r="N197" s="43">
        <f t="shared" si="3"/>
        <v>3</v>
      </c>
      <c r="O197" s="55">
        <v>12.0</v>
      </c>
      <c r="P197" s="55">
        <v>4.0</v>
      </c>
      <c r="Q197" s="43">
        <f t="shared" si="4"/>
        <v>19</v>
      </c>
      <c r="R197" s="43"/>
      <c r="S197" s="55" t="s">
        <v>105</v>
      </c>
      <c r="T197" s="125"/>
      <c r="U197" s="43"/>
      <c r="V197" s="43"/>
      <c r="W197" s="56" t="s">
        <v>46</v>
      </c>
    </row>
    <row r="198" ht="13.5" customHeight="1">
      <c r="A198" s="28">
        <v>192.0</v>
      </c>
      <c r="B198" s="339" t="s">
        <v>4033</v>
      </c>
      <c r="C198" s="340" t="s">
        <v>2217</v>
      </c>
      <c r="D198" s="340" t="s">
        <v>1316</v>
      </c>
      <c r="E198" s="341" t="s">
        <v>338</v>
      </c>
      <c r="F198" s="342">
        <v>33.0</v>
      </c>
      <c r="G198" s="342" t="s">
        <v>339</v>
      </c>
      <c r="H198" s="342" t="s">
        <v>833</v>
      </c>
      <c r="I198" s="342">
        <v>9.086793476E9</v>
      </c>
      <c r="J198" s="42"/>
      <c r="K198" s="43"/>
      <c r="L198" s="43"/>
      <c r="M198" s="43"/>
      <c r="N198" s="43">
        <f t="shared" si="3"/>
        <v>0</v>
      </c>
      <c r="O198" s="43"/>
      <c r="P198" s="43"/>
      <c r="Q198" s="43">
        <f t="shared" si="4"/>
        <v>0</v>
      </c>
      <c r="R198" s="43"/>
      <c r="S198" s="43"/>
      <c r="T198" s="43"/>
      <c r="U198" s="43"/>
      <c r="V198" s="43"/>
      <c r="W198" s="44"/>
    </row>
    <row r="199" ht="13.5" customHeight="1">
      <c r="A199" s="127">
        <v>193.0</v>
      </c>
      <c r="B199" s="339" t="s">
        <v>4034</v>
      </c>
      <c r="C199" s="340" t="s">
        <v>2122</v>
      </c>
      <c r="D199" s="340" t="s">
        <v>4035</v>
      </c>
      <c r="E199" s="341" t="s">
        <v>338</v>
      </c>
      <c r="F199" s="342">
        <v>34.0</v>
      </c>
      <c r="G199" s="342" t="s">
        <v>339</v>
      </c>
      <c r="H199" s="342" t="s">
        <v>839</v>
      </c>
      <c r="I199" s="342">
        <v>9.469247944E9</v>
      </c>
      <c r="J199" s="55">
        <v>25.0</v>
      </c>
      <c r="K199" s="55">
        <v>18.0</v>
      </c>
      <c r="L199" s="55">
        <v>0.0</v>
      </c>
      <c r="M199" s="55">
        <v>3.0</v>
      </c>
      <c r="N199" s="43">
        <f t="shared" si="3"/>
        <v>3</v>
      </c>
      <c r="O199" s="55">
        <v>7.0</v>
      </c>
      <c r="P199" s="55">
        <v>4.0</v>
      </c>
      <c r="Q199" s="43">
        <f t="shared" si="4"/>
        <v>14</v>
      </c>
      <c r="R199" s="43"/>
      <c r="S199" s="43"/>
      <c r="T199" s="125"/>
      <c r="U199" s="43"/>
      <c r="V199" s="43"/>
      <c r="W199" s="56" t="s">
        <v>46</v>
      </c>
    </row>
    <row r="200" ht="13.5" customHeight="1">
      <c r="A200" s="127">
        <v>194.0</v>
      </c>
      <c r="B200" s="339" t="s">
        <v>1556</v>
      </c>
      <c r="C200" s="340" t="s">
        <v>4036</v>
      </c>
      <c r="D200" s="340" t="s">
        <v>1893</v>
      </c>
      <c r="E200" s="341" t="s">
        <v>338</v>
      </c>
      <c r="F200" s="342">
        <v>46.0</v>
      </c>
      <c r="G200" s="342" t="s">
        <v>339</v>
      </c>
      <c r="H200" s="342" t="s">
        <v>484</v>
      </c>
      <c r="I200" s="342">
        <v>9.32404376E9</v>
      </c>
      <c r="J200" s="54">
        <v>28.0</v>
      </c>
      <c r="K200" s="55">
        <v>24.0</v>
      </c>
      <c r="L200" s="55">
        <v>0.0</v>
      </c>
      <c r="M200" s="55">
        <v>0.0</v>
      </c>
      <c r="N200" s="43">
        <f t="shared" si="3"/>
        <v>0</v>
      </c>
      <c r="O200" s="55">
        <v>4.0</v>
      </c>
      <c r="P200" s="55">
        <v>4.0</v>
      </c>
      <c r="Q200" s="43">
        <f t="shared" si="4"/>
        <v>8</v>
      </c>
      <c r="R200" s="43"/>
      <c r="S200" s="55" t="s">
        <v>4037</v>
      </c>
      <c r="T200" s="43"/>
      <c r="U200" s="43"/>
      <c r="V200" s="43"/>
      <c r="W200" s="56" t="s">
        <v>46</v>
      </c>
    </row>
    <row r="201" ht="13.5" customHeight="1">
      <c r="A201" s="127">
        <v>195.0</v>
      </c>
      <c r="B201" s="339" t="s">
        <v>2440</v>
      </c>
      <c r="C201" s="340" t="s">
        <v>4038</v>
      </c>
      <c r="D201" s="340" t="s">
        <v>4039</v>
      </c>
      <c r="E201" s="341" t="s">
        <v>338</v>
      </c>
      <c r="F201" s="342">
        <v>59.0</v>
      </c>
      <c r="G201" s="342" t="s">
        <v>385</v>
      </c>
      <c r="H201" s="342" t="s">
        <v>349</v>
      </c>
      <c r="I201" s="342">
        <v>9.197428602E9</v>
      </c>
      <c r="J201" s="55">
        <v>15.0</v>
      </c>
      <c r="K201" s="55">
        <v>8.0</v>
      </c>
      <c r="L201" s="55">
        <v>0.0</v>
      </c>
      <c r="M201" s="55">
        <v>7.0</v>
      </c>
      <c r="N201" s="43">
        <f t="shared" si="3"/>
        <v>7</v>
      </c>
      <c r="O201" s="55">
        <v>17.0</v>
      </c>
      <c r="P201" s="55">
        <v>0.0</v>
      </c>
      <c r="Q201" s="43">
        <f t="shared" si="4"/>
        <v>24</v>
      </c>
      <c r="R201" s="43"/>
      <c r="S201" s="55" t="s">
        <v>88</v>
      </c>
      <c r="T201" s="125"/>
      <c r="U201" s="43"/>
      <c r="V201" s="43"/>
      <c r="W201" s="56" t="s">
        <v>46</v>
      </c>
    </row>
    <row r="202" ht="13.5" customHeight="1">
      <c r="A202" s="28">
        <v>196.0</v>
      </c>
      <c r="B202" s="339" t="s">
        <v>4040</v>
      </c>
      <c r="C202" s="340" t="s">
        <v>4041</v>
      </c>
      <c r="D202" s="340" t="s">
        <v>436</v>
      </c>
      <c r="E202" s="341" t="s">
        <v>338</v>
      </c>
      <c r="F202" s="342">
        <v>26.0</v>
      </c>
      <c r="G202" s="342" t="s">
        <v>339</v>
      </c>
      <c r="H202" s="342" t="s">
        <v>349</v>
      </c>
      <c r="I202" s="342">
        <v>9.948023755E9</v>
      </c>
      <c r="J202" s="54">
        <v>30.0</v>
      </c>
      <c r="K202" s="55">
        <v>22.0</v>
      </c>
      <c r="L202" s="55">
        <v>0.0</v>
      </c>
      <c r="M202" s="55">
        <v>4.0</v>
      </c>
      <c r="N202" s="43">
        <f t="shared" si="3"/>
        <v>4</v>
      </c>
      <c r="O202" s="55">
        <v>0.0</v>
      </c>
      <c r="P202" s="55">
        <v>4.0</v>
      </c>
      <c r="Q202" s="43">
        <f t="shared" si="4"/>
        <v>8</v>
      </c>
      <c r="R202" s="43"/>
      <c r="S202" s="43"/>
      <c r="T202" s="43"/>
      <c r="U202" s="43"/>
      <c r="V202" s="43"/>
      <c r="W202" s="56" t="s">
        <v>46</v>
      </c>
    </row>
    <row r="203" ht="13.5" customHeight="1">
      <c r="A203" s="127">
        <v>197.0</v>
      </c>
      <c r="B203" s="339" t="s">
        <v>4042</v>
      </c>
      <c r="C203" s="340" t="s">
        <v>2641</v>
      </c>
      <c r="D203" s="340" t="s">
        <v>415</v>
      </c>
      <c r="E203" s="341" t="s">
        <v>338</v>
      </c>
      <c r="F203" s="342">
        <v>45.0</v>
      </c>
      <c r="G203" s="342" t="s">
        <v>339</v>
      </c>
      <c r="H203" s="342" t="s">
        <v>340</v>
      </c>
      <c r="I203" s="342">
        <v>9.958614622E9</v>
      </c>
      <c r="J203" s="55">
        <v>26.0</v>
      </c>
      <c r="K203" s="55">
        <v>18.0</v>
      </c>
      <c r="L203" s="55">
        <v>0.0</v>
      </c>
      <c r="M203" s="55">
        <v>4.0</v>
      </c>
      <c r="N203" s="43">
        <f t="shared" si="3"/>
        <v>4</v>
      </c>
      <c r="O203" s="55">
        <v>6.0</v>
      </c>
      <c r="P203" s="55">
        <v>2.0</v>
      </c>
      <c r="Q203" s="43">
        <f t="shared" si="4"/>
        <v>12</v>
      </c>
      <c r="R203" s="43"/>
      <c r="S203" s="43"/>
      <c r="T203" s="125"/>
      <c r="U203" s="43"/>
      <c r="V203" s="43"/>
      <c r="W203" s="56" t="s">
        <v>46</v>
      </c>
    </row>
    <row r="204" ht="13.5" customHeight="1">
      <c r="A204" s="362">
        <v>198.0</v>
      </c>
      <c r="B204" s="349" t="s">
        <v>4043</v>
      </c>
      <c r="C204" s="350" t="s">
        <v>2165</v>
      </c>
      <c r="D204" s="350" t="s">
        <v>1287</v>
      </c>
      <c r="E204" s="350" t="s">
        <v>338</v>
      </c>
      <c r="F204" s="350">
        <v>28.0</v>
      </c>
      <c r="G204" s="350" t="s">
        <v>339</v>
      </c>
      <c r="H204" s="350" t="s">
        <v>833</v>
      </c>
      <c r="I204" s="350">
        <v>9.759355902E9</v>
      </c>
      <c r="J204" s="351">
        <v>32.0</v>
      </c>
      <c r="K204" s="352">
        <v>32.0</v>
      </c>
      <c r="L204" s="352">
        <v>0.0</v>
      </c>
      <c r="M204" s="352">
        <v>0.0</v>
      </c>
      <c r="N204" s="352">
        <v>0.0</v>
      </c>
      <c r="O204" s="352">
        <v>0.0</v>
      </c>
      <c r="P204" s="352">
        <v>0.0</v>
      </c>
      <c r="Q204" s="353">
        <f t="shared" si="4"/>
        <v>0</v>
      </c>
      <c r="R204" s="353"/>
      <c r="S204" s="353"/>
      <c r="T204" s="353"/>
      <c r="U204" s="353"/>
      <c r="V204" s="353"/>
      <c r="W204" s="354" t="s">
        <v>46</v>
      </c>
      <c r="X204" s="363"/>
    </row>
    <row r="205" ht="13.5" customHeight="1">
      <c r="A205" s="127">
        <v>199.0</v>
      </c>
      <c r="B205" s="339" t="s">
        <v>1147</v>
      </c>
      <c r="C205" s="340" t="s">
        <v>4044</v>
      </c>
      <c r="D205" s="340" t="s">
        <v>232</v>
      </c>
      <c r="E205" s="341" t="s">
        <v>338</v>
      </c>
      <c r="F205" s="342">
        <v>54.0</v>
      </c>
      <c r="G205" s="342" t="s">
        <v>339</v>
      </c>
      <c r="H205" s="342" t="s">
        <v>3940</v>
      </c>
      <c r="I205" s="342">
        <v>9.109761272E9</v>
      </c>
      <c r="J205" s="55">
        <v>25.0</v>
      </c>
      <c r="K205" s="55">
        <v>17.0</v>
      </c>
      <c r="L205" s="55">
        <v>0.0</v>
      </c>
      <c r="M205" s="55">
        <v>8.0</v>
      </c>
      <c r="N205" s="43">
        <f t="shared" ref="N205:N247" si="5">sum(L205,M205)</f>
        <v>8</v>
      </c>
      <c r="O205" s="55">
        <v>7.0</v>
      </c>
      <c r="P205" s="55">
        <v>0.0</v>
      </c>
      <c r="Q205" s="43">
        <f t="shared" si="4"/>
        <v>15</v>
      </c>
      <c r="R205" s="43"/>
      <c r="S205" s="43"/>
      <c r="T205" s="125"/>
      <c r="U205" s="43"/>
      <c r="V205" s="43"/>
      <c r="W205" s="56" t="s">
        <v>46</v>
      </c>
    </row>
    <row r="206" ht="13.5" customHeight="1">
      <c r="A206" s="127">
        <v>200.0</v>
      </c>
      <c r="B206" s="339" t="s">
        <v>4045</v>
      </c>
      <c r="C206" s="340" t="s">
        <v>1425</v>
      </c>
      <c r="D206" s="340" t="s">
        <v>3915</v>
      </c>
      <c r="E206" s="341" t="s">
        <v>338</v>
      </c>
      <c r="F206" s="344">
        <v>51.0</v>
      </c>
      <c r="G206" s="342" t="s">
        <v>339</v>
      </c>
      <c r="H206" s="342" t="s">
        <v>833</v>
      </c>
      <c r="I206" s="342">
        <v>9.08235261E9</v>
      </c>
      <c r="J206" s="54">
        <v>29.0</v>
      </c>
      <c r="K206" s="55">
        <v>20.0</v>
      </c>
      <c r="L206" s="55">
        <v>0.0</v>
      </c>
      <c r="M206" s="55">
        <v>0.0</v>
      </c>
      <c r="N206" s="43">
        <f t="shared" si="5"/>
        <v>0</v>
      </c>
      <c r="O206" s="55">
        <v>3.0</v>
      </c>
      <c r="P206" s="55">
        <v>9.0</v>
      </c>
      <c r="Q206" s="43">
        <f t="shared" si="4"/>
        <v>12</v>
      </c>
      <c r="R206" s="43"/>
      <c r="S206" s="43"/>
      <c r="T206" s="43"/>
      <c r="U206" s="43"/>
      <c r="V206" s="43"/>
      <c r="W206" s="56" t="s">
        <v>46</v>
      </c>
    </row>
    <row r="207" ht="13.5" customHeight="1">
      <c r="A207" s="127">
        <v>201.0</v>
      </c>
      <c r="B207" s="339" t="s">
        <v>4046</v>
      </c>
      <c r="C207" s="340" t="s">
        <v>4047</v>
      </c>
      <c r="D207" s="340" t="s">
        <v>4048</v>
      </c>
      <c r="E207" s="341" t="s">
        <v>338</v>
      </c>
      <c r="F207" s="344">
        <v>41.0</v>
      </c>
      <c r="G207" s="342" t="s">
        <v>385</v>
      </c>
      <c r="H207" s="342" t="s">
        <v>839</v>
      </c>
      <c r="I207" s="342">
        <v>9.205850555E9</v>
      </c>
      <c r="J207" s="43"/>
      <c r="K207" s="43"/>
      <c r="L207" s="43"/>
      <c r="M207" s="43"/>
      <c r="N207" s="43">
        <f t="shared" si="5"/>
        <v>0</v>
      </c>
      <c r="O207" s="43"/>
      <c r="P207" s="43"/>
      <c r="Q207" s="43">
        <f t="shared" si="4"/>
        <v>0</v>
      </c>
      <c r="R207" s="43"/>
      <c r="S207" s="43"/>
      <c r="T207" s="125"/>
      <c r="U207" s="43"/>
      <c r="V207" s="43"/>
      <c r="W207" s="44"/>
    </row>
    <row r="208" ht="13.5" customHeight="1">
      <c r="A208" s="127">
        <v>202.0</v>
      </c>
      <c r="B208" s="339" t="s">
        <v>4049</v>
      </c>
      <c r="C208" s="340" t="s">
        <v>4050</v>
      </c>
      <c r="D208" s="340" t="s">
        <v>4051</v>
      </c>
      <c r="E208" s="341" t="s">
        <v>338</v>
      </c>
      <c r="F208" s="342">
        <v>40.0</v>
      </c>
      <c r="G208" s="342" t="s">
        <v>339</v>
      </c>
      <c r="H208" s="342" t="s">
        <v>349</v>
      </c>
      <c r="I208" s="342">
        <v>9.633943435E9</v>
      </c>
      <c r="J208" s="54">
        <v>32.0</v>
      </c>
      <c r="K208" s="55">
        <v>31.0</v>
      </c>
      <c r="L208" s="55">
        <v>0.0</v>
      </c>
      <c r="M208" s="55">
        <v>1.0</v>
      </c>
      <c r="N208" s="43">
        <f t="shared" si="5"/>
        <v>1</v>
      </c>
      <c r="O208" s="55">
        <v>0.0</v>
      </c>
      <c r="P208" s="55">
        <v>0.0</v>
      </c>
      <c r="Q208" s="43">
        <f t="shared" si="4"/>
        <v>1</v>
      </c>
      <c r="R208" s="43"/>
      <c r="S208" s="43"/>
      <c r="T208" s="43"/>
      <c r="U208" s="43"/>
      <c r="V208" s="43"/>
      <c r="W208" s="56" t="s">
        <v>46</v>
      </c>
    </row>
    <row r="209" ht="13.5" customHeight="1">
      <c r="A209" s="127">
        <v>203.0</v>
      </c>
      <c r="B209" s="339" t="s">
        <v>367</v>
      </c>
      <c r="C209" s="340" t="s">
        <v>2428</v>
      </c>
      <c r="D209" s="340" t="s">
        <v>4052</v>
      </c>
      <c r="E209" s="341" t="s">
        <v>338</v>
      </c>
      <c r="F209" s="342">
        <v>27.0</v>
      </c>
      <c r="G209" s="342" t="s">
        <v>339</v>
      </c>
      <c r="H209" s="342" t="s">
        <v>340</v>
      </c>
      <c r="I209" s="342">
        <v>9.917946372E9</v>
      </c>
      <c r="J209" s="55">
        <v>32.0</v>
      </c>
      <c r="K209" s="55">
        <v>31.0</v>
      </c>
      <c r="L209" s="55">
        <v>0.0</v>
      </c>
      <c r="M209" s="55">
        <v>1.0</v>
      </c>
      <c r="N209" s="43">
        <f t="shared" si="5"/>
        <v>1</v>
      </c>
      <c r="O209" s="55">
        <v>0.0</v>
      </c>
      <c r="P209" s="55">
        <v>0.0</v>
      </c>
      <c r="Q209" s="43">
        <f t="shared" si="4"/>
        <v>1</v>
      </c>
      <c r="R209" s="43"/>
      <c r="S209" s="43"/>
      <c r="T209" s="125"/>
      <c r="U209" s="43"/>
      <c r="V209" s="43"/>
      <c r="W209" s="56" t="s">
        <v>46</v>
      </c>
    </row>
    <row r="210" ht="13.5" customHeight="1">
      <c r="A210" s="127">
        <v>204.0</v>
      </c>
      <c r="B210" s="339" t="s">
        <v>1586</v>
      </c>
      <c r="C210" s="340" t="s">
        <v>4053</v>
      </c>
      <c r="D210" s="340" t="s">
        <v>4054</v>
      </c>
      <c r="E210" s="341" t="s">
        <v>338</v>
      </c>
      <c r="F210" s="342">
        <v>37.0</v>
      </c>
      <c r="G210" s="342" t="s">
        <v>339</v>
      </c>
      <c r="H210" s="342" t="s">
        <v>839</v>
      </c>
      <c r="I210" s="342">
        <v>9.615827353E9</v>
      </c>
      <c r="J210" s="54">
        <v>31.0</v>
      </c>
      <c r="K210" s="55">
        <v>27.0</v>
      </c>
      <c r="L210" s="55">
        <v>0.0</v>
      </c>
      <c r="M210" s="55">
        <v>4.0</v>
      </c>
      <c r="N210" s="43">
        <f t="shared" si="5"/>
        <v>4</v>
      </c>
      <c r="O210" s="55">
        <v>1.0</v>
      </c>
      <c r="P210" s="55">
        <v>0.0</v>
      </c>
      <c r="Q210" s="43">
        <f t="shared" si="4"/>
        <v>5</v>
      </c>
      <c r="R210" s="43"/>
      <c r="S210" s="43"/>
      <c r="T210" s="43"/>
      <c r="U210" s="43"/>
      <c r="V210" s="43"/>
      <c r="W210" s="56" t="s">
        <v>46</v>
      </c>
    </row>
    <row r="211" ht="13.5" customHeight="1">
      <c r="A211" s="127">
        <v>205.0</v>
      </c>
      <c r="B211" s="339" t="s">
        <v>4055</v>
      </c>
      <c r="C211" s="340" t="s">
        <v>4056</v>
      </c>
      <c r="D211" s="340" t="s">
        <v>4057</v>
      </c>
      <c r="E211" s="341" t="s">
        <v>338</v>
      </c>
      <c r="F211" s="342">
        <v>34.0</v>
      </c>
      <c r="G211" s="342" t="s">
        <v>339</v>
      </c>
      <c r="H211" s="342" t="s">
        <v>4058</v>
      </c>
      <c r="I211" s="342">
        <v>9.064693027E9</v>
      </c>
      <c r="J211" s="55">
        <v>23.0</v>
      </c>
      <c r="K211" s="55">
        <v>19.0</v>
      </c>
      <c r="L211" s="55">
        <v>0.0</v>
      </c>
      <c r="M211" s="55">
        <v>4.0</v>
      </c>
      <c r="N211" s="43">
        <f t="shared" si="5"/>
        <v>4</v>
      </c>
      <c r="O211" s="55">
        <v>9.0</v>
      </c>
      <c r="P211" s="55">
        <v>0.0</v>
      </c>
      <c r="Q211" s="43">
        <f t="shared" si="4"/>
        <v>13</v>
      </c>
      <c r="R211" s="43"/>
      <c r="S211" s="43"/>
      <c r="T211" s="125"/>
      <c r="U211" s="43"/>
      <c r="V211" s="43"/>
      <c r="W211" s="56" t="s">
        <v>46</v>
      </c>
    </row>
    <row r="212" ht="13.5" customHeight="1">
      <c r="A212" s="28">
        <v>206.0</v>
      </c>
      <c r="B212" s="339" t="s">
        <v>4059</v>
      </c>
      <c r="C212" s="340" t="s">
        <v>221</v>
      </c>
      <c r="D212" s="340" t="s">
        <v>4060</v>
      </c>
      <c r="E212" s="341" t="s">
        <v>338</v>
      </c>
      <c r="F212" s="342">
        <v>58.0</v>
      </c>
      <c r="G212" s="342" t="s">
        <v>339</v>
      </c>
      <c r="H212" s="342" t="s">
        <v>340</v>
      </c>
      <c r="I212" s="342">
        <v>9.368980687E9</v>
      </c>
      <c r="J212" s="54">
        <v>8.0</v>
      </c>
      <c r="K212" s="55">
        <v>0.0</v>
      </c>
      <c r="L212" s="55">
        <v>2.0</v>
      </c>
      <c r="M212" s="55">
        <v>6.0</v>
      </c>
      <c r="N212" s="43">
        <f t="shared" si="5"/>
        <v>8</v>
      </c>
      <c r="O212" s="55">
        <v>24.0</v>
      </c>
      <c r="P212" s="55">
        <v>0.0</v>
      </c>
      <c r="Q212" s="43">
        <f t="shared" si="4"/>
        <v>32</v>
      </c>
      <c r="R212" s="43"/>
      <c r="S212" s="43"/>
      <c r="T212" s="43"/>
      <c r="U212" s="43"/>
      <c r="V212" s="43"/>
      <c r="W212" s="56" t="s">
        <v>46</v>
      </c>
    </row>
    <row r="213" ht="13.5" customHeight="1">
      <c r="A213" s="127">
        <v>207.0</v>
      </c>
      <c r="B213" s="339" t="s">
        <v>4061</v>
      </c>
      <c r="C213" s="340" t="s">
        <v>4062</v>
      </c>
      <c r="D213" s="340" t="s">
        <v>3507</v>
      </c>
      <c r="E213" s="341" t="s">
        <v>338</v>
      </c>
      <c r="F213" s="342">
        <v>27.0</v>
      </c>
      <c r="G213" s="342" t="s">
        <v>339</v>
      </c>
      <c r="H213" s="342" t="s">
        <v>340</v>
      </c>
      <c r="I213" s="342">
        <v>9.178730241E9</v>
      </c>
      <c r="J213" s="55">
        <v>28.0</v>
      </c>
      <c r="K213" s="55">
        <v>28.0</v>
      </c>
      <c r="L213" s="55">
        <v>0.0</v>
      </c>
      <c r="M213" s="55">
        <v>0.0</v>
      </c>
      <c r="N213" s="43">
        <f t="shared" si="5"/>
        <v>0</v>
      </c>
      <c r="O213" s="55">
        <v>0.0</v>
      </c>
      <c r="P213" s="55">
        <v>0.0</v>
      </c>
      <c r="Q213" s="43">
        <f t="shared" si="4"/>
        <v>0</v>
      </c>
      <c r="R213" s="43"/>
      <c r="S213" s="55" t="s">
        <v>277</v>
      </c>
      <c r="T213" s="125"/>
      <c r="U213" s="43"/>
      <c r="V213" s="43"/>
      <c r="W213" s="56" t="s">
        <v>46</v>
      </c>
    </row>
    <row r="214" ht="13.5" customHeight="1">
      <c r="A214" s="127">
        <v>208.0</v>
      </c>
      <c r="B214" s="339" t="s">
        <v>4063</v>
      </c>
      <c r="C214" s="340" t="s">
        <v>4064</v>
      </c>
      <c r="D214" s="340" t="s">
        <v>4065</v>
      </c>
      <c r="E214" s="341" t="s">
        <v>338</v>
      </c>
      <c r="F214" s="344">
        <v>41.0</v>
      </c>
      <c r="G214" s="342" t="s">
        <v>339</v>
      </c>
      <c r="H214" s="342" t="s">
        <v>833</v>
      </c>
      <c r="I214" s="342">
        <v>9.952854009E9</v>
      </c>
      <c r="J214" s="54">
        <v>22.0</v>
      </c>
      <c r="K214" s="55">
        <v>14.0</v>
      </c>
      <c r="L214" s="55">
        <v>1.0</v>
      </c>
      <c r="M214" s="55">
        <v>7.0</v>
      </c>
      <c r="N214" s="43">
        <f t="shared" si="5"/>
        <v>8</v>
      </c>
      <c r="O214" s="55">
        <v>9.0</v>
      </c>
      <c r="P214" s="55">
        <v>0.0</v>
      </c>
      <c r="Q214" s="43">
        <f t="shared" si="4"/>
        <v>17</v>
      </c>
      <c r="R214" s="43"/>
      <c r="S214" s="43"/>
      <c r="T214" s="43"/>
      <c r="U214" s="43"/>
      <c r="V214" s="43"/>
      <c r="W214" s="56" t="s">
        <v>46</v>
      </c>
    </row>
    <row r="215" ht="13.5" customHeight="1">
      <c r="A215" s="127">
        <v>209.0</v>
      </c>
      <c r="B215" s="339" t="s">
        <v>4066</v>
      </c>
      <c r="C215" s="340" t="s">
        <v>4067</v>
      </c>
      <c r="D215" s="340" t="s">
        <v>3915</v>
      </c>
      <c r="E215" s="341" t="s">
        <v>338</v>
      </c>
      <c r="F215" s="342">
        <v>26.0</v>
      </c>
      <c r="G215" s="342" t="s">
        <v>385</v>
      </c>
      <c r="H215" s="342" t="s">
        <v>4058</v>
      </c>
      <c r="I215" s="342">
        <v>9.091103792E9</v>
      </c>
      <c r="J215" s="55">
        <v>28.0</v>
      </c>
      <c r="K215" s="55">
        <v>27.0</v>
      </c>
      <c r="L215" s="55">
        <v>0.0</v>
      </c>
      <c r="M215" s="55">
        <v>0.0</v>
      </c>
      <c r="N215" s="43">
        <f t="shared" si="5"/>
        <v>0</v>
      </c>
      <c r="O215" s="55">
        <v>4.0</v>
      </c>
      <c r="P215" s="55">
        <v>1.0</v>
      </c>
      <c r="Q215" s="43">
        <f t="shared" si="4"/>
        <v>5</v>
      </c>
      <c r="R215" s="43"/>
      <c r="S215" s="43"/>
      <c r="T215" s="125"/>
      <c r="U215" s="43"/>
      <c r="V215" s="43"/>
      <c r="W215" s="56" t="s">
        <v>46</v>
      </c>
    </row>
    <row r="216" ht="13.5" customHeight="1">
      <c r="A216" s="127">
        <v>210.0</v>
      </c>
      <c r="B216" s="339" t="s">
        <v>1537</v>
      </c>
      <c r="C216" s="340" t="s">
        <v>2549</v>
      </c>
      <c r="D216" s="340" t="s">
        <v>4068</v>
      </c>
      <c r="E216" s="341" t="s">
        <v>338</v>
      </c>
      <c r="F216" s="342">
        <v>36.0</v>
      </c>
      <c r="G216" s="342" t="s">
        <v>339</v>
      </c>
      <c r="H216" s="342" t="s">
        <v>368</v>
      </c>
      <c r="I216" s="342">
        <v>9.272050243E9</v>
      </c>
      <c r="J216" s="54">
        <v>26.0</v>
      </c>
      <c r="K216" s="55">
        <v>20.0</v>
      </c>
      <c r="L216" s="55">
        <v>0.0</v>
      </c>
      <c r="M216" s="55">
        <v>0.0</v>
      </c>
      <c r="N216" s="43">
        <f t="shared" si="5"/>
        <v>0</v>
      </c>
      <c r="O216" s="55">
        <v>6.0</v>
      </c>
      <c r="P216" s="55">
        <v>6.0</v>
      </c>
      <c r="Q216" s="43">
        <f t="shared" si="4"/>
        <v>12</v>
      </c>
      <c r="R216" s="43"/>
      <c r="S216" s="55" t="s">
        <v>4069</v>
      </c>
      <c r="T216" s="43"/>
      <c r="U216" s="43"/>
      <c r="V216" s="43"/>
      <c r="W216" s="56" t="s">
        <v>46</v>
      </c>
    </row>
    <row r="217" ht="13.5" customHeight="1">
      <c r="A217" s="127">
        <v>211.0</v>
      </c>
      <c r="B217" s="339" t="s">
        <v>4070</v>
      </c>
      <c r="C217" s="340" t="s">
        <v>4071</v>
      </c>
      <c r="D217" s="340" t="s">
        <v>4072</v>
      </c>
      <c r="E217" s="341" t="s">
        <v>338</v>
      </c>
      <c r="F217" s="342">
        <v>29.0</v>
      </c>
      <c r="G217" s="342" t="s">
        <v>339</v>
      </c>
      <c r="H217" s="342" t="s">
        <v>839</v>
      </c>
      <c r="I217" s="342">
        <v>9.178714731E9</v>
      </c>
      <c r="J217" s="55">
        <v>30.0</v>
      </c>
      <c r="K217" s="55">
        <v>23.0</v>
      </c>
      <c r="L217" s="55">
        <v>0.0</v>
      </c>
      <c r="M217" s="55">
        <v>0.0</v>
      </c>
      <c r="N217" s="43">
        <f t="shared" si="5"/>
        <v>0</v>
      </c>
      <c r="O217" s="55">
        <v>2.0</v>
      </c>
      <c r="P217" s="55">
        <v>7.0</v>
      </c>
      <c r="Q217" s="43">
        <f t="shared" si="4"/>
        <v>9</v>
      </c>
      <c r="R217" s="43"/>
      <c r="S217" s="43"/>
      <c r="T217" s="125"/>
      <c r="U217" s="43"/>
      <c r="V217" s="43"/>
      <c r="W217" s="56" t="s">
        <v>46</v>
      </c>
    </row>
    <row r="218" ht="13.5" customHeight="1">
      <c r="A218" s="127">
        <v>212.0</v>
      </c>
      <c r="B218" s="339" t="s">
        <v>492</v>
      </c>
      <c r="C218" s="340" t="s">
        <v>4073</v>
      </c>
      <c r="D218" s="340" t="s">
        <v>1007</v>
      </c>
      <c r="E218" s="341" t="s">
        <v>338</v>
      </c>
      <c r="F218" s="342">
        <v>31.0</v>
      </c>
      <c r="G218" s="342" t="s">
        <v>339</v>
      </c>
      <c r="H218" s="342" t="s">
        <v>839</v>
      </c>
      <c r="I218" s="342">
        <v>9.605311322E9</v>
      </c>
      <c r="J218" s="54">
        <v>26.0</v>
      </c>
      <c r="K218" s="55">
        <v>24.0</v>
      </c>
      <c r="L218" s="55">
        <v>0.0</v>
      </c>
      <c r="M218" s="55">
        <v>1.0</v>
      </c>
      <c r="N218" s="43">
        <f t="shared" si="5"/>
        <v>1</v>
      </c>
      <c r="O218" s="55">
        <v>6.0</v>
      </c>
      <c r="P218" s="55">
        <v>1.0</v>
      </c>
      <c r="Q218" s="43">
        <f t="shared" si="4"/>
        <v>8</v>
      </c>
      <c r="R218" s="43"/>
      <c r="S218" s="43"/>
      <c r="T218" s="43"/>
      <c r="U218" s="43"/>
      <c r="V218" s="43"/>
      <c r="W218" s="56" t="s">
        <v>46</v>
      </c>
    </row>
    <row r="219" ht="13.5" customHeight="1">
      <c r="A219" s="127">
        <v>213.0</v>
      </c>
      <c r="B219" s="339" t="s">
        <v>4074</v>
      </c>
      <c r="C219" s="340" t="s">
        <v>4075</v>
      </c>
      <c r="D219" s="340" t="s">
        <v>4076</v>
      </c>
      <c r="E219" s="341" t="s">
        <v>338</v>
      </c>
      <c r="F219" s="342">
        <v>30.0</v>
      </c>
      <c r="G219" s="342" t="s">
        <v>339</v>
      </c>
      <c r="H219" s="342" t="s">
        <v>663</v>
      </c>
      <c r="I219" s="342">
        <v>9.949417707E9</v>
      </c>
      <c r="J219" s="55">
        <v>28.0</v>
      </c>
      <c r="K219" s="55">
        <v>23.0</v>
      </c>
      <c r="L219" s="55">
        <v>0.0</v>
      </c>
      <c r="M219" s="55">
        <v>2.0</v>
      </c>
      <c r="N219" s="43">
        <f t="shared" si="5"/>
        <v>2</v>
      </c>
      <c r="O219" s="55">
        <v>4.0</v>
      </c>
      <c r="P219" s="55">
        <v>3.0</v>
      </c>
      <c r="Q219" s="43">
        <f t="shared" si="4"/>
        <v>9</v>
      </c>
      <c r="R219" s="43"/>
      <c r="S219" s="43"/>
      <c r="T219" s="125"/>
      <c r="U219" s="43"/>
      <c r="V219" s="43"/>
      <c r="W219" s="56" t="s">
        <v>46</v>
      </c>
    </row>
    <row r="220" ht="13.5" customHeight="1">
      <c r="A220" s="127">
        <v>214.0</v>
      </c>
      <c r="B220" s="339" t="s">
        <v>4077</v>
      </c>
      <c r="C220" s="340" t="s">
        <v>4078</v>
      </c>
      <c r="D220" s="340" t="s">
        <v>3618</v>
      </c>
      <c r="E220" s="341" t="s">
        <v>338</v>
      </c>
      <c r="F220" s="342">
        <v>40.0</v>
      </c>
      <c r="G220" s="342" t="s">
        <v>339</v>
      </c>
      <c r="H220" s="342" t="s">
        <v>340</v>
      </c>
      <c r="I220" s="342">
        <v>9.213097315E9</v>
      </c>
      <c r="J220" s="54">
        <v>28.0</v>
      </c>
      <c r="K220" s="55">
        <v>18.0</v>
      </c>
      <c r="L220" s="55">
        <v>0.0</v>
      </c>
      <c r="M220" s="55">
        <v>0.0</v>
      </c>
      <c r="N220" s="43">
        <f t="shared" si="5"/>
        <v>0</v>
      </c>
      <c r="O220" s="55">
        <v>4.0</v>
      </c>
      <c r="P220" s="55">
        <v>0.0</v>
      </c>
      <c r="Q220" s="43">
        <f t="shared" si="4"/>
        <v>4</v>
      </c>
      <c r="R220" s="43"/>
      <c r="S220" s="43"/>
      <c r="T220" s="43"/>
      <c r="U220" s="43"/>
      <c r="V220" s="43"/>
      <c r="W220" s="56" t="s">
        <v>46</v>
      </c>
    </row>
    <row r="221" ht="13.5" customHeight="1">
      <c r="A221" s="28">
        <v>215.0</v>
      </c>
      <c r="B221" s="339" t="s">
        <v>4079</v>
      </c>
      <c r="C221" s="340" t="s">
        <v>4080</v>
      </c>
      <c r="D221" s="340" t="s">
        <v>4081</v>
      </c>
      <c r="E221" s="341" t="s">
        <v>338</v>
      </c>
      <c r="F221" s="342">
        <v>37.0</v>
      </c>
      <c r="G221" s="342" t="s">
        <v>385</v>
      </c>
      <c r="H221" s="342" t="s">
        <v>349</v>
      </c>
      <c r="I221" s="342">
        <v>9.178735022E9</v>
      </c>
      <c r="J221" s="55">
        <v>28.0</v>
      </c>
      <c r="K221" s="55">
        <v>25.0</v>
      </c>
      <c r="L221" s="55">
        <v>0.0</v>
      </c>
      <c r="M221" s="55">
        <v>0.0</v>
      </c>
      <c r="N221" s="43">
        <f t="shared" si="5"/>
        <v>0</v>
      </c>
      <c r="O221" s="55">
        <v>4.0</v>
      </c>
      <c r="P221" s="55">
        <v>3.0</v>
      </c>
      <c r="Q221" s="43">
        <f t="shared" si="4"/>
        <v>7</v>
      </c>
      <c r="R221" s="43"/>
      <c r="S221" s="43"/>
      <c r="T221" s="125"/>
      <c r="U221" s="43"/>
      <c r="V221" s="43"/>
      <c r="W221" s="56" t="s">
        <v>46</v>
      </c>
    </row>
    <row r="222" ht="13.5" customHeight="1">
      <c r="A222" s="127">
        <v>216.0</v>
      </c>
      <c r="B222" s="280" t="s">
        <v>116</v>
      </c>
      <c r="C222" s="286"/>
      <c r="D222" s="286"/>
      <c r="E222" s="47"/>
      <c r="F222" s="284"/>
      <c r="G222" s="284"/>
      <c r="H222" s="284"/>
      <c r="I222" s="284"/>
      <c r="J222" s="42"/>
      <c r="K222" s="43"/>
      <c r="L222" s="43"/>
      <c r="M222" s="43"/>
      <c r="N222" s="43">
        <f t="shared" si="5"/>
        <v>0</v>
      </c>
      <c r="O222" s="43"/>
      <c r="P222" s="43"/>
      <c r="Q222" s="43">
        <f t="shared" si="4"/>
        <v>0</v>
      </c>
      <c r="R222" s="43"/>
      <c r="S222" s="43"/>
      <c r="T222" s="43"/>
      <c r="U222" s="43"/>
      <c r="V222" s="43"/>
      <c r="W222" s="44"/>
    </row>
    <row r="223" ht="13.5" customHeight="1">
      <c r="A223" s="127">
        <v>217.0</v>
      </c>
      <c r="B223" s="285"/>
      <c r="C223" s="286"/>
      <c r="D223" s="286"/>
      <c r="E223" s="47"/>
      <c r="F223" s="284"/>
      <c r="G223" s="284"/>
      <c r="H223" s="284"/>
      <c r="I223" s="284"/>
      <c r="J223" s="43"/>
      <c r="K223" s="43"/>
      <c r="L223" s="43"/>
      <c r="M223" s="43"/>
      <c r="N223" s="43">
        <f t="shared" si="5"/>
        <v>0</v>
      </c>
      <c r="O223" s="43"/>
      <c r="P223" s="43"/>
      <c r="Q223" s="43">
        <f t="shared" si="4"/>
        <v>0</v>
      </c>
      <c r="R223" s="43"/>
      <c r="S223" s="43"/>
      <c r="T223" s="125"/>
      <c r="U223" s="43"/>
      <c r="V223" s="43"/>
      <c r="W223" s="44"/>
    </row>
    <row r="224" ht="13.5" customHeight="1">
      <c r="A224" s="127">
        <v>218.0</v>
      </c>
      <c r="B224" s="285"/>
      <c r="C224" s="286"/>
      <c r="D224" s="286"/>
      <c r="E224" s="47"/>
      <c r="F224" s="284"/>
      <c r="G224" s="284"/>
      <c r="H224" s="284"/>
      <c r="I224" s="284"/>
      <c r="J224" s="42"/>
      <c r="K224" s="43"/>
      <c r="L224" s="43"/>
      <c r="M224" s="43"/>
      <c r="N224" s="43">
        <f t="shared" si="5"/>
        <v>0</v>
      </c>
      <c r="O224" s="43"/>
      <c r="P224" s="43"/>
      <c r="Q224" s="43">
        <f t="shared" si="4"/>
        <v>0</v>
      </c>
      <c r="R224" s="43"/>
      <c r="S224" s="43"/>
      <c r="T224" s="43"/>
      <c r="U224" s="43"/>
      <c r="V224" s="43"/>
      <c r="W224" s="44"/>
    </row>
    <row r="225" ht="13.5" customHeight="1">
      <c r="A225" s="127">
        <v>219.0</v>
      </c>
      <c r="B225" s="285"/>
      <c r="C225" s="286"/>
      <c r="D225" s="286"/>
      <c r="E225" s="47"/>
      <c r="F225" s="284"/>
      <c r="G225" s="284"/>
      <c r="H225" s="284"/>
      <c r="I225" s="284"/>
      <c r="J225" s="43"/>
      <c r="K225" s="43"/>
      <c r="L225" s="43"/>
      <c r="M225" s="43"/>
      <c r="N225" s="43">
        <f t="shared" si="5"/>
        <v>0</v>
      </c>
      <c r="O225" s="43"/>
      <c r="P225" s="43"/>
      <c r="Q225" s="43">
        <f t="shared" si="4"/>
        <v>0</v>
      </c>
      <c r="R225" s="43"/>
      <c r="S225" s="43"/>
      <c r="T225" s="125"/>
      <c r="U225" s="43"/>
      <c r="V225" s="43"/>
      <c r="W225" s="44"/>
    </row>
    <row r="226" ht="13.5" customHeight="1">
      <c r="A226" s="127">
        <v>220.0</v>
      </c>
      <c r="B226" s="285"/>
      <c r="C226" s="286"/>
      <c r="D226" s="286"/>
      <c r="E226" s="47"/>
      <c r="F226" s="284"/>
      <c r="G226" s="284"/>
      <c r="H226" s="284"/>
      <c r="I226" s="284"/>
      <c r="J226" s="42"/>
      <c r="K226" s="43"/>
      <c r="L226" s="43"/>
      <c r="M226" s="43"/>
      <c r="N226" s="43">
        <f t="shared" si="5"/>
        <v>0</v>
      </c>
      <c r="O226" s="43"/>
      <c r="P226" s="43"/>
      <c r="Q226" s="43">
        <f t="shared" si="4"/>
        <v>0</v>
      </c>
      <c r="R226" s="43"/>
      <c r="S226" s="43"/>
      <c r="T226" s="43"/>
      <c r="U226" s="43"/>
      <c r="V226" s="43"/>
      <c r="W226" s="44"/>
    </row>
    <row r="227" ht="13.5" customHeight="1">
      <c r="A227" s="127">
        <v>221.0</v>
      </c>
      <c r="B227" s="285"/>
      <c r="C227" s="286"/>
      <c r="D227" s="286"/>
      <c r="E227" s="47"/>
      <c r="F227" s="284"/>
      <c r="G227" s="284"/>
      <c r="H227" s="284"/>
      <c r="I227" s="284"/>
      <c r="J227" s="43"/>
      <c r="K227" s="43"/>
      <c r="L227" s="43"/>
      <c r="M227" s="43"/>
      <c r="N227" s="43">
        <f t="shared" si="5"/>
        <v>0</v>
      </c>
      <c r="O227" s="43"/>
      <c r="P227" s="43"/>
      <c r="Q227" s="43">
        <f t="shared" si="4"/>
        <v>0</v>
      </c>
      <c r="R227" s="43"/>
      <c r="S227" s="43"/>
      <c r="T227" s="125"/>
      <c r="U227" s="43"/>
      <c r="V227" s="43"/>
      <c r="W227" s="44"/>
    </row>
    <row r="228" ht="13.5" customHeight="1">
      <c r="A228" s="127">
        <v>222.0</v>
      </c>
      <c r="B228" s="285"/>
      <c r="C228" s="286"/>
      <c r="D228" s="286"/>
      <c r="E228" s="47"/>
      <c r="F228" s="284"/>
      <c r="G228" s="284"/>
      <c r="H228" s="284"/>
      <c r="I228" s="284"/>
      <c r="J228" s="42"/>
      <c r="K228" s="43"/>
      <c r="L228" s="43"/>
      <c r="M228" s="43"/>
      <c r="N228" s="43">
        <f t="shared" si="5"/>
        <v>0</v>
      </c>
      <c r="O228" s="43"/>
      <c r="P228" s="43"/>
      <c r="Q228" s="43">
        <f t="shared" si="4"/>
        <v>0</v>
      </c>
      <c r="R228" s="43"/>
      <c r="S228" s="43"/>
      <c r="T228" s="43"/>
      <c r="U228" s="43"/>
      <c r="V228" s="43"/>
      <c r="W228" s="44"/>
    </row>
    <row r="229" ht="13.5" customHeight="1">
      <c r="A229" s="127">
        <v>223.0</v>
      </c>
      <c r="B229" s="285"/>
      <c r="C229" s="286"/>
      <c r="D229" s="286"/>
      <c r="E229" s="47"/>
      <c r="F229" s="284"/>
      <c r="G229" s="284"/>
      <c r="H229" s="284"/>
      <c r="I229" s="284"/>
      <c r="J229" s="43"/>
      <c r="K229" s="43"/>
      <c r="L229" s="43"/>
      <c r="M229" s="43"/>
      <c r="N229" s="43">
        <f t="shared" si="5"/>
        <v>0</v>
      </c>
      <c r="O229" s="43"/>
      <c r="P229" s="43"/>
      <c r="Q229" s="43">
        <f t="shared" si="4"/>
        <v>0</v>
      </c>
      <c r="R229" s="43"/>
      <c r="S229" s="43"/>
      <c r="T229" s="125"/>
      <c r="U229" s="43"/>
      <c r="V229" s="43"/>
      <c r="W229" s="44"/>
    </row>
    <row r="230" ht="13.5" customHeight="1">
      <c r="A230" s="127">
        <v>224.0</v>
      </c>
      <c r="B230" s="285"/>
      <c r="C230" s="286"/>
      <c r="D230" s="286"/>
      <c r="E230" s="47"/>
      <c r="F230" s="284"/>
      <c r="G230" s="284"/>
      <c r="H230" s="284"/>
      <c r="I230" s="284"/>
      <c r="J230" s="42"/>
      <c r="K230" s="43"/>
      <c r="L230" s="43"/>
      <c r="M230" s="43"/>
      <c r="N230" s="43">
        <f t="shared" si="5"/>
        <v>0</v>
      </c>
      <c r="O230" s="43"/>
      <c r="P230" s="43"/>
      <c r="Q230" s="43">
        <f t="shared" si="4"/>
        <v>0</v>
      </c>
      <c r="R230" s="43"/>
      <c r="S230" s="43"/>
      <c r="T230" s="43"/>
      <c r="U230" s="43"/>
      <c r="V230" s="43"/>
      <c r="W230" s="44"/>
    </row>
    <row r="231" ht="13.5" customHeight="1">
      <c r="A231" s="127">
        <v>225.0</v>
      </c>
      <c r="B231" s="285"/>
      <c r="C231" s="286"/>
      <c r="D231" s="286"/>
      <c r="E231" s="47"/>
      <c r="F231" s="284"/>
      <c r="G231" s="284"/>
      <c r="H231" s="284"/>
      <c r="I231" s="284"/>
      <c r="J231" s="43"/>
      <c r="K231" s="43"/>
      <c r="L231" s="43"/>
      <c r="M231" s="43"/>
      <c r="N231" s="43">
        <f t="shared" si="5"/>
        <v>0</v>
      </c>
      <c r="O231" s="43"/>
      <c r="P231" s="43"/>
      <c r="Q231" s="43">
        <f t="shared" si="4"/>
        <v>0</v>
      </c>
      <c r="R231" s="43"/>
      <c r="S231" s="43"/>
      <c r="T231" s="125"/>
      <c r="U231" s="43"/>
      <c r="V231" s="43"/>
      <c r="W231" s="44"/>
    </row>
    <row r="232" ht="13.5" customHeight="1">
      <c r="A232" s="127">
        <v>226.0</v>
      </c>
      <c r="B232" s="285"/>
      <c r="C232" s="286"/>
      <c r="D232" s="286"/>
      <c r="E232" s="47"/>
      <c r="F232" s="284"/>
      <c r="G232" s="284"/>
      <c r="H232" s="284"/>
      <c r="I232" s="284"/>
      <c r="J232" s="42"/>
      <c r="K232" s="43"/>
      <c r="L232" s="43"/>
      <c r="M232" s="43"/>
      <c r="N232" s="43">
        <f t="shared" si="5"/>
        <v>0</v>
      </c>
      <c r="O232" s="43"/>
      <c r="P232" s="43"/>
      <c r="Q232" s="43">
        <f t="shared" si="4"/>
        <v>0</v>
      </c>
      <c r="R232" s="43"/>
      <c r="S232" s="43"/>
      <c r="T232" s="43"/>
      <c r="U232" s="43"/>
      <c r="V232" s="43"/>
      <c r="W232" s="44"/>
    </row>
    <row r="233" ht="13.5" customHeight="1">
      <c r="A233" s="28">
        <v>227.0</v>
      </c>
      <c r="B233" s="285"/>
      <c r="C233" s="286"/>
      <c r="D233" s="286"/>
      <c r="E233" s="47"/>
      <c r="F233" s="284"/>
      <c r="G233" s="284"/>
      <c r="H233" s="284"/>
      <c r="I233" s="284"/>
      <c r="J233" s="43"/>
      <c r="K233" s="43"/>
      <c r="L233" s="43"/>
      <c r="M233" s="43"/>
      <c r="N233" s="43">
        <f t="shared" si="5"/>
        <v>0</v>
      </c>
      <c r="O233" s="43"/>
      <c r="P233" s="43"/>
      <c r="Q233" s="43">
        <f t="shared" si="4"/>
        <v>0</v>
      </c>
      <c r="R233" s="43"/>
      <c r="S233" s="43"/>
      <c r="T233" s="125"/>
      <c r="U233" s="43"/>
      <c r="V233" s="43"/>
      <c r="W233" s="44"/>
    </row>
    <row r="234" ht="13.5" customHeight="1">
      <c r="A234" s="127">
        <v>228.0</v>
      </c>
      <c r="B234" s="285"/>
      <c r="C234" s="286"/>
      <c r="D234" s="286"/>
      <c r="E234" s="47"/>
      <c r="F234" s="284"/>
      <c r="G234" s="284"/>
      <c r="H234" s="284"/>
      <c r="I234" s="284"/>
      <c r="J234" s="42"/>
      <c r="K234" s="43"/>
      <c r="L234" s="43"/>
      <c r="M234" s="43"/>
      <c r="N234" s="43">
        <f t="shared" si="5"/>
        <v>0</v>
      </c>
      <c r="O234" s="43"/>
      <c r="P234" s="43"/>
      <c r="Q234" s="43">
        <f t="shared" si="4"/>
        <v>0</v>
      </c>
      <c r="R234" s="43"/>
      <c r="S234" s="43"/>
      <c r="T234" s="43"/>
      <c r="U234" s="43"/>
      <c r="V234" s="43"/>
      <c r="W234" s="44"/>
    </row>
    <row r="235" ht="13.5" customHeight="1">
      <c r="A235" s="127">
        <v>229.0</v>
      </c>
      <c r="B235" s="285"/>
      <c r="C235" s="286"/>
      <c r="D235" s="286"/>
      <c r="E235" s="47"/>
      <c r="F235" s="284"/>
      <c r="G235" s="284"/>
      <c r="H235" s="284"/>
      <c r="I235" s="284"/>
      <c r="J235" s="43"/>
      <c r="K235" s="43"/>
      <c r="L235" s="43"/>
      <c r="M235" s="43"/>
      <c r="N235" s="43">
        <f t="shared" si="5"/>
        <v>0</v>
      </c>
      <c r="O235" s="43"/>
      <c r="P235" s="43"/>
      <c r="Q235" s="43">
        <f t="shared" si="4"/>
        <v>0</v>
      </c>
      <c r="R235" s="43"/>
      <c r="S235" s="43"/>
      <c r="T235" s="125"/>
      <c r="U235" s="43"/>
      <c r="V235" s="43"/>
      <c r="W235" s="44"/>
    </row>
    <row r="236" ht="13.5" customHeight="1">
      <c r="A236" s="127">
        <v>230.0</v>
      </c>
      <c r="B236" s="285"/>
      <c r="C236" s="286"/>
      <c r="D236" s="286"/>
      <c r="E236" s="47"/>
      <c r="F236" s="284"/>
      <c r="G236" s="284"/>
      <c r="H236" s="284"/>
      <c r="I236" s="284"/>
      <c r="J236" s="42"/>
      <c r="K236" s="43"/>
      <c r="L236" s="43"/>
      <c r="M236" s="43"/>
      <c r="N236" s="43">
        <f t="shared" si="5"/>
        <v>0</v>
      </c>
      <c r="O236" s="43"/>
      <c r="P236" s="43"/>
      <c r="Q236" s="43">
        <f t="shared" si="4"/>
        <v>0</v>
      </c>
      <c r="R236" s="43"/>
      <c r="S236" s="43"/>
      <c r="T236" s="43"/>
      <c r="U236" s="43"/>
      <c r="V236" s="43"/>
      <c r="W236" s="44"/>
    </row>
    <row r="237" ht="13.5" customHeight="1">
      <c r="A237" s="127">
        <v>231.0</v>
      </c>
      <c r="B237" s="285"/>
      <c r="C237" s="286"/>
      <c r="D237" s="286"/>
      <c r="E237" s="47"/>
      <c r="F237" s="284"/>
      <c r="G237" s="284"/>
      <c r="H237" s="284"/>
      <c r="I237" s="284"/>
      <c r="J237" s="43"/>
      <c r="K237" s="43"/>
      <c r="L237" s="43"/>
      <c r="M237" s="43"/>
      <c r="N237" s="43">
        <f t="shared" si="5"/>
        <v>0</v>
      </c>
      <c r="O237" s="43"/>
      <c r="P237" s="43"/>
      <c r="Q237" s="43">
        <f t="shared" si="4"/>
        <v>0</v>
      </c>
      <c r="R237" s="43"/>
      <c r="S237" s="43"/>
      <c r="T237" s="125"/>
      <c r="U237" s="43"/>
      <c r="V237" s="43"/>
      <c r="W237" s="44"/>
    </row>
    <row r="238" ht="13.5" customHeight="1">
      <c r="A238" s="127">
        <v>232.0</v>
      </c>
      <c r="B238" s="285"/>
      <c r="C238" s="286"/>
      <c r="D238" s="286"/>
      <c r="E238" s="47"/>
      <c r="F238" s="284"/>
      <c r="G238" s="284"/>
      <c r="H238" s="284"/>
      <c r="I238" s="284"/>
      <c r="J238" s="42"/>
      <c r="K238" s="43"/>
      <c r="L238" s="43"/>
      <c r="M238" s="43"/>
      <c r="N238" s="43">
        <f t="shared" si="5"/>
        <v>0</v>
      </c>
      <c r="O238" s="43"/>
      <c r="P238" s="43"/>
      <c r="Q238" s="43">
        <f t="shared" si="4"/>
        <v>0</v>
      </c>
      <c r="R238" s="43"/>
      <c r="S238" s="43"/>
      <c r="T238" s="43"/>
      <c r="U238" s="43"/>
      <c r="V238" s="43"/>
      <c r="W238" s="44"/>
    </row>
    <row r="239" ht="13.5" customHeight="1">
      <c r="A239" s="127">
        <v>233.0</v>
      </c>
      <c r="B239" s="285"/>
      <c r="C239" s="286"/>
      <c r="D239" s="286"/>
      <c r="E239" s="47"/>
      <c r="F239" s="284"/>
      <c r="G239" s="284"/>
      <c r="H239" s="284"/>
      <c r="I239" s="284"/>
      <c r="J239" s="43"/>
      <c r="K239" s="43"/>
      <c r="L239" s="43"/>
      <c r="M239" s="43"/>
      <c r="N239" s="43">
        <f t="shared" si="5"/>
        <v>0</v>
      </c>
      <c r="O239" s="43"/>
      <c r="P239" s="43"/>
      <c r="Q239" s="43">
        <f t="shared" si="4"/>
        <v>0</v>
      </c>
      <c r="R239" s="43"/>
      <c r="S239" s="43"/>
      <c r="T239" s="125"/>
      <c r="U239" s="43"/>
      <c r="V239" s="43"/>
      <c r="W239" s="44"/>
    </row>
    <row r="240" ht="13.5" customHeight="1">
      <c r="A240" s="127">
        <v>234.0</v>
      </c>
      <c r="B240" s="285"/>
      <c r="C240" s="286"/>
      <c r="D240" s="286"/>
      <c r="E240" s="47"/>
      <c r="F240" s="284"/>
      <c r="G240" s="284"/>
      <c r="H240" s="284"/>
      <c r="I240" s="284"/>
      <c r="J240" s="42"/>
      <c r="K240" s="43"/>
      <c r="L240" s="43"/>
      <c r="M240" s="43"/>
      <c r="N240" s="43">
        <f t="shared" si="5"/>
        <v>0</v>
      </c>
      <c r="O240" s="43"/>
      <c r="P240" s="43"/>
      <c r="Q240" s="43">
        <f t="shared" si="4"/>
        <v>0</v>
      </c>
      <c r="R240" s="43"/>
      <c r="S240" s="43"/>
      <c r="T240" s="43"/>
      <c r="U240" s="43"/>
      <c r="V240" s="43"/>
      <c r="W240" s="44"/>
    </row>
    <row r="241" ht="13.5" customHeight="1">
      <c r="A241" s="127">
        <v>235.0</v>
      </c>
      <c r="B241" s="285"/>
      <c r="C241" s="286"/>
      <c r="D241" s="286"/>
      <c r="E241" s="47"/>
      <c r="F241" s="284"/>
      <c r="G241" s="284"/>
      <c r="H241" s="284"/>
      <c r="I241" s="284"/>
      <c r="J241" s="43"/>
      <c r="K241" s="43"/>
      <c r="L241" s="43"/>
      <c r="M241" s="43"/>
      <c r="N241" s="43">
        <f t="shared" si="5"/>
        <v>0</v>
      </c>
      <c r="O241" s="43"/>
      <c r="P241" s="43"/>
      <c r="Q241" s="43">
        <f t="shared" si="4"/>
        <v>0</v>
      </c>
      <c r="R241" s="43"/>
      <c r="S241" s="43"/>
      <c r="T241" s="125"/>
      <c r="U241" s="43"/>
      <c r="V241" s="43"/>
      <c r="W241" s="44"/>
    </row>
    <row r="242" ht="13.5" customHeight="1">
      <c r="A242" s="127">
        <v>236.0</v>
      </c>
      <c r="B242" s="285"/>
      <c r="C242" s="286"/>
      <c r="D242" s="286"/>
      <c r="E242" s="47"/>
      <c r="F242" s="284"/>
      <c r="G242" s="284"/>
      <c r="H242" s="284"/>
      <c r="I242" s="284"/>
      <c r="J242" s="42"/>
      <c r="K242" s="43"/>
      <c r="L242" s="43"/>
      <c r="M242" s="43"/>
      <c r="N242" s="43">
        <f t="shared" si="5"/>
        <v>0</v>
      </c>
      <c r="O242" s="43"/>
      <c r="P242" s="43"/>
      <c r="Q242" s="43">
        <f t="shared" si="4"/>
        <v>0</v>
      </c>
      <c r="R242" s="43"/>
      <c r="S242" s="43"/>
      <c r="T242" s="43"/>
      <c r="U242" s="43"/>
      <c r="V242" s="43"/>
      <c r="W242" s="44"/>
    </row>
    <row r="243" ht="13.5" customHeight="1">
      <c r="A243" s="28">
        <v>237.0</v>
      </c>
      <c r="B243" s="285"/>
      <c r="C243" s="286"/>
      <c r="D243" s="286"/>
      <c r="E243" s="47"/>
      <c r="F243" s="284"/>
      <c r="G243" s="284"/>
      <c r="H243" s="284"/>
      <c r="I243" s="284"/>
      <c r="J243" s="43"/>
      <c r="K243" s="43"/>
      <c r="L243" s="43"/>
      <c r="M243" s="43"/>
      <c r="N243" s="43">
        <f t="shared" si="5"/>
        <v>0</v>
      </c>
      <c r="O243" s="43"/>
      <c r="P243" s="43"/>
      <c r="Q243" s="43">
        <f t="shared" si="4"/>
        <v>0</v>
      </c>
      <c r="R243" s="43"/>
      <c r="S243" s="43"/>
      <c r="T243" s="125"/>
      <c r="U243" s="43"/>
      <c r="V243" s="43"/>
      <c r="W243" s="44"/>
    </row>
    <row r="244" ht="13.5" customHeight="1">
      <c r="A244" s="127">
        <v>238.0</v>
      </c>
      <c r="B244" s="285"/>
      <c r="C244" s="286"/>
      <c r="D244" s="286"/>
      <c r="E244" s="47"/>
      <c r="F244" s="284"/>
      <c r="G244" s="284"/>
      <c r="H244" s="284"/>
      <c r="I244" s="284"/>
      <c r="J244" s="42"/>
      <c r="K244" s="43"/>
      <c r="L244" s="43"/>
      <c r="M244" s="43"/>
      <c r="N244" s="43">
        <f t="shared" si="5"/>
        <v>0</v>
      </c>
      <c r="O244" s="43"/>
      <c r="P244" s="43"/>
      <c r="Q244" s="43">
        <f t="shared" si="4"/>
        <v>0</v>
      </c>
      <c r="R244" s="43"/>
      <c r="S244" s="43"/>
      <c r="T244" s="43"/>
      <c r="U244" s="43"/>
      <c r="V244" s="43"/>
      <c r="W244" s="44"/>
    </row>
    <row r="245" ht="13.5" customHeight="1">
      <c r="A245" s="127">
        <v>239.0</v>
      </c>
      <c r="B245" s="285"/>
      <c r="C245" s="286"/>
      <c r="D245" s="286"/>
      <c r="E245" s="47"/>
      <c r="F245" s="284"/>
      <c r="G245" s="284"/>
      <c r="H245" s="284"/>
      <c r="I245" s="284"/>
      <c r="J245" s="43"/>
      <c r="K245" s="43"/>
      <c r="L245" s="43"/>
      <c r="M245" s="43"/>
      <c r="N245" s="43">
        <f t="shared" si="5"/>
        <v>0</v>
      </c>
      <c r="O245" s="43"/>
      <c r="P245" s="43"/>
      <c r="Q245" s="43">
        <f t="shared" si="4"/>
        <v>0</v>
      </c>
      <c r="R245" s="43"/>
      <c r="S245" s="43"/>
      <c r="T245" s="125"/>
      <c r="U245" s="43"/>
      <c r="V245" s="43"/>
      <c r="W245" s="44"/>
    </row>
    <row r="246" ht="13.5" customHeight="1">
      <c r="A246" s="127">
        <v>240.0</v>
      </c>
      <c r="B246" s="285"/>
      <c r="C246" s="286"/>
      <c r="D246" s="286"/>
      <c r="E246" s="47"/>
      <c r="F246" s="284"/>
      <c r="G246" s="284"/>
      <c r="H246" s="284"/>
      <c r="I246" s="284"/>
      <c r="J246" s="42"/>
      <c r="K246" s="43"/>
      <c r="L246" s="43"/>
      <c r="M246" s="43"/>
      <c r="N246" s="43">
        <f t="shared" si="5"/>
        <v>0</v>
      </c>
      <c r="O246" s="43"/>
      <c r="P246" s="43"/>
      <c r="Q246" s="43">
        <f t="shared" si="4"/>
        <v>0</v>
      </c>
      <c r="R246" s="43"/>
      <c r="S246" s="43"/>
      <c r="T246" s="43"/>
      <c r="U246" s="43"/>
      <c r="V246" s="43"/>
      <c r="W246" s="44"/>
    </row>
    <row r="247" ht="13.5" customHeight="1">
      <c r="A247" s="127">
        <v>241.0</v>
      </c>
      <c r="B247" s="285"/>
      <c r="C247" s="286"/>
      <c r="D247" s="286"/>
      <c r="E247" s="47"/>
      <c r="F247" s="284"/>
      <c r="G247" s="284"/>
      <c r="H247" s="284"/>
      <c r="I247" s="284"/>
      <c r="J247" s="43"/>
      <c r="K247" s="43"/>
      <c r="L247" s="43"/>
      <c r="M247" s="43"/>
      <c r="N247" s="43">
        <f t="shared" si="5"/>
        <v>0</v>
      </c>
      <c r="O247" s="43"/>
      <c r="P247" s="43"/>
      <c r="Q247" s="43">
        <f t="shared" si="4"/>
        <v>0</v>
      </c>
      <c r="R247" s="43"/>
      <c r="S247" s="43"/>
      <c r="T247" s="125"/>
      <c r="U247" s="43"/>
      <c r="V247" s="43"/>
      <c r="W247" s="44"/>
    </row>
    <row r="248" ht="13.5" customHeight="1">
      <c r="A248" s="127">
        <v>242.0</v>
      </c>
      <c r="B248" s="119"/>
      <c r="C248" s="119"/>
      <c r="D248" s="120"/>
      <c r="E248" s="121"/>
      <c r="F248" s="121"/>
      <c r="G248" s="121"/>
      <c r="H248" s="121"/>
      <c r="I248" s="122" t="s">
        <v>329</v>
      </c>
      <c r="J248" s="123">
        <f t="shared" ref="J248:Q248" si="6">SUM(J7:J156)</f>
        <v>3456</v>
      </c>
      <c r="K248" s="123">
        <f t="shared" si="6"/>
        <v>2723</v>
      </c>
      <c r="L248" s="123">
        <f t="shared" si="6"/>
        <v>44</v>
      </c>
      <c r="M248" s="123">
        <f t="shared" si="6"/>
        <v>282</v>
      </c>
      <c r="N248" s="123">
        <f t="shared" si="6"/>
        <v>326</v>
      </c>
      <c r="O248" s="123">
        <f t="shared" si="6"/>
        <v>856</v>
      </c>
      <c r="P248" s="123">
        <f t="shared" si="6"/>
        <v>435</v>
      </c>
      <c r="Q248" s="123">
        <f t="shared" si="6"/>
        <v>1617</v>
      </c>
      <c r="R248" s="124"/>
      <c r="S248" s="124"/>
      <c r="T248" s="125"/>
      <c r="U248" s="145" t="s">
        <v>330</v>
      </c>
      <c r="V248" s="5"/>
      <c r="W248" s="126">
        <f>COUNTIF(W7:W247,"YES")</f>
        <v>200</v>
      </c>
    </row>
    <row r="249" ht="13.5" customHeight="1"/>
    <row r="250" ht="13.5" customHeight="1"/>
    <row r="251" ht="13.5" customHeight="1"/>
    <row r="252" ht="13.5" customHeight="1"/>
    <row r="253" ht="13.5" customHeight="1">
      <c r="Y253" s="364" t="s">
        <v>116</v>
      </c>
    </row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</sheetData>
  <mergeCells count="30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248:V24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247">
      <formula1>"YES,NO"</formula1>
    </dataValidation>
    <dataValidation type="list" allowBlank="1" showErrorMessage="1" sqref="E248">
      <formula1>'Data Dont Use'!$A$8:$A$9</formula1>
    </dataValidation>
    <dataValidation type="list" allowBlank="1" showErrorMessage="1" sqref="G24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3.38"/>
    <col customWidth="1" min="3" max="3" width="15.38"/>
    <col customWidth="1" min="4" max="4" width="16.38"/>
    <col customWidth="1" min="5" max="5" width="15.0"/>
    <col customWidth="1" min="6" max="6" width="7.0"/>
    <col customWidth="1" min="7" max="7" width="10.63"/>
    <col customWidth="1" min="8" max="8" width="20.38"/>
    <col customWidth="1" min="9" max="9" width="15.0"/>
    <col customWidth="1" min="10" max="10" width="10.5"/>
    <col customWidth="1" min="11" max="11" width="9.13"/>
    <col customWidth="1" min="12" max="12" width="10.88"/>
    <col customWidth="1" min="13" max="13" width="12.13"/>
    <col customWidth="1" min="14" max="14" width="6.5"/>
    <col customWidth="1" min="15" max="16" width="5.75"/>
    <col customWidth="1" min="17" max="17" width="8.63"/>
    <col customWidth="1" min="18" max="18" width="6.13"/>
    <col customWidth="1" min="19" max="19" width="9.75"/>
    <col customWidth="1" min="20" max="20" width="8.63"/>
    <col customWidth="1" min="21" max="21" width="10.13"/>
    <col customWidth="1" min="22" max="22" width="15.8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497</v>
      </c>
      <c r="B1" s="2" t="s">
        <v>0</v>
      </c>
      <c r="C1" s="209"/>
      <c r="D1" s="209"/>
      <c r="E1" s="209"/>
      <c r="F1" s="209"/>
      <c r="G1" s="209"/>
      <c r="H1" s="209"/>
      <c r="I1" s="20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225" t="s">
        <v>4082</v>
      </c>
      <c r="D2" s="18"/>
      <c r="E2" s="18"/>
      <c r="F2" s="18"/>
      <c r="G2" s="18"/>
      <c r="H2" s="18"/>
      <c r="I2" s="5"/>
      <c r="J2" s="36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225" t="s">
        <v>4083</v>
      </c>
      <c r="D3" s="18"/>
      <c r="E3" s="18"/>
      <c r="F3" s="18"/>
      <c r="G3" s="18"/>
      <c r="H3" s="18"/>
      <c r="I3" s="5"/>
      <c r="J3" s="365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225"/>
      <c r="D4" s="18"/>
      <c r="E4" s="18"/>
      <c r="F4" s="18"/>
      <c r="G4" s="18"/>
      <c r="H4" s="18"/>
      <c r="I4" s="5"/>
      <c r="J4" s="365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217" t="s">
        <v>7</v>
      </c>
      <c r="F5" s="217" t="s">
        <v>8</v>
      </c>
      <c r="G5" s="217" t="s">
        <v>9</v>
      </c>
      <c r="H5" s="217" t="s">
        <v>10</v>
      </c>
      <c r="I5" s="218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66" t="s">
        <v>4084</v>
      </c>
      <c r="C7" s="367" t="s">
        <v>4085</v>
      </c>
      <c r="D7" s="367" t="s">
        <v>4086</v>
      </c>
      <c r="E7" s="368" t="s">
        <v>338</v>
      </c>
      <c r="F7" s="369">
        <v>46.0</v>
      </c>
      <c r="G7" s="370" t="s">
        <v>339</v>
      </c>
      <c r="H7" s="370" t="s">
        <v>1954</v>
      </c>
      <c r="I7" s="370">
        <v>9.279846204E9</v>
      </c>
      <c r="J7" s="42"/>
      <c r="K7" s="43"/>
      <c r="L7" s="43"/>
      <c r="M7" s="43"/>
      <c r="N7" s="43">
        <f t="shared" ref="N7:N47" si="1">SUM(L7,M7)</f>
        <v>0</v>
      </c>
      <c r="O7" s="43"/>
      <c r="P7" s="43"/>
      <c r="Q7" s="43">
        <f t="shared" ref="Q7:Q110" si="2">SUM(N7,O7,P7)</f>
        <v>0</v>
      </c>
      <c r="R7" s="43"/>
      <c r="S7" s="43"/>
      <c r="T7" s="43"/>
      <c r="U7" s="43"/>
      <c r="V7" s="43"/>
      <c r="W7" s="44"/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1" t="s">
        <v>4087</v>
      </c>
      <c r="C8" s="371" t="s">
        <v>4088</v>
      </c>
      <c r="D8" s="371" t="s">
        <v>4089</v>
      </c>
      <c r="E8" s="293" t="s">
        <v>338</v>
      </c>
      <c r="F8" s="294">
        <v>38.0</v>
      </c>
      <c r="G8" s="294" t="s">
        <v>476</v>
      </c>
      <c r="H8" s="294" t="s">
        <v>435</v>
      </c>
      <c r="I8" s="294">
        <v>9.392981655E9</v>
      </c>
      <c r="J8" s="54">
        <v>29.0</v>
      </c>
      <c r="K8" s="55">
        <v>23.0</v>
      </c>
      <c r="L8" s="55">
        <v>0.0</v>
      </c>
      <c r="M8" s="55">
        <v>1.0</v>
      </c>
      <c r="N8" s="43">
        <f t="shared" si="1"/>
        <v>1</v>
      </c>
      <c r="O8" s="55">
        <v>3.0</v>
      </c>
      <c r="P8" s="55">
        <v>5.0</v>
      </c>
      <c r="Q8" s="43">
        <f t="shared" si="2"/>
        <v>9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1" t="s">
        <v>4090</v>
      </c>
      <c r="C9" s="371" t="s">
        <v>4091</v>
      </c>
      <c r="D9" s="371" t="s">
        <v>4092</v>
      </c>
      <c r="E9" s="293" t="s">
        <v>338</v>
      </c>
      <c r="F9" s="294">
        <v>33.0</v>
      </c>
      <c r="G9" s="294" t="s">
        <v>476</v>
      </c>
      <c r="H9" s="294" t="s">
        <v>646</v>
      </c>
      <c r="I9" s="294">
        <v>9.954021452E9</v>
      </c>
      <c r="J9" s="42"/>
      <c r="K9" s="43"/>
      <c r="L9" s="43"/>
      <c r="M9" s="43"/>
      <c r="N9" s="43">
        <f t="shared" si="1"/>
        <v>0</v>
      </c>
      <c r="O9" s="43"/>
      <c r="P9" s="43"/>
      <c r="Q9" s="43">
        <f t="shared" si="2"/>
        <v>0</v>
      </c>
      <c r="R9" s="43"/>
      <c r="S9" s="43"/>
      <c r="T9" s="43"/>
      <c r="U9" s="43"/>
      <c r="V9" s="43"/>
      <c r="W9" s="44"/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1" t="s">
        <v>4093</v>
      </c>
      <c r="C10" s="371" t="s">
        <v>4094</v>
      </c>
      <c r="D10" s="371" t="s">
        <v>4095</v>
      </c>
      <c r="E10" s="293" t="s">
        <v>338</v>
      </c>
      <c r="F10" s="294">
        <v>29.0</v>
      </c>
      <c r="G10" s="294" t="s">
        <v>476</v>
      </c>
      <c r="H10" s="294" t="s">
        <v>4096</v>
      </c>
      <c r="I10" s="294">
        <v>9.66690758E9</v>
      </c>
      <c r="J10" s="42"/>
      <c r="K10" s="43"/>
      <c r="L10" s="43"/>
      <c r="M10" s="43"/>
      <c r="N10" s="43">
        <f t="shared" si="1"/>
        <v>0</v>
      </c>
      <c r="O10" s="43"/>
      <c r="P10" s="43"/>
      <c r="Q10" s="43">
        <f t="shared" si="2"/>
        <v>0</v>
      </c>
      <c r="R10" s="43"/>
      <c r="S10" s="43"/>
      <c r="T10" s="43"/>
      <c r="U10" s="43"/>
      <c r="V10" s="43"/>
      <c r="W10" s="44"/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1" t="s">
        <v>4097</v>
      </c>
      <c r="C11" s="371" t="s">
        <v>4098</v>
      </c>
      <c r="D11" s="371" t="s">
        <v>3091</v>
      </c>
      <c r="E11" s="293" t="s">
        <v>338</v>
      </c>
      <c r="F11" s="294">
        <v>54.0</v>
      </c>
      <c r="G11" s="294" t="s">
        <v>584</v>
      </c>
      <c r="H11" s="294" t="s">
        <v>4099</v>
      </c>
      <c r="I11" s="294">
        <v>9.275913012E9</v>
      </c>
      <c r="J11" s="54">
        <v>14.0</v>
      </c>
      <c r="K11" s="55">
        <v>14.0</v>
      </c>
      <c r="L11" s="55">
        <v>0.0</v>
      </c>
      <c r="M11" s="55">
        <v>0.0</v>
      </c>
      <c r="N11" s="43">
        <f t="shared" si="1"/>
        <v>0</v>
      </c>
      <c r="O11" s="55">
        <v>18.0</v>
      </c>
      <c r="P11" s="55">
        <v>0.0</v>
      </c>
      <c r="Q11" s="43">
        <f t="shared" si="2"/>
        <v>18</v>
      </c>
      <c r="R11" s="43"/>
      <c r="S11" s="55" t="s">
        <v>237</v>
      </c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1" t="s">
        <v>4100</v>
      </c>
      <c r="C12" s="371" t="s">
        <v>4101</v>
      </c>
      <c r="D12" s="371" t="s">
        <v>4102</v>
      </c>
      <c r="E12" s="293" t="s">
        <v>338</v>
      </c>
      <c r="F12" s="294">
        <v>42.0</v>
      </c>
      <c r="G12" s="294" t="s">
        <v>584</v>
      </c>
      <c r="H12" s="294" t="s">
        <v>4103</v>
      </c>
      <c r="I12" s="294">
        <v>9.66417177E9</v>
      </c>
      <c r="J12" s="54">
        <v>25.0</v>
      </c>
      <c r="K12" s="55">
        <v>20.0</v>
      </c>
      <c r="L12" s="55">
        <v>0.0</v>
      </c>
      <c r="M12" s="55">
        <v>4.0</v>
      </c>
      <c r="N12" s="43">
        <f t="shared" si="1"/>
        <v>4</v>
      </c>
      <c r="O12" s="55">
        <v>5.0</v>
      </c>
      <c r="P12" s="55">
        <v>1.0</v>
      </c>
      <c r="Q12" s="43">
        <f t="shared" si="2"/>
        <v>10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84</v>
      </c>
    </row>
    <row r="13" ht="13.5" customHeight="1">
      <c r="A13" s="28">
        <v>7.0</v>
      </c>
      <c r="B13" s="371" t="s">
        <v>4104</v>
      </c>
      <c r="C13" s="371" t="s">
        <v>4105</v>
      </c>
      <c r="D13" s="371" t="s">
        <v>4106</v>
      </c>
      <c r="E13" s="293" t="s">
        <v>338</v>
      </c>
      <c r="F13" s="294">
        <v>28.0</v>
      </c>
      <c r="G13" s="294" t="s">
        <v>1690</v>
      </c>
      <c r="H13" s="294" t="s">
        <v>646</v>
      </c>
      <c r="I13" s="294">
        <v>9.684992391E9</v>
      </c>
      <c r="J13" s="54">
        <v>31.0</v>
      </c>
      <c r="K13" s="55">
        <v>28.0</v>
      </c>
      <c r="L13" s="55">
        <v>0.0</v>
      </c>
      <c r="M13" s="55">
        <v>0.0</v>
      </c>
      <c r="N13" s="43">
        <f t="shared" si="1"/>
        <v>0</v>
      </c>
      <c r="O13" s="55">
        <v>1.0</v>
      </c>
      <c r="P13" s="55">
        <v>3.0</v>
      </c>
      <c r="Q13" s="43">
        <f t="shared" si="2"/>
        <v>4</v>
      </c>
      <c r="R13" s="43"/>
      <c r="S13" s="55" t="s">
        <v>277</v>
      </c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371" t="s">
        <v>4104</v>
      </c>
      <c r="C14" s="371" t="s">
        <v>4107</v>
      </c>
      <c r="D14" s="371" t="s">
        <v>4108</v>
      </c>
      <c r="E14" s="293" t="s">
        <v>338</v>
      </c>
      <c r="F14" s="294">
        <v>36.0</v>
      </c>
      <c r="G14" s="294" t="s">
        <v>584</v>
      </c>
      <c r="H14" s="294" t="s">
        <v>4109</v>
      </c>
      <c r="I14" s="294">
        <v>9.68499239E9</v>
      </c>
      <c r="J14" s="54">
        <v>25.0</v>
      </c>
      <c r="K14" s="55" t="s">
        <v>116</v>
      </c>
      <c r="L14" s="55">
        <v>0.0</v>
      </c>
      <c r="M14" s="55">
        <v>0.0</v>
      </c>
      <c r="N14" s="43">
        <f t="shared" si="1"/>
        <v>0</v>
      </c>
      <c r="O14" s="55">
        <v>7.0</v>
      </c>
      <c r="P14" s="55">
        <v>5.0</v>
      </c>
      <c r="Q14" s="43">
        <f t="shared" si="2"/>
        <v>12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1" t="s">
        <v>4110</v>
      </c>
      <c r="C15" s="371" t="s">
        <v>658</v>
      </c>
      <c r="D15" s="371" t="s">
        <v>725</v>
      </c>
      <c r="E15" s="293" t="s">
        <v>338</v>
      </c>
      <c r="F15" s="294">
        <v>38.0</v>
      </c>
      <c r="G15" s="294" t="s">
        <v>476</v>
      </c>
      <c r="H15" s="294" t="s">
        <v>646</v>
      </c>
      <c r="I15" s="294">
        <v>9.999965964E9</v>
      </c>
      <c r="J15" s="54">
        <v>22.0</v>
      </c>
      <c r="K15" s="55">
        <v>11.0</v>
      </c>
      <c r="L15" s="55">
        <v>0.0</v>
      </c>
      <c r="M15" s="55">
        <v>0.0</v>
      </c>
      <c r="N15" s="43">
        <f t="shared" si="1"/>
        <v>0</v>
      </c>
      <c r="O15" s="55">
        <v>6.0</v>
      </c>
      <c r="P15" s="55">
        <v>11.0</v>
      </c>
      <c r="Q15" s="43">
        <f t="shared" si="2"/>
        <v>17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1</v>
      </c>
      <c r="AC15" s="62"/>
      <c r="AD15" s="62"/>
    </row>
    <row r="16" ht="13.5" customHeight="1">
      <c r="A16" s="28">
        <v>10.0</v>
      </c>
      <c r="B16" s="371" t="s">
        <v>4111</v>
      </c>
      <c r="C16" s="371" t="s">
        <v>4112</v>
      </c>
      <c r="D16" s="371" t="s">
        <v>4113</v>
      </c>
      <c r="E16" s="293" t="s">
        <v>338</v>
      </c>
      <c r="F16" s="294">
        <v>42.0</v>
      </c>
      <c r="G16" s="294" t="s">
        <v>476</v>
      </c>
      <c r="H16" s="294" t="s">
        <v>4103</v>
      </c>
      <c r="I16" s="294">
        <v>9.157541444E9</v>
      </c>
      <c r="J16" s="54">
        <v>25.0</v>
      </c>
      <c r="K16" s="55">
        <v>21.0</v>
      </c>
      <c r="L16" s="55">
        <v>0.0</v>
      </c>
      <c r="M16" s="55">
        <v>1.0</v>
      </c>
      <c r="N16" s="43">
        <f t="shared" si="1"/>
        <v>1</v>
      </c>
      <c r="O16" s="55">
        <v>7.0</v>
      </c>
      <c r="P16" s="55">
        <v>3.0</v>
      </c>
      <c r="Q16" s="43">
        <f t="shared" si="2"/>
        <v>11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371" t="s">
        <v>4114</v>
      </c>
      <c r="C17" s="371" t="s">
        <v>4115</v>
      </c>
      <c r="D17" s="371" t="s">
        <v>760</v>
      </c>
      <c r="E17" s="293" t="s">
        <v>338</v>
      </c>
      <c r="F17" s="294">
        <v>27.0</v>
      </c>
      <c r="G17" s="294" t="s">
        <v>476</v>
      </c>
      <c r="H17" s="294" t="s">
        <v>4103</v>
      </c>
      <c r="I17" s="294">
        <v>9.951636074E9</v>
      </c>
      <c r="J17" s="54">
        <v>30.0</v>
      </c>
      <c r="K17" s="55">
        <v>23.0</v>
      </c>
      <c r="L17" s="55">
        <v>0.0</v>
      </c>
      <c r="M17" s="55">
        <v>0.0</v>
      </c>
      <c r="N17" s="43">
        <f t="shared" si="1"/>
        <v>0</v>
      </c>
      <c r="O17" s="55">
        <v>2.0</v>
      </c>
      <c r="P17" s="55">
        <v>8.0</v>
      </c>
      <c r="Q17" s="43">
        <f t="shared" si="2"/>
        <v>10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1" t="s">
        <v>4116</v>
      </c>
      <c r="C18" s="371" t="s">
        <v>4117</v>
      </c>
      <c r="D18" s="371" t="s">
        <v>4118</v>
      </c>
      <c r="E18" s="293" t="s">
        <v>338</v>
      </c>
      <c r="F18" s="294">
        <v>39.0</v>
      </c>
      <c r="G18" s="294" t="s">
        <v>584</v>
      </c>
      <c r="H18" s="294" t="s">
        <v>4109</v>
      </c>
      <c r="I18" s="294">
        <v>9.932783639E9</v>
      </c>
      <c r="J18" s="42"/>
      <c r="K18" s="43"/>
      <c r="L18" s="43"/>
      <c r="M18" s="43"/>
      <c r="N18" s="43">
        <f t="shared" si="1"/>
        <v>0</v>
      </c>
      <c r="O18" s="43"/>
      <c r="P18" s="43"/>
      <c r="Q18" s="43">
        <f t="shared" si="2"/>
        <v>0</v>
      </c>
      <c r="R18" s="43"/>
      <c r="S18" s="43"/>
      <c r="T18" s="43"/>
      <c r="U18" s="43"/>
      <c r="V18" s="43"/>
      <c r="W18" s="44"/>
      <c r="Z18" s="34"/>
      <c r="AA18" s="61" t="s">
        <v>88</v>
      </c>
      <c r="AB18" s="66">
        <f>COUNTIF(S7:S157, "RPDU")</f>
        <v>7</v>
      </c>
      <c r="AC18" s="34"/>
      <c r="AD18" s="34"/>
    </row>
    <row r="19" ht="13.5" customHeight="1">
      <c r="A19" s="28">
        <v>13.0</v>
      </c>
      <c r="B19" s="371" t="s">
        <v>4119</v>
      </c>
      <c r="C19" s="371" t="s">
        <v>4120</v>
      </c>
      <c r="D19" s="371" t="s">
        <v>4121</v>
      </c>
      <c r="E19" s="293" t="s">
        <v>338</v>
      </c>
      <c r="F19" s="294">
        <v>30.0</v>
      </c>
      <c r="G19" s="294" t="s">
        <v>584</v>
      </c>
      <c r="H19" s="294" t="s">
        <v>435</v>
      </c>
      <c r="I19" s="294">
        <v>9.351610012E9</v>
      </c>
      <c r="J19" s="54">
        <v>31.0</v>
      </c>
      <c r="K19" s="55">
        <v>30.0</v>
      </c>
      <c r="L19" s="55">
        <v>0.0</v>
      </c>
      <c r="M19" s="55">
        <v>0.0</v>
      </c>
      <c r="N19" s="43">
        <f t="shared" si="1"/>
        <v>0</v>
      </c>
      <c r="O19" s="55">
        <v>1.0</v>
      </c>
      <c r="P19" s="55">
        <v>1.0</v>
      </c>
      <c r="Q19" s="43">
        <f t="shared" si="2"/>
        <v>2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1" t="s">
        <v>4122</v>
      </c>
      <c r="C20" s="371" t="s">
        <v>4123</v>
      </c>
      <c r="D20" s="371" t="s">
        <v>3228</v>
      </c>
      <c r="E20" s="293" t="s">
        <v>338</v>
      </c>
      <c r="F20" s="294">
        <v>42.0</v>
      </c>
      <c r="G20" s="294" t="s">
        <v>476</v>
      </c>
      <c r="H20" s="294" t="s">
        <v>435</v>
      </c>
      <c r="I20" s="294">
        <v>9.321638382E9</v>
      </c>
      <c r="J20" s="54">
        <v>28.0</v>
      </c>
      <c r="K20" s="55">
        <v>14.0</v>
      </c>
      <c r="L20" s="55">
        <v>8.0</v>
      </c>
      <c r="M20" s="55">
        <v>3.0</v>
      </c>
      <c r="N20" s="43">
        <f t="shared" si="1"/>
        <v>11</v>
      </c>
      <c r="O20" s="55">
        <v>4.0</v>
      </c>
      <c r="P20" s="55">
        <v>3.0</v>
      </c>
      <c r="Q20" s="43">
        <f t="shared" si="2"/>
        <v>18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3</v>
      </c>
      <c r="AC20" s="34"/>
      <c r="AD20" s="34"/>
    </row>
    <row r="21" ht="13.5" customHeight="1">
      <c r="A21" s="28">
        <v>15.0</v>
      </c>
      <c r="B21" s="371" t="s">
        <v>4124</v>
      </c>
      <c r="C21" s="371" t="s">
        <v>4125</v>
      </c>
      <c r="D21" s="371" t="s">
        <v>4126</v>
      </c>
      <c r="E21" s="293" t="s">
        <v>338</v>
      </c>
      <c r="F21" s="294">
        <v>33.0</v>
      </c>
      <c r="G21" s="294" t="s">
        <v>584</v>
      </c>
      <c r="H21" s="294" t="s">
        <v>663</v>
      </c>
      <c r="I21" s="294">
        <v>9.171457324E9</v>
      </c>
      <c r="J21" s="54">
        <v>30.0</v>
      </c>
      <c r="K21" s="55">
        <v>20.0</v>
      </c>
      <c r="L21" s="55">
        <v>0.0</v>
      </c>
      <c r="M21" s="55">
        <v>4.0</v>
      </c>
      <c r="N21" s="43">
        <f t="shared" si="1"/>
        <v>4</v>
      </c>
      <c r="O21" s="55">
        <v>2.0</v>
      </c>
      <c r="P21" s="55">
        <v>6.0</v>
      </c>
      <c r="Q21" s="43">
        <f t="shared" si="2"/>
        <v>12</v>
      </c>
      <c r="R21" s="43"/>
      <c r="S21" s="43"/>
      <c r="T21" s="55" t="s">
        <v>105</v>
      </c>
      <c r="U21" s="43"/>
      <c r="V21" s="55" t="s">
        <v>4127</v>
      </c>
      <c r="W21" s="44"/>
      <c r="Z21" s="34"/>
      <c r="AA21" s="61" t="s">
        <v>101</v>
      </c>
      <c r="AB21" s="66">
        <f>COUNTIF(U7:U157, "JC")</f>
        <v>3</v>
      </c>
      <c r="AC21" s="34"/>
      <c r="AD21" s="34"/>
    </row>
    <row r="22" ht="13.5" customHeight="1">
      <c r="A22" s="28">
        <v>16.0</v>
      </c>
      <c r="B22" s="371" t="s">
        <v>4128</v>
      </c>
      <c r="C22" s="371" t="s">
        <v>4129</v>
      </c>
      <c r="D22" s="371" t="s">
        <v>3255</v>
      </c>
      <c r="E22" s="293" t="s">
        <v>338</v>
      </c>
      <c r="F22" s="294">
        <v>58.0</v>
      </c>
      <c r="G22" s="294" t="s">
        <v>476</v>
      </c>
      <c r="H22" s="294" t="s">
        <v>663</v>
      </c>
      <c r="I22" s="372" t="s">
        <v>4130</v>
      </c>
      <c r="J22" s="54">
        <v>17.0</v>
      </c>
      <c r="K22" s="55">
        <v>15.0</v>
      </c>
      <c r="L22" s="55">
        <v>0.0</v>
      </c>
      <c r="M22" s="55">
        <v>2.0</v>
      </c>
      <c r="N22" s="43">
        <f t="shared" si="1"/>
        <v>2</v>
      </c>
      <c r="O22" s="55">
        <v>15.0</v>
      </c>
      <c r="P22" s="55">
        <v>0.0</v>
      </c>
      <c r="Q22" s="43">
        <f t="shared" si="2"/>
        <v>17</v>
      </c>
      <c r="R22" s="43"/>
      <c r="S22" s="55" t="s">
        <v>88</v>
      </c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2</v>
      </c>
      <c r="AC22" s="62"/>
      <c r="AD22" s="62"/>
    </row>
    <row r="23" ht="13.5" customHeight="1">
      <c r="A23" s="28">
        <v>17.0</v>
      </c>
      <c r="B23" s="371" t="s">
        <v>3260</v>
      </c>
      <c r="C23" s="371" t="s">
        <v>4131</v>
      </c>
      <c r="D23" s="371" t="s">
        <v>4132</v>
      </c>
      <c r="E23" s="293" t="s">
        <v>338</v>
      </c>
      <c r="F23" s="294">
        <v>30.0</v>
      </c>
      <c r="G23" s="294" t="s">
        <v>476</v>
      </c>
      <c r="H23" s="294" t="s">
        <v>435</v>
      </c>
      <c r="I23" s="294">
        <v>9.605311103E9</v>
      </c>
      <c r="J23" s="54">
        <v>28.0</v>
      </c>
      <c r="K23" s="55">
        <v>28.0</v>
      </c>
      <c r="L23" s="55">
        <v>0.0</v>
      </c>
      <c r="M23" s="55">
        <v>0.0</v>
      </c>
      <c r="N23" s="43">
        <f t="shared" si="1"/>
        <v>0</v>
      </c>
      <c r="O23" s="55">
        <v>4.0</v>
      </c>
      <c r="P23" s="55">
        <v>0.0</v>
      </c>
      <c r="Q23" s="43">
        <f t="shared" si="2"/>
        <v>4</v>
      </c>
      <c r="R23" s="43"/>
      <c r="S23" s="43"/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11</v>
      </c>
      <c r="AC23" s="34"/>
      <c r="AD23" s="34"/>
    </row>
    <row r="24" ht="13.5" customHeight="1">
      <c r="A24" s="28">
        <v>18.0</v>
      </c>
      <c r="B24" s="371" t="s">
        <v>4133</v>
      </c>
      <c r="C24" s="371" t="s">
        <v>4134</v>
      </c>
      <c r="D24" s="371" t="s">
        <v>588</v>
      </c>
      <c r="E24" s="293" t="s">
        <v>338</v>
      </c>
      <c r="F24" s="294">
        <v>47.0</v>
      </c>
      <c r="G24" s="294" t="s">
        <v>476</v>
      </c>
      <c r="H24" s="294" t="s">
        <v>646</v>
      </c>
      <c r="I24" s="294">
        <v>9.162592877E9</v>
      </c>
      <c r="J24" s="54">
        <v>19.0</v>
      </c>
      <c r="K24" s="55">
        <v>11.0</v>
      </c>
      <c r="L24" s="55">
        <v>0.0</v>
      </c>
      <c r="M24" s="55">
        <v>0.0</v>
      </c>
      <c r="N24" s="43">
        <f t="shared" si="1"/>
        <v>0</v>
      </c>
      <c r="O24" s="55">
        <v>13.0</v>
      </c>
      <c r="P24" s="55">
        <v>8.0</v>
      </c>
      <c r="Q24" s="43">
        <f t="shared" si="2"/>
        <v>21</v>
      </c>
      <c r="R24" s="43"/>
      <c r="S24" s="43"/>
      <c r="T24" s="43"/>
      <c r="U24" s="55" t="s">
        <v>105</v>
      </c>
      <c r="V24" s="55" t="s">
        <v>4135</v>
      </c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371" t="s">
        <v>4136</v>
      </c>
      <c r="C25" s="371" t="s">
        <v>4137</v>
      </c>
      <c r="D25" s="371" t="s">
        <v>4138</v>
      </c>
      <c r="E25" s="293" t="s">
        <v>338</v>
      </c>
      <c r="F25" s="294">
        <v>57.0</v>
      </c>
      <c r="G25" s="294" t="s">
        <v>584</v>
      </c>
      <c r="H25" s="294" t="s">
        <v>435</v>
      </c>
      <c r="I25" s="294">
        <v>9.513743645E9</v>
      </c>
      <c r="J25" s="54">
        <v>23.0</v>
      </c>
      <c r="K25" s="55">
        <v>19.0</v>
      </c>
      <c r="L25" s="55">
        <v>0.0</v>
      </c>
      <c r="M25" s="55">
        <v>0.0</v>
      </c>
      <c r="N25" s="43">
        <f t="shared" si="1"/>
        <v>0</v>
      </c>
      <c r="O25" s="55">
        <v>9.0</v>
      </c>
      <c r="P25" s="55">
        <v>4.0</v>
      </c>
      <c r="Q25" s="43">
        <f t="shared" si="2"/>
        <v>13</v>
      </c>
      <c r="R25" s="43"/>
      <c r="S25" s="55" t="s">
        <v>88</v>
      </c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371" t="s">
        <v>4139</v>
      </c>
      <c r="C26" s="371" t="s">
        <v>4140</v>
      </c>
      <c r="D26" s="371" t="s">
        <v>4141</v>
      </c>
      <c r="E26" s="293" t="s">
        <v>338</v>
      </c>
      <c r="F26" s="294">
        <v>27.0</v>
      </c>
      <c r="G26" s="294" t="s">
        <v>476</v>
      </c>
      <c r="H26" s="294" t="s">
        <v>435</v>
      </c>
      <c r="I26" s="294">
        <v>9.92578881E9</v>
      </c>
      <c r="J26" s="54">
        <v>29.0</v>
      </c>
      <c r="K26" s="55">
        <v>29.0</v>
      </c>
      <c r="L26" s="55">
        <v>0.0</v>
      </c>
      <c r="M26" s="55">
        <v>0.0</v>
      </c>
      <c r="N26" s="43">
        <f t="shared" si="1"/>
        <v>0</v>
      </c>
      <c r="O26" s="55">
        <v>1.0</v>
      </c>
      <c r="P26" s="55">
        <v>0.0</v>
      </c>
      <c r="Q26" s="43">
        <f t="shared" si="2"/>
        <v>1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371" t="s">
        <v>4142</v>
      </c>
      <c r="C27" s="371" t="s">
        <v>4143</v>
      </c>
      <c r="D27" s="371" t="s">
        <v>4144</v>
      </c>
      <c r="E27" s="293" t="s">
        <v>338</v>
      </c>
      <c r="F27" s="294">
        <v>30.0</v>
      </c>
      <c r="G27" s="294" t="s">
        <v>476</v>
      </c>
      <c r="H27" s="294" t="s">
        <v>435</v>
      </c>
      <c r="I27" s="294">
        <v>9.352624565E9</v>
      </c>
      <c r="J27" s="54">
        <v>28.0</v>
      </c>
      <c r="K27" s="55">
        <v>23.0</v>
      </c>
      <c r="L27" s="55">
        <v>0.0</v>
      </c>
      <c r="M27" s="55">
        <v>5.0</v>
      </c>
      <c r="N27" s="43">
        <f t="shared" si="1"/>
        <v>5</v>
      </c>
      <c r="O27" s="55">
        <v>4.0</v>
      </c>
      <c r="P27" s="55">
        <v>1.0</v>
      </c>
      <c r="Q27" s="43">
        <f t="shared" si="2"/>
        <v>10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371" t="s">
        <v>4145</v>
      </c>
      <c r="C28" s="371" t="s">
        <v>4146</v>
      </c>
      <c r="D28" s="371" t="s">
        <v>4147</v>
      </c>
      <c r="E28" s="293" t="s">
        <v>338</v>
      </c>
      <c r="F28" s="294">
        <v>47.0</v>
      </c>
      <c r="G28" s="294" t="s">
        <v>476</v>
      </c>
      <c r="H28" s="294" t="s">
        <v>646</v>
      </c>
      <c r="I28" s="294">
        <v>9.208801191E9</v>
      </c>
      <c r="J28" s="54">
        <v>31.0</v>
      </c>
      <c r="K28" s="55">
        <v>27.0</v>
      </c>
      <c r="L28" s="55">
        <v>3.0</v>
      </c>
      <c r="M28" s="55">
        <v>1.0</v>
      </c>
      <c r="N28" s="43">
        <f t="shared" si="1"/>
        <v>4</v>
      </c>
      <c r="O28" s="55">
        <v>1.0</v>
      </c>
      <c r="P28" s="55">
        <v>0.0</v>
      </c>
      <c r="Q28" s="43">
        <f t="shared" si="2"/>
        <v>5</v>
      </c>
      <c r="R28" s="43"/>
      <c r="S28" s="43"/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371" t="s">
        <v>4148</v>
      </c>
      <c r="C29" s="371" t="s">
        <v>4149</v>
      </c>
      <c r="D29" s="371" t="s">
        <v>4150</v>
      </c>
      <c r="E29" s="293" t="s">
        <v>338</v>
      </c>
      <c r="F29" s="294">
        <v>37.0</v>
      </c>
      <c r="G29" s="294" t="s">
        <v>476</v>
      </c>
      <c r="H29" s="294" t="s">
        <v>663</v>
      </c>
      <c r="I29" s="294">
        <v>9.057121518E9</v>
      </c>
      <c r="J29" s="54">
        <v>28.0</v>
      </c>
      <c r="K29" s="55">
        <v>24.0</v>
      </c>
      <c r="L29" s="55">
        <v>0.0</v>
      </c>
      <c r="M29" s="55">
        <v>0.0</v>
      </c>
      <c r="N29" s="43">
        <f t="shared" si="1"/>
        <v>0</v>
      </c>
      <c r="O29" s="55">
        <v>4.0</v>
      </c>
      <c r="P29" s="55">
        <v>4.0</v>
      </c>
      <c r="Q29" s="43">
        <f t="shared" si="2"/>
        <v>8</v>
      </c>
      <c r="R29" s="43"/>
      <c r="S29" s="43"/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371" t="s">
        <v>4151</v>
      </c>
      <c r="C30" s="371" t="s">
        <v>4152</v>
      </c>
      <c r="D30" s="371" t="s">
        <v>774</v>
      </c>
      <c r="E30" s="293" t="s">
        <v>338</v>
      </c>
      <c r="F30" s="294">
        <v>34.0</v>
      </c>
      <c r="G30" s="294" t="s">
        <v>584</v>
      </c>
      <c r="H30" s="294" t="s">
        <v>435</v>
      </c>
      <c r="I30" s="294">
        <v>9.605311109E9</v>
      </c>
      <c r="J30" s="42"/>
      <c r="K30" s="43"/>
      <c r="L30" s="43"/>
      <c r="M30" s="43"/>
      <c r="N30" s="43">
        <f t="shared" si="1"/>
        <v>0</v>
      </c>
      <c r="O30" s="43"/>
      <c r="P30" s="43"/>
      <c r="Q30" s="43">
        <f t="shared" si="2"/>
        <v>0</v>
      </c>
      <c r="R30" s="43"/>
      <c r="S30" s="43"/>
      <c r="T30" s="43"/>
      <c r="U30" s="43"/>
      <c r="V30" s="43"/>
      <c r="W30" s="44"/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371" t="s">
        <v>4153</v>
      </c>
      <c r="C31" s="371" t="s">
        <v>4154</v>
      </c>
      <c r="D31" s="371" t="s">
        <v>4155</v>
      </c>
      <c r="E31" s="293" t="s">
        <v>338</v>
      </c>
      <c r="F31" s="294">
        <v>37.0</v>
      </c>
      <c r="G31" s="294" t="s">
        <v>584</v>
      </c>
      <c r="H31" s="294" t="s">
        <v>646</v>
      </c>
      <c r="I31" s="294">
        <v>9.957505155E9</v>
      </c>
      <c r="J31" s="54">
        <v>28.0</v>
      </c>
      <c r="K31" s="55">
        <v>24.0</v>
      </c>
      <c r="L31" s="55">
        <v>0.0</v>
      </c>
      <c r="M31" s="55">
        <v>0.0</v>
      </c>
      <c r="N31" s="43">
        <f t="shared" si="1"/>
        <v>0</v>
      </c>
      <c r="O31" s="55">
        <v>4.0</v>
      </c>
      <c r="P31" s="55">
        <v>4.0</v>
      </c>
      <c r="Q31" s="43">
        <f t="shared" si="2"/>
        <v>8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371" t="s">
        <v>4156</v>
      </c>
      <c r="C32" s="371" t="s">
        <v>4157</v>
      </c>
      <c r="D32" s="371" t="s">
        <v>4136</v>
      </c>
      <c r="E32" s="293" t="s">
        <v>338</v>
      </c>
      <c r="F32" s="294">
        <v>53.0</v>
      </c>
      <c r="G32" s="294" t="s">
        <v>476</v>
      </c>
      <c r="H32" s="294" t="s">
        <v>663</v>
      </c>
      <c r="I32" s="294">
        <v>9.264836063E9</v>
      </c>
      <c r="J32" s="42"/>
      <c r="K32" s="43"/>
      <c r="L32" s="43"/>
      <c r="M32" s="43"/>
      <c r="N32" s="43">
        <f t="shared" si="1"/>
        <v>0</v>
      </c>
      <c r="O32" s="43"/>
      <c r="P32" s="43"/>
      <c r="Q32" s="43">
        <f t="shared" si="2"/>
        <v>0</v>
      </c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1</v>
      </c>
      <c r="AC32" s="34"/>
      <c r="AD32" s="34"/>
    </row>
    <row r="33" ht="13.5" customHeight="1">
      <c r="A33" s="28">
        <v>27.0</v>
      </c>
      <c r="B33" s="371" t="s">
        <v>4158</v>
      </c>
      <c r="C33" s="371" t="s">
        <v>4159</v>
      </c>
      <c r="D33" s="371" t="s">
        <v>4160</v>
      </c>
      <c r="E33" s="293" t="s">
        <v>338</v>
      </c>
      <c r="F33" s="294">
        <v>26.0</v>
      </c>
      <c r="G33" s="294" t="s">
        <v>476</v>
      </c>
      <c r="H33" s="294" t="s">
        <v>646</v>
      </c>
      <c r="I33" s="294">
        <v>9.610342577E9</v>
      </c>
      <c r="J33" s="54">
        <v>32.0</v>
      </c>
      <c r="K33" s="55">
        <v>24.0</v>
      </c>
      <c r="L33" s="55">
        <v>0.0</v>
      </c>
      <c r="M33" s="55">
        <v>3.0</v>
      </c>
      <c r="N33" s="43">
        <f t="shared" si="1"/>
        <v>3</v>
      </c>
      <c r="O33" s="55">
        <v>0.0</v>
      </c>
      <c r="P33" s="55">
        <v>5.0</v>
      </c>
      <c r="Q33" s="43">
        <f t="shared" si="2"/>
        <v>8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371" t="s">
        <v>4161</v>
      </c>
      <c r="C34" s="371" t="s">
        <v>4162</v>
      </c>
      <c r="D34" s="371" t="s">
        <v>4160</v>
      </c>
      <c r="E34" s="293" t="s">
        <v>338</v>
      </c>
      <c r="F34" s="294">
        <v>59.0</v>
      </c>
      <c r="G34" s="294" t="s">
        <v>476</v>
      </c>
      <c r="H34" s="294" t="s">
        <v>3940</v>
      </c>
      <c r="I34" s="294">
        <v>9.610342577E9</v>
      </c>
      <c r="J34" s="54">
        <v>25.0</v>
      </c>
      <c r="K34" s="55">
        <v>25.0</v>
      </c>
      <c r="L34" s="55">
        <v>0.0</v>
      </c>
      <c r="M34" s="55">
        <v>0.0</v>
      </c>
      <c r="N34" s="43">
        <f t="shared" si="1"/>
        <v>0</v>
      </c>
      <c r="O34" s="55">
        <v>7.0</v>
      </c>
      <c r="P34" s="55">
        <v>0.0</v>
      </c>
      <c r="Q34" s="43">
        <f t="shared" si="2"/>
        <v>7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371" t="s">
        <v>4163</v>
      </c>
      <c r="C35" s="371" t="s">
        <v>537</v>
      </c>
      <c r="D35" s="371" t="s">
        <v>609</v>
      </c>
      <c r="E35" s="293" t="s">
        <v>338</v>
      </c>
      <c r="F35" s="294">
        <v>47.0</v>
      </c>
      <c r="G35" s="294" t="s">
        <v>476</v>
      </c>
      <c r="H35" s="294" t="s">
        <v>646</v>
      </c>
      <c r="I35" s="294">
        <v>9.392987667E9</v>
      </c>
      <c r="J35" s="161">
        <v>28.0</v>
      </c>
      <c r="K35" s="55">
        <v>22.0</v>
      </c>
      <c r="L35" s="55">
        <v>0.0</v>
      </c>
      <c r="M35" s="55">
        <v>0.0</v>
      </c>
      <c r="N35" s="43">
        <f t="shared" si="1"/>
        <v>0</v>
      </c>
      <c r="O35" s="55">
        <v>4.0</v>
      </c>
      <c r="P35" s="55">
        <v>6.0</v>
      </c>
      <c r="Q35" s="43">
        <f t="shared" si="2"/>
        <v>10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371" t="s">
        <v>4164</v>
      </c>
      <c r="C36" s="371" t="s">
        <v>2891</v>
      </c>
      <c r="D36" s="371" t="s">
        <v>3131</v>
      </c>
      <c r="E36" s="293" t="s">
        <v>338</v>
      </c>
      <c r="F36" s="294">
        <v>44.0</v>
      </c>
      <c r="G36" s="294" t="s">
        <v>476</v>
      </c>
      <c r="H36" s="294" t="s">
        <v>4109</v>
      </c>
      <c r="I36" s="294">
        <v>9.179558289E9</v>
      </c>
      <c r="J36" s="87">
        <v>23.0</v>
      </c>
      <c r="K36" s="55">
        <v>18.0</v>
      </c>
      <c r="L36" s="55">
        <v>0.0</v>
      </c>
      <c r="M36" s="55">
        <v>0.0</v>
      </c>
      <c r="N36" s="43">
        <f t="shared" si="1"/>
        <v>0</v>
      </c>
      <c r="O36" s="55">
        <v>5.0</v>
      </c>
      <c r="P36" s="55">
        <v>5.0</v>
      </c>
      <c r="Q36" s="43">
        <f t="shared" si="2"/>
        <v>10</v>
      </c>
      <c r="R36" s="43"/>
      <c r="S36" s="43"/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371" t="s">
        <v>4165</v>
      </c>
      <c r="C37" s="371" t="s">
        <v>4166</v>
      </c>
      <c r="D37" s="371" t="s">
        <v>4167</v>
      </c>
      <c r="E37" s="293" t="s">
        <v>338</v>
      </c>
      <c r="F37" s="294">
        <v>40.0</v>
      </c>
      <c r="G37" s="294" t="s">
        <v>1690</v>
      </c>
      <c r="H37" s="294" t="s">
        <v>4103</v>
      </c>
      <c r="I37" s="294">
        <v>9.605311024E9</v>
      </c>
      <c r="J37" s="87">
        <v>28.0</v>
      </c>
      <c r="K37" s="55">
        <v>20.0</v>
      </c>
      <c r="L37" s="55">
        <v>0.0</v>
      </c>
      <c r="M37" s="55">
        <v>0.0</v>
      </c>
      <c r="N37" s="43">
        <f t="shared" si="1"/>
        <v>0</v>
      </c>
      <c r="O37" s="55">
        <v>0.0</v>
      </c>
      <c r="P37" s="55">
        <v>8.0</v>
      </c>
      <c r="Q37" s="43">
        <f t="shared" si="2"/>
        <v>8</v>
      </c>
      <c r="R37" s="43"/>
      <c r="S37" s="43"/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371" t="s">
        <v>4168</v>
      </c>
      <c r="C38" s="371" t="s">
        <v>2952</v>
      </c>
      <c r="D38" s="371" t="s">
        <v>4169</v>
      </c>
      <c r="E38" s="293" t="s">
        <v>338</v>
      </c>
      <c r="F38" s="294">
        <v>35.0</v>
      </c>
      <c r="G38" s="294" t="s">
        <v>476</v>
      </c>
      <c r="H38" s="294" t="s">
        <v>435</v>
      </c>
      <c r="I38" s="294">
        <v>9.952787993E9</v>
      </c>
      <c r="J38" s="87">
        <v>23.0</v>
      </c>
      <c r="K38" s="55">
        <v>18.0</v>
      </c>
      <c r="L38" s="55">
        <v>2.0</v>
      </c>
      <c r="M38" s="55">
        <v>3.0</v>
      </c>
      <c r="N38" s="43">
        <f t="shared" si="1"/>
        <v>5</v>
      </c>
      <c r="O38" s="55">
        <v>9.0</v>
      </c>
      <c r="P38" s="55">
        <v>0.0</v>
      </c>
      <c r="Q38" s="43">
        <f t="shared" si="2"/>
        <v>14</v>
      </c>
      <c r="R38" s="43"/>
      <c r="S38" s="55" t="s">
        <v>88</v>
      </c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371" t="s">
        <v>4170</v>
      </c>
      <c r="C39" s="371" t="s">
        <v>4171</v>
      </c>
      <c r="D39" s="371" t="s">
        <v>4172</v>
      </c>
      <c r="E39" s="293" t="s">
        <v>338</v>
      </c>
      <c r="F39" s="294">
        <v>35.0</v>
      </c>
      <c r="G39" s="294" t="s">
        <v>584</v>
      </c>
      <c r="H39" s="294" t="s">
        <v>663</v>
      </c>
      <c r="I39" s="294">
        <v>9.957335293E9</v>
      </c>
      <c r="J39" s="54">
        <v>29.0</v>
      </c>
      <c r="K39" s="55">
        <v>24.0</v>
      </c>
      <c r="L39" s="55">
        <v>0.0</v>
      </c>
      <c r="M39" s="55">
        <v>0.0</v>
      </c>
      <c r="N39" s="43">
        <f t="shared" si="1"/>
        <v>0</v>
      </c>
      <c r="O39" s="55">
        <v>3.0</v>
      </c>
      <c r="P39" s="55">
        <v>5.0</v>
      </c>
      <c r="Q39" s="43">
        <f t="shared" si="2"/>
        <v>8</v>
      </c>
      <c r="R39" s="43"/>
      <c r="S39" s="43"/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371" t="s">
        <v>4173</v>
      </c>
      <c r="C40" s="371" t="s">
        <v>4174</v>
      </c>
      <c r="D40" s="371" t="s">
        <v>4175</v>
      </c>
      <c r="E40" s="293" t="s">
        <v>338</v>
      </c>
      <c r="F40" s="294">
        <v>46.0</v>
      </c>
      <c r="G40" s="294" t="s">
        <v>476</v>
      </c>
      <c r="H40" s="294" t="s">
        <v>4109</v>
      </c>
      <c r="I40" s="294">
        <v>9.466934808E9</v>
      </c>
      <c r="J40" s="87">
        <v>27.0</v>
      </c>
      <c r="K40" s="55">
        <v>19.0</v>
      </c>
      <c r="L40" s="55">
        <v>0.0</v>
      </c>
      <c r="M40" s="55">
        <v>0.0</v>
      </c>
      <c r="N40" s="43">
        <f t="shared" si="1"/>
        <v>0</v>
      </c>
      <c r="O40" s="55">
        <v>5.0</v>
      </c>
      <c r="P40" s="55">
        <v>8.0</v>
      </c>
      <c r="Q40" s="43">
        <f t="shared" si="2"/>
        <v>13</v>
      </c>
      <c r="R40" s="43"/>
      <c r="S40" s="43"/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371" t="s">
        <v>4176</v>
      </c>
      <c r="C41" s="371" t="s">
        <v>4177</v>
      </c>
      <c r="D41" s="371" t="s">
        <v>4178</v>
      </c>
      <c r="E41" s="293" t="s">
        <v>338</v>
      </c>
      <c r="F41" s="294">
        <v>40.0</v>
      </c>
      <c r="G41" s="294" t="s">
        <v>584</v>
      </c>
      <c r="H41" s="294" t="s">
        <v>646</v>
      </c>
      <c r="I41" s="294">
        <v>9.478161256E9</v>
      </c>
      <c r="J41" s="87">
        <v>31.0</v>
      </c>
      <c r="K41" s="55">
        <v>28.0</v>
      </c>
      <c r="L41" s="55">
        <v>0.0</v>
      </c>
      <c r="M41" s="55">
        <v>3.0</v>
      </c>
      <c r="N41" s="43">
        <f t="shared" si="1"/>
        <v>3</v>
      </c>
      <c r="O41" s="55">
        <v>1.0</v>
      </c>
      <c r="P41" s="55">
        <v>0.0</v>
      </c>
      <c r="Q41" s="43">
        <f t="shared" si="2"/>
        <v>4</v>
      </c>
      <c r="R41" s="43"/>
      <c r="S41" s="43"/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371" t="s">
        <v>4179</v>
      </c>
      <c r="C42" s="371" t="s">
        <v>4180</v>
      </c>
      <c r="D42" s="371" t="s">
        <v>4181</v>
      </c>
      <c r="E42" s="293" t="s">
        <v>338</v>
      </c>
      <c r="F42" s="294">
        <v>44.0</v>
      </c>
      <c r="G42" s="294" t="s">
        <v>584</v>
      </c>
      <c r="H42" s="294" t="s">
        <v>4109</v>
      </c>
      <c r="I42" s="294">
        <v>9.662907788E9</v>
      </c>
      <c r="J42" s="83"/>
      <c r="K42" s="43"/>
      <c r="L42" s="43"/>
      <c r="M42" s="43"/>
      <c r="N42" s="43">
        <f t="shared" si="1"/>
        <v>0</v>
      </c>
      <c r="O42" s="43"/>
      <c r="P42" s="43"/>
      <c r="Q42" s="43">
        <f t="shared" si="2"/>
        <v>0</v>
      </c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371" t="s">
        <v>4182</v>
      </c>
      <c r="C43" s="371" t="s">
        <v>4183</v>
      </c>
      <c r="D43" s="371" t="s">
        <v>4184</v>
      </c>
      <c r="E43" s="293" t="s">
        <v>338</v>
      </c>
      <c r="F43" s="294">
        <v>38.0</v>
      </c>
      <c r="G43" s="294" t="s">
        <v>476</v>
      </c>
      <c r="H43" s="294" t="s">
        <v>646</v>
      </c>
      <c r="I43" s="294">
        <v>9.100436475E9</v>
      </c>
      <c r="J43" s="83"/>
      <c r="K43" s="43"/>
      <c r="L43" s="43"/>
      <c r="M43" s="43"/>
      <c r="N43" s="43">
        <f t="shared" si="1"/>
        <v>0</v>
      </c>
      <c r="O43" s="43"/>
      <c r="P43" s="43"/>
      <c r="Q43" s="43">
        <f t="shared" si="2"/>
        <v>0</v>
      </c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371" t="s">
        <v>4185</v>
      </c>
      <c r="C44" s="371" t="s">
        <v>4186</v>
      </c>
      <c r="D44" s="371" t="s">
        <v>4187</v>
      </c>
      <c r="E44" s="293" t="s">
        <v>338</v>
      </c>
      <c r="F44" s="294">
        <v>30.0</v>
      </c>
      <c r="G44" s="294" t="s">
        <v>385</v>
      </c>
      <c r="H44" s="294" t="s">
        <v>646</v>
      </c>
      <c r="I44" s="294">
        <v>9.605311116E9</v>
      </c>
      <c r="J44" s="87">
        <v>32.0</v>
      </c>
      <c r="K44" s="55">
        <v>30.0</v>
      </c>
      <c r="L44" s="55">
        <v>0.0</v>
      </c>
      <c r="M44" s="55">
        <v>2.0</v>
      </c>
      <c r="N44" s="43">
        <f t="shared" si="1"/>
        <v>2</v>
      </c>
      <c r="O44" s="55">
        <v>0.0</v>
      </c>
      <c r="P44" s="55">
        <v>0.0</v>
      </c>
      <c r="Q44" s="43">
        <f t="shared" si="2"/>
        <v>2</v>
      </c>
      <c r="R44" s="43"/>
      <c r="S44" s="55" t="s">
        <v>277</v>
      </c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92">
        <v>0.0</v>
      </c>
      <c r="B45" s="371" t="s">
        <v>4188</v>
      </c>
      <c r="C45" s="371" t="s">
        <v>3261</v>
      </c>
      <c r="D45" s="371" t="s">
        <v>4189</v>
      </c>
      <c r="E45" s="293" t="s">
        <v>338</v>
      </c>
      <c r="F45" s="294">
        <v>40.0</v>
      </c>
      <c r="G45" s="294" t="s">
        <v>476</v>
      </c>
      <c r="H45" s="294" t="s">
        <v>646</v>
      </c>
      <c r="I45" s="294">
        <v>9.162427909E9</v>
      </c>
      <c r="J45" s="87">
        <v>24.0</v>
      </c>
      <c r="K45" s="55">
        <v>14.0</v>
      </c>
      <c r="L45" s="55">
        <v>0.0</v>
      </c>
      <c r="M45" s="55">
        <v>0.0</v>
      </c>
      <c r="N45" s="43">
        <f t="shared" si="1"/>
        <v>0</v>
      </c>
      <c r="O45" s="55">
        <v>8.0</v>
      </c>
      <c r="P45" s="55">
        <v>10.0</v>
      </c>
      <c r="Q45" s="43">
        <f t="shared" si="2"/>
        <v>18</v>
      </c>
      <c r="R45" s="43"/>
      <c r="S45" s="43"/>
      <c r="T45" s="43"/>
      <c r="U45" s="55" t="s">
        <v>101</v>
      </c>
      <c r="V45" s="55" t="s">
        <v>4190</v>
      </c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371" t="s">
        <v>719</v>
      </c>
      <c r="C46" s="371" t="s">
        <v>4191</v>
      </c>
      <c r="D46" s="371" t="s">
        <v>4192</v>
      </c>
      <c r="E46" s="293" t="s">
        <v>338</v>
      </c>
      <c r="F46" s="294">
        <v>31.0</v>
      </c>
      <c r="G46" s="294" t="s">
        <v>476</v>
      </c>
      <c r="H46" s="294" t="s">
        <v>435</v>
      </c>
      <c r="I46" s="294">
        <v>9.984647973E9</v>
      </c>
      <c r="J46" s="87">
        <v>28.0</v>
      </c>
      <c r="K46" s="55">
        <v>21.0</v>
      </c>
      <c r="L46" s="55">
        <v>0.0</v>
      </c>
      <c r="M46" s="55">
        <v>0.0</v>
      </c>
      <c r="N46" s="43">
        <f t="shared" si="1"/>
        <v>0</v>
      </c>
      <c r="O46" s="55">
        <v>4.0</v>
      </c>
      <c r="P46" s="55">
        <v>6.0</v>
      </c>
      <c r="Q46" s="43">
        <f t="shared" si="2"/>
        <v>10</v>
      </c>
      <c r="R46" s="43"/>
      <c r="S46" s="55" t="s">
        <v>277</v>
      </c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371" t="s">
        <v>3224</v>
      </c>
      <c r="C47" s="371" t="s">
        <v>4193</v>
      </c>
      <c r="D47" s="371" t="s">
        <v>4194</v>
      </c>
      <c r="E47" s="293" t="s">
        <v>338</v>
      </c>
      <c r="F47" s="294">
        <v>41.0</v>
      </c>
      <c r="G47" s="294" t="s">
        <v>476</v>
      </c>
      <c r="H47" s="294" t="s">
        <v>435</v>
      </c>
      <c r="I47" s="294">
        <v>9.452868247E9</v>
      </c>
      <c r="J47" s="87">
        <v>29.0</v>
      </c>
      <c r="K47" s="55">
        <v>21.0</v>
      </c>
      <c r="L47" s="55">
        <v>0.0</v>
      </c>
      <c r="M47" s="55">
        <v>4.0</v>
      </c>
      <c r="N47" s="43">
        <f t="shared" si="1"/>
        <v>4</v>
      </c>
      <c r="O47" s="55">
        <v>3.0</v>
      </c>
      <c r="P47" s="55">
        <v>4.0</v>
      </c>
      <c r="Q47" s="43">
        <f t="shared" si="2"/>
        <v>11</v>
      </c>
      <c r="R47" s="43"/>
      <c r="S47" s="43"/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371" t="s">
        <v>1597</v>
      </c>
      <c r="C48" s="371" t="s">
        <v>3285</v>
      </c>
      <c r="D48" s="371" t="s">
        <v>4195</v>
      </c>
      <c r="E48" s="293" t="s">
        <v>338</v>
      </c>
      <c r="F48" s="294">
        <v>46.0</v>
      </c>
      <c r="G48" s="294" t="s">
        <v>584</v>
      </c>
      <c r="H48" s="294" t="s">
        <v>646</v>
      </c>
      <c r="I48" s="294">
        <v>9.152144055E9</v>
      </c>
      <c r="J48" s="87">
        <v>32.0</v>
      </c>
      <c r="K48" s="55">
        <v>28.0</v>
      </c>
      <c r="L48" s="55">
        <v>0.0</v>
      </c>
      <c r="M48" s="55">
        <v>2.0</v>
      </c>
      <c r="N48" s="43">
        <v>0.0</v>
      </c>
      <c r="O48" s="55">
        <v>0.0</v>
      </c>
      <c r="P48" s="55">
        <v>2.0</v>
      </c>
      <c r="Q48" s="43">
        <f t="shared" si="2"/>
        <v>2</v>
      </c>
      <c r="R48" s="43"/>
      <c r="S48" s="55" t="s">
        <v>277</v>
      </c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371" t="s">
        <v>4196</v>
      </c>
      <c r="C49" s="371" t="s">
        <v>4197</v>
      </c>
      <c r="D49" s="371" t="s">
        <v>587</v>
      </c>
      <c r="E49" s="293" t="s">
        <v>338</v>
      </c>
      <c r="F49" s="294">
        <v>49.0</v>
      </c>
      <c r="G49" s="294" t="s">
        <v>476</v>
      </c>
      <c r="H49" s="294" t="s">
        <v>2818</v>
      </c>
      <c r="I49" s="294">
        <v>9.163417853E9</v>
      </c>
      <c r="J49" s="87">
        <v>23.0</v>
      </c>
      <c r="K49" s="55">
        <v>21.0</v>
      </c>
      <c r="L49" s="55">
        <v>0.0</v>
      </c>
      <c r="M49" s="55">
        <v>2.0</v>
      </c>
      <c r="N49" s="43">
        <f t="shared" ref="N49:N52" si="3">SUM(L49,M49)</f>
        <v>2</v>
      </c>
      <c r="O49" s="55">
        <v>8.0</v>
      </c>
      <c r="P49" s="55">
        <v>1.0</v>
      </c>
      <c r="Q49" s="43">
        <f t="shared" si="2"/>
        <v>11</v>
      </c>
      <c r="R49" s="43"/>
      <c r="S49" s="43"/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371" t="s">
        <v>4196</v>
      </c>
      <c r="C50" s="371" t="s">
        <v>4198</v>
      </c>
      <c r="D50" s="371" t="s">
        <v>4199</v>
      </c>
      <c r="E50" s="293" t="s">
        <v>338</v>
      </c>
      <c r="F50" s="294">
        <v>45.0</v>
      </c>
      <c r="G50" s="294" t="s">
        <v>584</v>
      </c>
      <c r="H50" s="294" t="s">
        <v>663</v>
      </c>
      <c r="I50" s="294">
        <v>9.151727805E9</v>
      </c>
      <c r="J50" s="87">
        <v>27.0</v>
      </c>
      <c r="K50" s="55">
        <v>19.0</v>
      </c>
      <c r="L50" s="55">
        <v>0.0</v>
      </c>
      <c r="M50" s="55">
        <v>0.0</v>
      </c>
      <c r="N50" s="43">
        <f t="shared" si="3"/>
        <v>0</v>
      </c>
      <c r="O50" s="55">
        <v>5.0</v>
      </c>
      <c r="P50" s="55">
        <v>8.0</v>
      </c>
      <c r="Q50" s="43">
        <f t="shared" si="2"/>
        <v>13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71" t="s">
        <v>4200</v>
      </c>
      <c r="C51" s="371" t="s">
        <v>4201</v>
      </c>
      <c r="D51" s="371" t="s">
        <v>4202</v>
      </c>
      <c r="E51" s="293" t="s">
        <v>338</v>
      </c>
      <c r="F51" s="294">
        <v>55.0</v>
      </c>
      <c r="G51" s="294" t="s">
        <v>476</v>
      </c>
      <c r="H51" s="294" t="s">
        <v>3940</v>
      </c>
      <c r="I51" s="294">
        <v>9.184456192E9</v>
      </c>
      <c r="J51" s="83"/>
      <c r="K51" s="43"/>
      <c r="L51" s="43"/>
      <c r="M51" s="43"/>
      <c r="N51" s="43">
        <f t="shared" si="3"/>
        <v>0</v>
      </c>
      <c r="O51" s="43"/>
      <c r="P51" s="43"/>
      <c r="Q51" s="43">
        <f t="shared" si="2"/>
        <v>0</v>
      </c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371" t="s">
        <v>3131</v>
      </c>
      <c r="C52" s="371" t="s">
        <v>677</v>
      </c>
      <c r="D52" s="371" t="s">
        <v>4203</v>
      </c>
      <c r="E52" s="293" t="s">
        <v>338</v>
      </c>
      <c r="F52" s="294">
        <v>29.0</v>
      </c>
      <c r="G52" s="294" t="s">
        <v>476</v>
      </c>
      <c r="H52" s="294" t="s">
        <v>435</v>
      </c>
      <c r="I52" s="294">
        <v>9.097395456E9</v>
      </c>
      <c r="J52" s="83"/>
      <c r="K52" s="43"/>
      <c r="L52" s="43"/>
      <c r="M52" s="43"/>
      <c r="N52" s="43">
        <f t="shared" si="3"/>
        <v>0</v>
      </c>
      <c r="O52" s="43"/>
      <c r="P52" s="43"/>
      <c r="Q52" s="43">
        <f t="shared" si="2"/>
        <v>0</v>
      </c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371" t="s">
        <v>4204</v>
      </c>
      <c r="C53" s="371" t="s">
        <v>4205</v>
      </c>
      <c r="D53" s="371" t="s">
        <v>4206</v>
      </c>
      <c r="E53" s="293" t="s">
        <v>338</v>
      </c>
      <c r="F53" s="294">
        <v>38.0</v>
      </c>
      <c r="G53" s="294" t="s">
        <v>476</v>
      </c>
      <c r="H53" s="294" t="s">
        <v>435</v>
      </c>
      <c r="I53" s="294">
        <v>9.756432965E9</v>
      </c>
      <c r="J53" s="87">
        <v>15.0</v>
      </c>
      <c r="K53" s="55">
        <v>14.0</v>
      </c>
      <c r="L53" s="55">
        <v>0.0</v>
      </c>
      <c r="M53" s="55">
        <v>0.0</v>
      </c>
      <c r="N53" s="43">
        <v>0.0</v>
      </c>
      <c r="O53" s="55">
        <v>17.0</v>
      </c>
      <c r="P53" s="55">
        <v>1.0</v>
      </c>
      <c r="Q53" s="43">
        <f t="shared" si="2"/>
        <v>18</v>
      </c>
      <c r="R53" s="43"/>
      <c r="S53" s="55" t="s">
        <v>74</v>
      </c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371" t="s">
        <v>3009</v>
      </c>
      <c r="C54" s="371" t="s">
        <v>4207</v>
      </c>
      <c r="D54" s="371" t="s">
        <v>4208</v>
      </c>
      <c r="E54" s="293" t="s">
        <v>338</v>
      </c>
      <c r="F54" s="294">
        <v>26.0</v>
      </c>
      <c r="G54" s="294" t="s">
        <v>476</v>
      </c>
      <c r="H54" s="294" t="s">
        <v>663</v>
      </c>
      <c r="I54" s="294">
        <v>9.270346775E9</v>
      </c>
      <c r="J54" s="87">
        <v>32.0</v>
      </c>
      <c r="K54" s="55">
        <v>27.0</v>
      </c>
      <c r="L54" s="55">
        <v>0.0</v>
      </c>
      <c r="M54" s="55">
        <v>4.0</v>
      </c>
      <c r="N54" s="43">
        <f t="shared" ref="N54:N105" si="4">SUM(L54,M54)</f>
        <v>4</v>
      </c>
      <c r="O54" s="55">
        <v>0.0</v>
      </c>
      <c r="P54" s="55">
        <v>1.0</v>
      </c>
      <c r="Q54" s="43">
        <f t="shared" si="2"/>
        <v>5</v>
      </c>
      <c r="R54" s="43"/>
      <c r="S54" s="55" t="s">
        <v>277</v>
      </c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371" t="s">
        <v>4209</v>
      </c>
      <c r="C55" s="371" t="s">
        <v>4210</v>
      </c>
      <c r="D55" s="371" t="s">
        <v>4211</v>
      </c>
      <c r="E55" s="293" t="s">
        <v>338</v>
      </c>
      <c r="F55" s="294">
        <v>30.0</v>
      </c>
      <c r="G55" s="294" t="s">
        <v>476</v>
      </c>
      <c r="H55" s="294" t="s">
        <v>646</v>
      </c>
      <c r="I55" s="294">
        <v>9.166321261E9</v>
      </c>
      <c r="J55" s="87">
        <v>25.0</v>
      </c>
      <c r="K55" s="55">
        <v>20.0</v>
      </c>
      <c r="L55" s="55">
        <v>0.0</v>
      </c>
      <c r="M55" s="55">
        <v>0.0</v>
      </c>
      <c r="N55" s="43">
        <f t="shared" si="4"/>
        <v>0</v>
      </c>
      <c r="O55" s="55">
        <v>7.0</v>
      </c>
      <c r="P55" s="55">
        <v>5.0</v>
      </c>
      <c r="Q55" s="43">
        <f t="shared" si="2"/>
        <v>12</v>
      </c>
      <c r="R55" s="43"/>
      <c r="S55" s="55" t="s">
        <v>1910</v>
      </c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371" t="s">
        <v>4212</v>
      </c>
      <c r="C56" s="371" t="s">
        <v>4213</v>
      </c>
      <c r="D56" s="371" t="s">
        <v>4214</v>
      </c>
      <c r="E56" s="293" t="s">
        <v>338</v>
      </c>
      <c r="F56" s="294">
        <v>52.0</v>
      </c>
      <c r="G56" s="294" t="s">
        <v>476</v>
      </c>
      <c r="H56" s="294" t="s">
        <v>646</v>
      </c>
      <c r="I56" s="294">
        <v>9.053136141E9</v>
      </c>
      <c r="J56" s="87">
        <v>28.0</v>
      </c>
      <c r="K56" s="55">
        <v>18.0</v>
      </c>
      <c r="L56" s="55">
        <v>0.0</v>
      </c>
      <c r="M56" s="55">
        <v>0.0</v>
      </c>
      <c r="N56" s="43">
        <f t="shared" si="4"/>
        <v>0</v>
      </c>
      <c r="O56" s="55">
        <v>0.0</v>
      </c>
      <c r="P56" s="55">
        <v>10.0</v>
      </c>
      <c r="Q56" s="43">
        <f t="shared" si="2"/>
        <v>10</v>
      </c>
      <c r="R56" s="43"/>
      <c r="S56" s="43"/>
      <c r="T56" s="43"/>
      <c r="U56" s="43"/>
      <c r="V56" s="43"/>
      <c r="W56" s="56" t="s">
        <v>46</v>
      </c>
      <c r="Z56" s="61"/>
      <c r="AA56" s="61"/>
      <c r="AB56" s="66"/>
      <c r="AC56" s="34"/>
      <c r="AD56" s="34"/>
    </row>
    <row r="57" ht="13.5" customHeight="1">
      <c r="A57" s="28">
        <v>51.0</v>
      </c>
      <c r="B57" s="371" t="s">
        <v>4215</v>
      </c>
      <c r="C57" s="371" t="s">
        <v>694</v>
      </c>
      <c r="D57" s="371" t="s">
        <v>4216</v>
      </c>
      <c r="E57" s="293" t="s">
        <v>338</v>
      </c>
      <c r="F57" s="294">
        <v>49.0</v>
      </c>
      <c r="G57" s="294" t="s">
        <v>476</v>
      </c>
      <c r="H57" s="294" t="s">
        <v>435</v>
      </c>
      <c r="I57" s="294">
        <v>9.605311019E9</v>
      </c>
      <c r="J57" s="87">
        <v>17.0</v>
      </c>
      <c r="K57" s="55">
        <v>13.0</v>
      </c>
      <c r="L57" s="55">
        <v>0.0</v>
      </c>
      <c r="M57" s="55">
        <v>1.0</v>
      </c>
      <c r="N57" s="43">
        <f t="shared" si="4"/>
        <v>1</v>
      </c>
      <c r="O57" s="55">
        <v>15.0</v>
      </c>
      <c r="P57" s="55">
        <v>3.0</v>
      </c>
      <c r="Q57" s="43">
        <f t="shared" si="2"/>
        <v>19</v>
      </c>
      <c r="R57" s="43"/>
      <c r="S57" s="55" t="s">
        <v>88</v>
      </c>
      <c r="T57" s="43"/>
      <c r="U57" s="43"/>
      <c r="V57" s="43"/>
      <c r="W57" s="56" t="s">
        <v>46</v>
      </c>
      <c r="Z57" s="61"/>
      <c r="AA57" s="61"/>
      <c r="AB57" s="66"/>
      <c r="AC57" s="34"/>
      <c r="AD57" s="34"/>
    </row>
    <row r="58" ht="13.5" customHeight="1">
      <c r="A58" s="28">
        <v>52.0</v>
      </c>
      <c r="B58" s="371" t="s">
        <v>4217</v>
      </c>
      <c r="C58" s="371" t="s">
        <v>4218</v>
      </c>
      <c r="D58" s="371" t="s">
        <v>2349</v>
      </c>
      <c r="E58" s="293" t="s">
        <v>338</v>
      </c>
      <c r="F58" s="294">
        <v>33.0</v>
      </c>
      <c r="G58" s="294" t="s">
        <v>476</v>
      </c>
      <c r="H58" s="294" t="s">
        <v>435</v>
      </c>
      <c r="I58" s="294">
        <v>9.459953813E9</v>
      </c>
      <c r="J58" s="87">
        <v>30.0</v>
      </c>
      <c r="K58" s="55">
        <v>26.0</v>
      </c>
      <c r="L58" s="55">
        <v>0.0</v>
      </c>
      <c r="M58" s="55">
        <v>2.0</v>
      </c>
      <c r="N58" s="43">
        <f t="shared" si="4"/>
        <v>2</v>
      </c>
      <c r="O58" s="55">
        <v>2.0</v>
      </c>
      <c r="P58" s="55">
        <v>2.0</v>
      </c>
      <c r="Q58" s="43">
        <f t="shared" si="2"/>
        <v>6</v>
      </c>
      <c r="R58" s="43"/>
      <c r="S58" s="43"/>
      <c r="T58" s="43"/>
      <c r="U58" s="43"/>
      <c r="V58" s="43"/>
      <c r="W58" s="56" t="s">
        <v>46</v>
      </c>
      <c r="Z58" s="61"/>
      <c r="AA58" s="61"/>
      <c r="AB58" s="66"/>
      <c r="AC58" s="34"/>
      <c r="AD58" s="34"/>
    </row>
    <row r="59" ht="13.5" customHeight="1">
      <c r="A59" s="28">
        <v>53.0</v>
      </c>
      <c r="B59" s="371" t="s">
        <v>4219</v>
      </c>
      <c r="C59" s="371" t="s">
        <v>4220</v>
      </c>
      <c r="D59" s="371" t="s">
        <v>4221</v>
      </c>
      <c r="E59" s="293" t="s">
        <v>338</v>
      </c>
      <c r="F59" s="294">
        <v>63.0</v>
      </c>
      <c r="G59" s="294" t="s">
        <v>584</v>
      </c>
      <c r="H59" s="294" t="s">
        <v>646</v>
      </c>
      <c r="I59" s="294">
        <v>9.563540419E9</v>
      </c>
      <c r="J59" s="87">
        <v>28.0</v>
      </c>
      <c r="K59" s="55">
        <v>21.0</v>
      </c>
      <c r="L59" s="55">
        <v>1.0</v>
      </c>
      <c r="M59" s="55">
        <v>2.0</v>
      </c>
      <c r="N59" s="43">
        <f t="shared" si="4"/>
        <v>3</v>
      </c>
      <c r="O59" s="55">
        <v>4.0</v>
      </c>
      <c r="P59" s="55">
        <v>2.0</v>
      </c>
      <c r="Q59" s="43">
        <f t="shared" si="2"/>
        <v>9</v>
      </c>
      <c r="R59" s="43"/>
      <c r="S59" s="43"/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371" t="s">
        <v>4222</v>
      </c>
      <c r="C60" s="371" t="s">
        <v>4223</v>
      </c>
      <c r="D60" s="371" t="s">
        <v>4224</v>
      </c>
      <c r="E60" s="293" t="s">
        <v>338</v>
      </c>
      <c r="F60" s="294">
        <v>51.0</v>
      </c>
      <c r="G60" s="294" t="s">
        <v>584</v>
      </c>
      <c r="H60" s="294" t="s">
        <v>435</v>
      </c>
      <c r="I60" s="294">
        <v>9.161471624E9</v>
      </c>
      <c r="J60" s="83"/>
      <c r="K60" s="43"/>
      <c r="L60" s="43"/>
      <c r="M60" s="43"/>
      <c r="N60" s="43">
        <f t="shared" si="4"/>
        <v>0</v>
      </c>
      <c r="O60" s="43"/>
      <c r="P60" s="43"/>
      <c r="Q60" s="43">
        <f t="shared" si="2"/>
        <v>0</v>
      </c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371" t="s">
        <v>4225</v>
      </c>
      <c r="C61" s="371" t="s">
        <v>4226</v>
      </c>
      <c r="D61" s="371" t="s">
        <v>4227</v>
      </c>
      <c r="E61" s="293" t="s">
        <v>338</v>
      </c>
      <c r="F61" s="294">
        <v>41.0</v>
      </c>
      <c r="G61" s="294" t="s">
        <v>476</v>
      </c>
      <c r="H61" s="294" t="s">
        <v>646</v>
      </c>
      <c r="I61" s="372" t="s">
        <v>4228</v>
      </c>
      <c r="J61" s="87">
        <v>31.0</v>
      </c>
      <c r="K61" s="55">
        <v>20.0</v>
      </c>
      <c r="L61" s="55">
        <v>0.0</v>
      </c>
      <c r="M61" s="55">
        <v>1.0</v>
      </c>
      <c r="N61" s="43">
        <f t="shared" si="4"/>
        <v>1</v>
      </c>
      <c r="O61" s="55">
        <v>0.0</v>
      </c>
      <c r="P61" s="55">
        <v>10.0</v>
      </c>
      <c r="Q61" s="43">
        <f t="shared" si="2"/>
        <v>11</v>
      </c>
      <c r="R61" s="43"/>
      <c r="S61" s="43"/>
      <c r="T61" s="43"/>
      <c r="U61" s="43"/>
      <c r="V61" s="43"/>
      <c r="W61" s="56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371" t="s">
        <v>4229</v>
      </c>
      <c r="C62" s="371" t="s">
        <v>4230</v>
      </c>
      <c r="D62" s="371" t="s">
        <v>4231</v>
      </c>
      <c r="E62" s="293" t="s">
        <v>338</v>
      </c>
      <c r="F62" s="294">
        <v>48.0</v>
      </c>
      <c r="G62" s="294" t="s">
        <v>476</v>
      </c>
      <c r="H62" s="294" t="s">
        <v>646</v>
      </c>
      <c r="I62" s="294">
        <v>9.555584387E9</v>
      </c>
      <c r="J62" s="87">
        <v>26.0</v>
      </c>
      <c r="K62" s="55">
        <v>20.0</v>
      </c>
      <c r="L62" s="55">
        <v>2.0</v>
      </c>
      <c r="M62" s="55">
        <v>4.0</v>
      </c>
      <c r="N62" s="43">
        <f t="shared" si="4"/>
        <v>6</v>
      </c>
      <c r="O62" s="55">
        <v>6.0</v>
      </c>
      <c r="P62" s="55">
        <v>0.0</v>
      </c>
      <c r="Q62" s="43">
        <f t="shared" si="2"/>
        <v>12</v>
      </c>
      <c r="R62" s="43"/>
      <c r="S62" s="43"/>
      <c r="T62" s="43"/>
      <c r="U62" s="43"/>
      <c r="V62" s="55" t="s">
        <v>457</v>
      </c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371" t="s">
        <v>4232</v>
      </c>
      <c r="C63" s="371" t="s">
        <v>4233</v>
      </c>
      <c r="D63" s="371" t="s">
        <v>4234</v>
      </c>
      <c r="E63" s="293" t="s">
        <v>338</v>
      </c>
      <c r="F63" s="294">
        <v>28.0</v>
      </c>
      <c r="G63" s="294" t="s">
        <v>476</v>
      </c>
      <c r="H63" s="294" t="s">
        <v>435</v>
      </c>
      <c r="I63" s="294">
        <v>9.684935486E9</v>
      </c>
      <c r="J63" s="87">
        <v>29.0</v>
      </c>
      <c r="K63" s="55">
        <v>26.0</v>
      </c>
      <c r="L63" s="55">
        <v>0.0</v>
      </c>
      <c r="M63" s="55">
        <v>3.0</v>
      </c>
      <c r="N63" s="43">
        <f t="shared" si="4"/>
        <v>3</v>
      </c>
      <c r="O63" s="55">
        <v>3.0</v>
      </c>
      <c r="P63" s="55">
        <v>0.0</v>
      </c>
      <c r="Q63" s="43">
        <f t="shared" si="2"/>
        <v>6</v>
      </c>
      <c r="R63" s="43"/>
      <c r="S63" s="43"/>
      <c r="T63" s="43"/>
      <c r="U63" s="43"/>
      <c r="V63" s="43"/>
      <c r="W63" s="56" t="s">
        <v>46</v>
      </c>
      <c r="Z63" s="61"/>
      <c r="AA63" s="61"/>
      <c r="AB63" s="66"/>
      <c r="AC63" s="34"/>
      <c r="AD63" s="34"/>
    </row>
    <row r="64" ht="16.5" customHeight="1">
      <c r="A64" s="28">
        <v>58.0</v>
      </c>
      <c r="B64" s="371" t="s">
        <v>4235</v>
      </c>
      <c r="C64" s="371" t="s">
        <v>4236</v>
      </c>
      <c r="D64" s="371" t="s">
        <v>4237</v>
      </c>
      <c r="E64" s="293" t="s">
        <v>338</v>
      </c>
      <c r="F64" s="294">
        <v>41.0</v>
      </c>
      <c r="G64" s="294" t="s">
        <v>476</v>
      </c>
      <c r="H64" s="294" t="s">
        <v>646</v>
      </c>
      <c r="I64" s="294">
        <v>9.932783622E9</v>
      </c>
      <c r="J64" s="87">
        <v>28.0</v>
      </c>
      <c r="K64" s="55">
        <v>17.0</v>
      </c>
      <c r="L64" s="55">
        <v>0.0</v>
      </c>
      <c r="M64" s="55">
        <v>11.0</v>
      </c>
      <c r="N64" s="43">
        <f t="shared" si="4"/>
        <v>11</v>
      </c>
      <c r="O64" s="55">
        <v>3.0</v>
      </c>
      <c r="P64" s="55">
        <v>3.0</v>
      </c>
      <c r="Q64" s="43">
        <f t="shared" si="2"/>
        <v>17</v>
      </c>
      <c r="R64" s="43"/>
      <c r="S64" s="43"/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6.5" customHeight="1">
      <c r="A65" s="28">
        <v>59.0</v>
      </c>
      <c r="B65" s="371" t="s">
        <v>4238</v>
      </c>
      <c r="C65" s="371" t="s">
        <v>4239</v>
      </c>
      <c r="D65" s="371" t="s">
        <v>751</v>
      </c>
      <c r="E65" s="293" t="s">
        <v>338</v>
      </c>
      <c r="F65" s="294">
        <v>33.0</v>
      </c>
      <c r="G65" s="294" t="s">
        <v>476</v>
      </c>
      <c r="H65" s="294" t="s">
        <v>435</v>
      </c>
      <c r="I65" s="294">
        <v>9.104138133E9</v>
      </c>
      <c r="J65" s="54">
        <v>28.0</v>
      </c>
      <c r="K65" s="55">
        <v>22.0</v>
      </c>
      <c r="L65" s="55">
        <v>3.0</v>
      </c>
      <c r="M65" s="55">
        <v>3.0</v>
      </c>
      <c r="N65" s="43">
        <f t="shared" si="4"/>
        <v>6</v>
      </c>
      <c r="O65" s="55">
        <v>4.0</v>
      </c>
      <c r="P65" s="55">
        <v>0.0</v>
      </c>
      <c r="Q65" s="43">
        <f t="shared" si="2"/>
        <v>10</v>
      </c>
      <c r="R65" s="43"/>
      <c r="S65" s="43"/>
      <c r="T65" s="43"/>
      <c r="U65" s="43"/>
      <c r="V65" s="43"/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371" t="s">
        <v>4240</v>
      </c>
      <c r="C66" s="371" t="s">
        <v>1378</v>
      </c>
      <c r="D66" s="371" t="s">
        <v>112</v>
      </c>
      <c r="E66" s="293" t="s">
        <v>338</v>
      </c>
      <c r="F66" s="294">
        <v>39.0</v>
      </c>
      <c r="G66" s="294" t="s">
        <v>476</v>
      </c>
      <c r="H66" s="294" t="s">
        <v>646</v>
      </c>
      <c r="I66" s="294">
        <v>9.684992402E9</v>
      </c>
      <c r="J66" s="87">
        <v>30.0</v>
      </c>
      <c r="K66" s="55">
        <v>27.0</v>
      </c>
      <c r="L66" s="55">
        <v>0.0</v>
      </c>
      <c r="M66" s="55">
        <v>2.0</v>
      </c>
      <c r="N66" s="43">
        <f t="shared" si="4"/>
        <v>2</v>
      </c>
      <c r="O66" s="55">
        <v>2.0</v>
      </c>
      <c r="P66" s="55">
        <v>0.0</v>
      </c>
      <c r="Q66" s="43">
        <f t="shared" si="2"/>
        <v>4</v>
      </c>
      <c r="R66" s="43"/>
      <c r="S66" s="43"/>
      <c r="T66" s="43"/>
      <c r="U66" s="43"/>
      <c r="V66" s="43"/>
      <c r="W66" s="56" t="s">
        <v>46</v>
      </c>
      <c r="Z66" s="61"/>
      <c r="AA66" s="61"/>
      <c r="AB66" s="66"/>
      <c r="AC66" s="34"/>
      <c r="AD66" s="34"/>
    </row>
    <row r="67" ht="13.5" customHeight="1">
      <c r="A67" s="28">
        <v>61.0</v>
      </c>
      <c r="B67" s="371" t="s">
        <v>4241</v>
      </c>
      <c r="C67" s="371" t="s">
        <v>4242</v>
      </c>
      <c r="D67" s="371" t="s">
        <v>4243</v>
      </c>
      <c r="E67" s="293" t="s">
        <v>338</v>
      </c>
      <c r="F67" s="294">
        <v>30.0</v>
      </c>
      <c r="G67" s="294" t="s">
        <v>476</v>
      </c>
      <c r="H67" s="294" t="s">
        <v>646</v>
      </c>
      <c r="I67" s="372" t="s">
        <v>4244</v>
      </c>
      <c r="J67" s="87">
        <v>29.0</v>
      </c>
      <c r="K67" s="55">
        <v>25.0</v>
      </c>
      <c r="L67" s="55">
        <v>0.0</v>
      </c>
      <c r="M67" s="55">
        <v>4.0</v>
      </c>
      <c r="N67" s="43">
        <f t="shared" si="4"/>
        <v>4</v>
      </c>
      <c r="O67" s="55">
        <v>3.0</v>
      </c>
      <c r="P67" s="55">
        <v>0.0</v>
      </c>
      <c r="Q67" s="43">
        <f t="shared" si="2"/>
        <v>7</v>
      </c>
      <c r="R67" s="43"/>
      <c r="S67" s="43"/>
      <c r="T67" s="43"/>
      <c r="U67" s="43"/>
      <c r="V67" s="43"/>
      <c r="W67" s="56" t="s">
        <v>46</v>
      </c>
      <c r="Z67" s="61"/>
      <c r="AA67" s="61"/>
      <c r="AB67" s="66"/>
      <c r="AC67" s="34"/>
      <c r="AD67" s="34"/>
    </row>
    <row r="68" ht="13.5" customHeight="1">
      <c r="A68" s="28">
        <v>62.0</v>
      </c>
      <c r="B68" s="371" t="s">
        <v>4245</v>
      </c>
      <c r="C68" s="371" t="s">
        <v>4246</v>
      </c>
      <c r="D68" s="371" t="s">
        <v>3228</v>
      </c>
      <c r="E68" s="293" t="s">
        <v>338</v>
      </c>
      <c r="F68" s="294">
        <v>26.0</v>
      </c>
      <c r="G68" s="294" t="s">
        <v>476</v>
      </c>
      <c r="H68" s="294" t="s">
        <v>435</v>
      </c>
      <c r="I68" s="294">
        <v>9.099792695E9</v>
      </c>
      <c r="J68" s="87">
        <v>28.0</v>
      </c>
      <c r="K68" s="55">
        <v>22.0</v>
      </c>
      <c r="L68" s="55">
        <v>0.0</v>
      </c>
      <c r="M68" s="55">
        <v>4.0</v>
      </c>
      <c r="N68" s="43">
        <f t="shared" si="4"/>
        <v>4</v>
      </c>
      <c r="O68" s="55">
        <v>2.0</v>
      </c>
      <c r="P68" s="55">
        <v>2.0</v>
      </c>
      <c r="Q68" s="43">
        <f t="shared" si="2"/>
        <v>8</v>
      </c>
      <c r="R68" s="43"/>
      <c r="S68" s="43"/>
      <c r="T68" s="43"/>
      <c r="U68" s="43"/>
      <c r="V68" s="43"/>
      <c r="W68" s="56" t="s">
        <v>46</v>
      </c>
      <c r="Z68" s="61"/>
      <c r="AA68" s="61"/>
      <c r="AB68" s="66"/>
      <c r="AC68" s="34"/>
      <c r="AD68" s="34"/>
    </row>
    <row r="69" ht="13.5" customHeight="1">
      <c r="A69" s="28">
        <v>63.0</v>
      </c>
      <c r="B69" s="371" t="s">
        <v>4247</v>
      </c>
      <c r="C69" s="371" t="s">
        <v>4248</v>
      </c>
      <c r="D69" s="371" t="s">
        <v>4249</v>
      </c>
      <c r="E69" s="293" t="s">
        <v>338</v>
      </c>
      <c r="F69" s="294">
        <v>27.0</v>
      </c>
      <c r="G69" s="294" t="s">
        <v>476</v>
      </c>
      <c r="H69" s="294" t="s">
        <v>435</v>
      </c>
      <c r="I69" s="294">
        <v>9.382899947E9</v>
      </c>
      <c r="J69" s="87">
        <v>28.0</v>
      </c>
      <c r="K69" s="55">
        <v>25.0</v>
      </c>
      <c r="L69" s="55">
        <v>0.0</v>
      </c>
      <c r="M69" s="55">
        <v>3.0</v>
      </c>
      <c r="N69" s="43">
        <f t="shared" si="4"/>
        <v>3</v>
      </c>
      <c r="O69" s="55">
        <v>1.0</v>
      </c>
      <c r="P69" s="55">
        <v>0.0</v>
      </c>
      <c r="Q69" s="43">
        <f t="shared" si="2"/>
        <v>4</v>
      </c>
      <c r="R69" s="43"/>
      <c r="S69" s="43"/>
      <c r="T69" s="43"/>
      <c r="U69" s="43"/>
      <c r="V69" s="43"/>
      <c r="W69" s="56" t="s">
        <v>46</v>
      </c>
      <c r="Z69" s="61"/>
      <c r="AA69" s="61"/>
      <c r="AB69" s="66"/>
      <c r="AC69" s="34"/>
      <c r="AD69" s="34"/>
    </row>
    <row r="70" ht="13.5" customHeight="1">
      <c r="A70" s="28">
        <v>64.0</v>
      </c>
      <c r="B70" s="371" t="s">
        <v>4250</v>
      </c>
      <c r="C70" s="371" t="s">
        <v>4251</v>
      </c>
      <c r="D70" s="371" t="s">
        <v>1623</v>
      </c>
      <c r="E70" s="293" t="s">
        <v>338</v>
      </c>
      <c r="F70" s="294">
        <v>30.0</v>
      </c>
      <c r="G70" s="294" t="s">
        <v>476</v>
      </c>
      <c r="H70" s="294" t="s">
        <v>435</v>
      </c>
      <c r="I70" s="294">
        <v>9.068145921E9</v>
      </c>
      <c r="J70" s="87">
        <v>30.0</v>
      </c>
      <c r="K70" s="55">
        <v>18.0</v>
      </c>
      <c r="L70" s="55">
        <v>0.0</v>
      </c>
      <c r="M70" s="55">
        <v>4.0</v>
      </c>
      <c r="N70" s="43">
        <f t="shared" si="4"/>
        <v>4</v>
      </c>
      <c r="O70" s="55">
        <v>2.0</v>
      </c>
      <c r="P70" s="55">
        <v>8.0</v>
      </c>
      <c r="Q70" s="43">
        <f t="shared" si="2"/>
        <v>14</v>
      </c>
      <c r="R70" s="43"/>
      <c r="S70" s="55" t="s">
        <v>277</v>
      </c>
      <c r="T70" s="43"/>
      <c r="U70" s="43"/>
      <c r="V70" s="55" t="s">
        <v>1910</v>
      </c>
      <c r="W70" s="56" t="s">
        <v>46</v>
      </c>
      <c r="Z70" s="61"/>
      <c r="AA70" s="61"/>
      <c r="AB70" s="66"/>
      <c r="AC70" s="34"/>
      <c r="AD70" s="34"/>
    </row>
    <row r="71" ht="13.5" customHeight="1">
      <c r="A71" s="28">
        <v>65.0</v>
      </c>
      <c r="B71" s="371" t="s">
        <v>1595</v>
      </c>
      <c r="C71" s="371" t="s">
        <v>4252</v>
      </c>
      <c r="D71" s="371" t="s">
        <v>4253</v>
      </c>
      <c r="E71" s="293" t="s">
        <v>338</v>
      </c>
      <c r="F71" s="294">
        <v>48.0</v>
      </c>
      <c r="G71" s="294" t="s">
        <v>476</v>
      </c>
      <c r="H71" s="294" t="s">
        <v>4109</v>
      </c>
      <c r="I71" s="294">
        <v>9.190060176E9</v>
      </c>
      <c r="J71" s="83"/>
      <c r="K71" s="43"/>
      <c r="L71" s="43"/>
      <c r="M71" s="43"/>
      <c r="N71" s="43">
        <f t="shared" si="4"/>
        <v>0</v>
      </c>
      <c r="O71" s="43"/>
      <c r="P71" s="43"/>
      <c r="Q71" s="43">
        <f t="shared" si="2"/>
        <v>0</v>
      </c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371" t="s">
        <v>4254</v>
      </c>
      <c r="C72" s="371" t="s">
        <v>4255</v>
      </c>
      <c r="D72" s="371" t="s">
        <v>4256</v>
      </c>
      <c r="E72" s="293" t="s">
        <v>338</v>
      </c>
      <c r="F72" s="294">
        <v>33.0</v>
      </c>
      <c r="G72" s="294" t="s">
        <v>584</v>
      </c>
      <c r="H72" s="294" t="s">
        <v>663</v>
      </c>
      <c r="I72" s="372" t="s">
        <v>4257</v>
      </c>
      <c r="J72" s="87">
        <v>31.0</v>
      </c>
      <c r="K72" s="55">
        <v>31.0</v>
      </c>
      <c r="L72" s="55">
        <v>0.0</v>
      </c>
      <c r="M72" s="55">
        <v>0.0</v>
      </c>
      <c r="N72" s="43">
        <f t="shared" si="4"/>
        <v>0</v>
      </c>
      <c r="O72" s="55">
        <v>1.0</v>
      </c>
      <c r="P72" s="55">
        <v>0.0</v>
      </c>
      <c r="Q72" s="43">
        <f t="shared" si="2"/>
        <v>1</v>
      </c>
      <c r="R72" s="43"/>
      <c r="S72" s="43"/>
      <c r="T72" s="43"/>
      <c r="U72" s="43"/>
      <c r="V72" s="43"/>
      <c r="W72" s="56" t="s">
        <v>46</v>
      </c>
      <c r="Z72" s="61"/>
      <c r="AA72" s="61"/>
      <c r="AB72" s="66"/>
      <c r="AC72" s="34"/>
      <c r="AD72" s="34"/>
    </row>
    <row r="73" ht="13.5" customHeight="1">
      <c r="A73" s="28">
        <v>67.0</v>
      </c>
      <c r="B73" s="371" t="s">
        <v>725</v>
      </c>
      <c r="C73" s="371" t="s">
        <v>4258</v>
      </c>
      <c r="D73" s="371" t="s">
        <v>4259</v>
      </c>
      <c r="E73" s="293" t="s">
        <v>338</v>
      </c>
      <c r="F73" s="294">
        <v>27.0</v>
      </c>
      <c r="G73" s="294" t="s">
        <v>584</v>
      </c>
      <c r="H73" s="294" t="s">
        <v>435</v>
      </c>
      <c r="I73" s="294">
        <v>9.092647062E9</v>
      </c>
      <c r="J73" s="87">
        <v>26.0</v>
      </c>
      <c r="K73" s="55">
        <v>23.0</v>
      </c>
      <c r="L73" s="55">
        <v>0.0</v>
      </c>
      <c r="M73" s="55">
        <v>2.0</v>
      </c>
      <c r="N73" s="43">
        <f t="shared" si="4"/>
        <v>2</v>
      </c>
      <c r="O73" s="55">
        <v>6.0</v>
      </c>
      <c r="P73" s="55">
        <v>1.0</v>
      </c>
      <c r="Q73" s="43">
        <f t="shared" si="2"/>
        <v>9</v>
      </c>
      <c r="R73" s="43"/>
      <c r="S73" s="43"/>
      <c r="T73" s="43"/>
      <c r="U73" s="43"/>
      <c r="V73" s="43"/>
      <c r="W73" s="56" t="s">
        <v>46</v>
      </c>
      <c r="Z73" s="61"/>
      <c r="AA73" s="61"/>
      <c r="AB73" s="66"/>
      <c r="AC73" s="34"/>
      <c r="AD73" s="34"/>
    </row>
    <row r="74" ht="13.5" customHeight="1">
      <c r="A74" s="28">
        <v>68.0</v>
      </c>
      <c r="B74" s="371" t="s">
        <v>4260</v>
      </c>
      <c r="C74" s="371" t="s">
        <v>650</v>
      </c>
      <c r="D74" s="371" t="s">
        <v>4261</v>
      </c>
      <c r="E74" s="293" t="s">
        <v>338</v>
      </c>
      <c r="F74" s="294">
        <v>40.0</v>
      </c>
      <c r="G74" s="294" t="s">
        <v>476</v>
      </c>
      <c r="H74" s="294" t="s">
        <v>4109</v>
      </c>
      <c r="I74" s="294">
        <v>9.551195228E9</v>
      </c>
      <c r="J74" s="83"/>
      <c r="K74" s="43"/>
      <c r="L74" s="43"/>
      <c r="M74" s="43"/>
      <c r="N74" s="43">
        <f t="shared" si="4"/>
        <v>0</v>
      </c>
      <c r="O74" s="43"/>
      <c r="P74" s="43"/>
      <c r="Q74" s="43">
        <f t="shared" si="2"/>
        <v>0</v>
      </c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371" t="s">
        <v>325</v>
      </c>
      <c r="C75" s="371" t="s">
        <v>1449</v>
      </c>
      <c r="D75" s="371" t="s">
        <v>202</v>
      </c>
      <c r="E75" s="293" t="s">
        <v>338</v>
      </c>
      <c r="F75" s="294">
        <v>45.0</v>
      </c>
      <c r="G75" s="294" t="s">
        <v>476</v>
      </c>
      <c r="H75" s="294" t="s">
        <v>4109</v>
      </c>
      <c r="I75" s="294">
        <v>9.067257296E9</v>
      </c>
      <c r="J75" s="87">
        <v>26.0</v>
      </c>
      <c r="K75" s="55">
        <v>25.0</v>
      </c>
      <c r="L75" s="55">
        <v>0.0</v>
      </c>
      <c r="M75" s="55">
        <v>1.0</v>
      </c>
      <c r="N75" s="43">
        <f t="shared" si="4"/>
        <v>1</v>
      </c>
      <c r="O75" s="55">
        <v>6.0</v>
      </c>
      <c r="P75" s="55">
        <v>0.0</v>
      </c>
      <c r="Q75" s="43">
        <f t="shared" si="2"/>
        <v>7</v>
      </c>
      <c r="R75" s="43"/>
      <c r="S75" s="55" t="s">
        <v>277</v>
      </c>
      <c r="T75" s="43"/>
      <c r="U75" s="43"/>
      <c r="V75" s="43"/>
      <c r="W75" s="56" t="s">
        <v>46</v>
      </c>
      <c r="Z75" s="61"/>
      <c r="AA75" s="61"/>
      <c r="AB75" s="66"/>
      <c r="AC75" s="34"/>
      <c r="AD75" s="34"/>
    </row>
    <row r="76" ht="13.5" customHeight="1">
      <c r="A76" s="28">
        <v>70.0</v>
      </c>
      <c r="B76" s="371" t="s">
        <v>4262</v>
      </c>
      <c r="C76" s="371" t="s">
        <v>4263</v>
      </c>
      <c r="D76" s="371" t="s">
        <v>4264</v>
      </c>
      <c r="E76" s="293" t="s">
        <v>338</v>
      </c>
      <c r="F76" s="294">
        <v>36.0</v>
      </c>
      <c r="G76" s="294" t="s">
        <v>476</v>
      </c>
      <c r="H76" s="294" t="s">
        <v>435</v>
      </c>
      <c r="I76" s="324">
        <v>9.202793279E9</v>
      </c>
      <c r="J76" s="54">
        <v>26.0</v>
      </c>
      <c r="K76" s="55">
        <v>23.0</v>
      </c>
      <c r="L76" s="55">
        <v>0.0</v>
      </c>
      <c r="M76" s="55">
        <v>0.0</v>
      </c>
      <c r="N76" s="43">
        <f t="shared" si="4"/>
        <v>0</v>
      </c>
      <c r="O76" s="55">
        <v>3.0</v>
      </c>
      <c r="P76" s="55">
        <v>11.0</v>
      </c>
      <c r="Q76" s="43">
        <f t="shared" si="2"/>
        <v>14</v>
      </c>
      <c r="R76" s="43"/>
      <c r="S76" s="43"/>
      <c r="T76" s="43"/>
      <c r="U76" s="43"/>
      <c r="V76" s="43"/>
      <c r="W76" s="56" t="s">
        <v>46</v>
      </c>
      <c r="Z76" s="61"/>
      <c r="AA76" s="61"/>
      <c r="AB76" s="66"/>
      <c r="AC76" s="34"/>
      <c r="AD76" s="34"/>
    </row>
    <row r="77" ht="13.5" customHeight="1">
      <c r="A77" s="28">
        <v>71.0</v>
      </c>
      <c r="B77" s="371" t="s">
        <v>4265</v>
      </c>
      <c r="C77" s="371" t="s">
        <v>4266</v>
      </c>
      <c r="D77" s="371" t="s">
        <v>4267</v>
      </c>
      <c r="E77" s="293" t="s">
        <v>338</v>
      </c>
      <c r="F77" s="294">
        <v>46.0</v>
      </c>
      <c r="G77" s="294" t="s">
        <v>476</v>
      </c>
      <c r="H77" s="294" t="s">
        <v>646</v>
      </c>
      <c r="I77" s="294">
        <v>9.958402179E9</v>
      </c>
      <c r="J77" s="54">
        <v>26.0</v>
      </c>
      <c r="K77" s="55">
        <v>19.0</v>
      </c>
      <c r="L77" s="55">
        <v>0.0</v>
      </c>
      <c r="M77" s="55">
        <v>3.0</v>
      </c>
      <c r="N77" s="43">
        <f t="shared" si="4"/>
        <v>3</v>
      </c>
      <c r="O77" s="55">
        <v>4.0</v>
      </c>
      <c r="P77" s="55">
        <v>4.0</v>
      </c>
      <c r="Q77" s="43">
        <f t="shared" si="2"/>
        <v>11</v>
      </c>
      <c r="R77" s="43"/>
      <c r="S77" s="43"/>
      <c r="T77" s="43"/>
      <c r="U77" s="43"/>
      <c r="V77" s="43"/>
      <c r="W77" s="56" t="s">
        <v>46</v>
      </c>
      <c r="Z77" s="61"/>
      <c r="AA77" s="61"/>
      <c r="AB77" s="66"/>
      <c r="AC77" s="34"/>
      <c r="AD77" s="34"/>
    </row>
    <row r="78" ht="13.5" customHeight="1">
      <c r="A78" s="28">
        <v>72.0</v>
      </c>
      <c r="B78" s="371" t="s">
        <v>4268</v>
      </c>
      <c r="C78" s="371" t="s">
        <v>4269</v>
      </c>
      <c r="D78" s="371" t="s">
        <v>4270</v>
      </c>
      <c r="E78" s="293" t="s">
        <v>338</v>
      </c>
      <c r="F78" s="294">
        <v>52.0</v>
      </c>
      <c r="G78" s="294" t="s">
        <v>476</v>
      </c>
      <c r="H78" s="294" t="s">
        <v>646</v>
      </c>
      <c r="I78" s="294">
        <v>9.573301215E9</v>
      </c>
      <c r="J78" s="54">
        <v>27.0</v>
      </c>
      <c r="K78" s="55">
        <v>20.0</v>
      </c>
      <c r="L78" s="55">
        <v>3.0</v>
      </c>
      <c r="M78" s="55">
        <v>2.0</v>
      </c>
      <c r="N78" s="43">
        <f t="shared" si="4"/>
        <v>5</v>
      </c>
      <c r="O78" s="55">
        <v>4.0</v>
      </c>
      <c r="P78" s="55">
        <v>0.0</v>
      </c>
      <c r="Q78" s="43">
        <f t="shared" si="2"/>
        <v>9</v>
      </c>
      <c r="R78" s="43"/>
      <c r="S78" s="55" t="s">
        <v>88</v>
      </c>
      <c r="T78" s="43"/>
      <c r="U78" s="43"/>
      <c r="V78" s="43"/>
      <c r="W78" s="56" t="s">
        <v>46</v>
      </c>
      <c r="Z78" s="61"/>
      <c r="AA78" s="61"/>
      <c r="AB78" s="66"/>
      <c r="AC78" s="34"/>
      <c r="AD78" s="34"/>
    </row>
    <row r="79" ht="13.5" customHeight="1">
      <c r="A79" s="28">
        <v>73.0</v>
      </c>
      <c r="B79" s="371" t="s">
        <v>4271</v>
      </c>
      <c r="C79" s="371" t="s">
        <v>4272</v>
      </c>
      <c r="D79" s="371" t="s">
        <v>4273</v>
      </c>
      <c r="E79" s="293" t="s">
        <v>338</v>
      </c>
      <c r="F79" s="294">
        <v>38.0</v>
      </c>
      <c r="G79" s="294" t="s">
        <v>584</v>
      </c>
      <c r="H79" s="294" t="s">
        <v>435</v>
      </c>
      <c r="I79" s="294">
        <v>9.605311127E9</v>
      </c>
      <c r="J79" s="42"/>
      <c r="K79" s="43"/>
      <c r="L79" s="43"/>
      <c r="M79" s="43"/>
      <c r="N79" s="43">
        <f t="shared" si="4"/>
        <v>0</v>
      </c>
      <c r="O79" s="43"/>
      <c r="P79" s="43"/>
      <c r="Q79" s="43">
        <f t="shared" si="2"/>
        <v>0</v>
      </c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371" t="s">
        <v>4274</v>
      </c>
      <c r="C80" s="371" t="s">
        <v>4275</v>
      </c>
      <c r="D80" s="371" t="s">
        <v>4276</v>
      </c>
      <c r="E80" s="293" t="s">
        <v>338</v>
      </c>
      <c r="F80" s="294">
        <v>32.0</v>
      </c>
      <c r="G80" s="294" t="s">
        <v>476</v>
      </c>
      <c r="H80" s="294" t="s">
        <v>435</v>
      </c>
      <c r="I80" s="294">
        <v>9.605311014E9</v>
      </c>
      <c r="J80" s="54">
        <v>25.0</v>
      </c>
      <c r="K80" s="55">
        <v>23.0</v>
      </c>
      <c r="L80" s="55">
        <v>0.0</v>
      </c>
      <c r="M80" s="55">
        <v>2.0</v>
      </c>
      <c r="N80" s="43">
        <f t="shared" si="4"/>
        <v>2</v>
      </c>
      <c r="O80" s="55">
        <v>3.0</v>
      </c>
      <c r="P80" s="55">
        <v>0.0</v>
      </c>
      <c r="Q80" s="43">
        <f t="shared" si="2"/>
        <v>5</v>
      </c>
      <c r="R80" s="43"/>
      <c r="S80" s="43"/>
      <c r="T80" s="43"/>
      <c r="U80" s="43"/>
      <c r="V80" s="43"/>
      <c r="W80" s="56" t="s">
        <v>46</v>
      </c>
      <c r="Z80" s="61"/>
      <c r="AA80" s="61"/>
      <c r="AB80" s="66"/>
      <c r="AC80" s="34"/>
      <c r="AD80" s="34"/>
    </row>
    <row r="81" ht="13.5" customHeight="1">
      <c r="A81" s="28">
        <v>75.0</v>
      </c>
      <c r="B81" s="371" t="s">
        <v>598</v>
      </c>
      <c r="C81" s="371" t="s">
        <v>4277</v>
      </c>
      <c r="D81" s="371" t="s">
        <v>4278</v>
      </c>
      <c r="E81" s="293" t="s">
        <v>338</v>
      </c>
      <c r="F81" s="294">
        <v>37.0</v>
      </c>
      <c r="G81" s="294" t="s">
        <v>584</v>
      </c>
      <c r="H81" s="294" t="s">
        <v>4279</v>
      </c>
      <c r="I81" s="372" t="s">
        <v>4280</v>
      </c>
      <c r="J81" s="42"/>
      <c r="K81" s="43"/>
      <c r="L81" s="43"/>
      <c r="M81" s="43"/>
      <c r="N81" s="43">
        <f t="shared" si="4"/>
        <v>0</v>
      </c>
      <c r="O81" s="43"/>
      <c r="P81" s="43"/>
      <c r="Q81" s="43">
        <f t="shared" si="2"/>
        <v>0</v>
      </c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371" t="s">
        <v>3270</v>
      </c>
      <c r="C82" s="371" t="s">
        <v>4281</v>
      </c>
      <c r="D82" s="371" t="s">
        <v>3131</v>
      </c>
      <c r="E82" s="293" t="s">
        <v>338</v>
      </c>
      <c r="F82" s="294">
        <v>38.0</v>
      </c>
      <c r="G82" s="294" t="s">
        <v>476</v>
      </c>
      <c r="H82" s="294" t="s">
        <v>646</v>
      </c>
      <c r="I82" s="372" t="s">
        <v>4282</v>
      </c>
      <c r="J82" s="54">
        <v>26.0</v>
      </c>
      <c r="K82" s="55">
        <v>25.0</v>
      </c>
      <c r="L82" s="55">
        <v>0.0</v>
      </c>
      <c r="M82" s="55">
        <v>1.0</v>
      </c>
      <c r="N82" s="43">
        <f t="shared" si="4"/>
        <v>1</v>
      </c>
      <c r="O82" s="55">
        <v>4.0</v>
      </c>
      <c r="P82" s="55">
        <v>0.0</v>
      </c>
      <c r="Q82" s="43">
        <f t="shared" si="2"/>
        <v>5</v>
      </c>
      <c r="R82" s="43"/>
      <c r="S82" s="43"/>
      <c r="T82" s="43"/>
      <c r="U82" s="43"/>
      <c r="V82" s="43"/>
      <c r="W82" s="56" t="s">
        <v>46</v>
      </c>
      <c r="Z82" s="61"/>
      <c r="AA82" s="61"/>
      <c r="AB82" s="66"/>
      <c r="AC82" s="34"/>
      <c r="AD82" s="34"/>
    </row>
    <row r="83" ht="13.5" customHeight="1">
      <c r="A83" s="28">
        <v>77.0</v>
      </c>
      <c r="B83" s="371" t="s">
        <v>4283</v>
      </c>
      <c r="C83" s="371" t="s">
        <v>4284</v>
      </c>
      <c r="D83" s="371" t="s">
        <v>4285</v>
      </c>
      <c r="E83" s="293" t="s">
        <v>338</v>
      </c>
      <c r="F83" s="294">
        <v>32.0</v>
      </c>
      <c r="G83" s="294" t="s">
        <v>476</v>
      </c>
      <c r="H83" s="294" t="s">
        <v>435</v>
      </c>
      <c r="I83" s="294">
        <v>9.776260326E9</v>
      </c>
      <c r="J83" s="54">
        <v>30.0</v>
      </c>
      <c r="K83" s="55">
        <v>19.0</v>
      </c>
      <c r="L83" s="55">
        <v>0.0</v>
      </c>
      <c r="M83" s="55">
        <v>3.0</v>
      </c>
      <c r="N83" s="43">
        <f t="shared" si="4"/>
        <v>3</v>
      </c>
      <c r="O83" s="55">
        <v>3.0</v>
      </c>
      <c r="P83" s="55">
        <v>2.0</v>
      </c>
      <c r="Q83" s="43">
        <f t="shared" si="2"/>
        <v>8</v>
      </c>
      <c r="R83" s="43"/>
      <c r="S83" s="43"/>
      <c r="T83" s="43"/>
      <c r="U83" s="43"/>
      <c r="V83" s="43"/>
      <c r="W83" s="56" t="s">
        <v>46</v>
      </c>
      <c r="Z83" s="61"/>
      <c r="AA83" s="61"/>
      <c r="AB83" s="66"/>
      <c r="AC83" s="34"/>
      <c r="AD83" s="34"/>
    </row>
    <row r="84" ht="13.5" customHeight="1">
      <c r="A84" s="28">
        <v>78.0</v>
      </c>
      <c r="B84" s="371" t="s">
        <v>4286</v>
      </c>
      <c r="C84" s="371" t="s">
        <v>4287</v>
      </c>
      <c r="D84" s="371" t="s">
        <v>4285</v>
      </c>
      <c r="E84" s="293" t="s">
        <v>338</v>
      </c>
      <c r="F84" s="294">
        <v>34.0</v>
      </c>
      <c r="G84" s="294" t="s">
        <v>476</v>
      </c>
      <c r="H84" s="294" t="s">
        <v>663</v>
      </c>
      <c r="I84" s="294">
        <v>9.567488162E9</v>
      </c>
      <c r="J84" s="54">
        <v>31.0</v>
      </c>
      <c r="K84" s="55">
        <v>23.0</v>
      </c>
      <c r="L84" s="55">
        <v>0.0</v>
      </c>
      <c r="M84" s="55">
        <v>0.0</v>
      </c>
      <c r="N84" s="43">
        <f t="shared" si="4"/>
        <v>0</v>
      </c>
      <c r="O84" s="55">
        <v>1.0</v>
      </c>
      <c r="P84" s="55">
        <v>8.0</v>
      </c>
      <c r="Q84" s="43">
        <f t="shared" si="2"/>
        <v>9</v>
      </c>
      <c r="R84" s="43"/>
      <c r="S84" s="43"/>
      <c r="T84" s="43"/>
      <c r="U84" s="43"/>
      <c r="V84" s="43"/>
      <c r="W84" s="56" t="s">
        <v>46</v>
      </c>
      <c r="Z84" s="61"/>
      <c r="AA84" s="61"/>
      <c r="AB84" s="66"/>
      <c r="AC84" s="34"/>
      <c r="AD84" s="34"/>
    </row>
    <row r="85" ht="13.5" customHeight="1">
      <c r="A85" s="28">
        <v>79.0</v>
      </c>
      <c r="B85" s="371" t="s">
        <v>4288</v>
      </c>
      <c r="C85" s="371" t="s">
        <v>4289</v>
      </c>
      <c r="D85" s="371" t="s">
        <v>4290</v>
      </c>
      <c r="E85" s="293" t="s">
        <v>338</v>
      </c>
      <c r="F85" s="294">
        <v>31.0</v>
      </c>
      <c r="G85" s="294" t="s">
        <v>584</v>
      </c>
      <c r="H85" s="294" t="s">
        <v>435</v>
      </c>
      <c r="I85" s="294">
        <v>9.605311141E9</v>
      </c>
      <c r="J85" s="42"/>
      <c r="K85" s="43"/>
      <c r="L85" s="43"/>
      <c r="M85" s="43"/>
      <c r="N85" s="43">
        <f t="shared" si="4"/>
        <v>0</v>
      </c>
      <c r="O85" s="43"/>
      <c r="P85" s="43"/>
      <c r="Q85" s="43">
        <f t="shared" si="2"/>
        <v>0</v>
      </c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371" t="s">
        <v>4291</v>
      </c>
      <c r="C86" s="371" t="s">
        <v>650</v>
      </c>
      <c r="D86" s="371" t="s">
        <v>4292</v>
      </c>
      <c r="E86" s="293" t="s">
        <v>338</v>
      </c>
      <c r="F86" s="294">
        <v>35.0</v>
      </c>
      <c r="G86" s="294" t="s">
        <v>476</v>
      </c>
      <c r="H86" s="294" t="s">
        <v>646</v>
      </c>
      <c r="I86" s="294">
        <v>9.668077669E9</v>
      </c>
      <c r="J86" s="54">
        <v>32.0</v>
      </c>
      <c r="K86" s="55">
        <v>26.0</v>
      </c>
      <c r="L86" s="55">
        <v>0.0</v>
      </c>
      <c r="M86" s="55">
        <v>0.0</v>
      </c>
      <c r="N86" s="43">
        <f t="shared" si="4"/>
        <v>0</v>
      </c>
      <c r="O86" s="55">
        <v>0.0</v>
      </c>
      <c r="P86" s="55">
        <v>6.0</v>
      </c>
      <c r="Q86" s="43">
        <f t="shared" si="2"/>
        <v>6</v>
      </c>
      <c r="R86" s="43"/>
      <c r="S86" s="43"/>
      <c r="T86" s="43"/>
      <c r="U86" s="55" t="s">
        <v>101</v>
      </c>
      <c r="V86" s="55" t="s">
        <v>4293</v>
      </c>
      <c r="W86" s="56" t="s">
        <v>46</v>
      </c>
      <c r="Z86" s="61"/>
      <c r="AA86" s="61"/>
      <c r="AB86" s="66"/>
      <c r="AC86" s="34"/>
      <c r="AD86" s="34"/>
    </row>
    <row r="87" ht="13.5" customHeight="1">
      <c r="A87" s="28">
        <v>81.0</v>
      </c>
      <c r="B87" s="371" t="s">
        <v>651</v>
      </c>
      <c r="C87" s="371" t="s">
        <v>4294</v>
      </c>
      <c r="D87" s="371" t="s">
        <v>4295</v>
      </c>
      <c r="E87" s="293" t="s">
        <v>338</v>
      </c>
      <c r="F87" s="294">
        <v>43.0</v>
      </c>
      <c r="G87" s="294" t="s">
        <v>476</v>
      </c>
      <c r="H87" s="294" t="s">
        <v>435</v>
      </c>
      <c r="I87" s="294">
        <v>9.192253805E9</v>
      </c>
      <c r="J87" s="54">
        <v>32.0</v>
      </c>
      <c r="K87" s="55">
        <v>21.0</v>
      </c>
      <c r="L87" s="55">
        <v>0.0</v>
      </c>
      <c r="M87" s="55">
        <v>0.0</v>
      </c>
      <c r="N87" s="43">
        <f t="shared" si="4"/>
        <v>0</v>
      </c>
      <c r="O87" s="55">
        <v>0.0</v>
      </c>
      <c r="P87" s="55">
        <v>11.0</v>
      </c>
      <c r="Q87" s="43">
        <f t="shared" si="2"/>
        <v>11</v>
      </c>
      <c r="R87" s="43"/>
      <c r="S87" s="55" t="s">
        <v>277</v>
      </c>
      <c r="T87" s="43" t="s">
        <v>116</v>
      </c>
      <c r="U87" s="43"/>
      <c r="V87" s="43"/>
      <c r="W87" s="56" t="s">
        <v>46</v>
      </c>
      <c r="Z87" s="61"/>
      <c r="AA87" s="61"/>
      <c r="AB87" s="66"/>
      <c r="AC87" s="34"/>
      <c r="AD87" s="34"/>
    </row>
    <row r="88" ht="13.5" customHeight="1">
      <c r="A88" s="28">
        <v>82.0</v>
      </c>
      <c r="B88" s="371" t="s">
        <v>4296</v>
      </c>
      <c r="C88" s="371" t="s">
        <v>4297</v>
      </c>
      <c r="D88" s="371" t="s">
        <v>4298</v>
      </c>
      <c r="E88" s="293" t="s">
        <v>338</v>
      </c>
      <c r="F88" s="294">
        <v>45.0</v>
      </c>
      <c r="G88" s="294" t="s">
        <v>584</v>
      </c>
      <c r="H88" s="294" t="s">
        <v>435</v>
      </c>
      <c r="I88" s="294">
        <v>9.061046105E9</v>
      </c>
      <c r="J88" s="54">
        <v>26.0</v>
      </c>
      <c r="K88" s="55">
        <v>14.0</v>
      </c>
      <c r="L88" s="55">
        <v>3.0</v>
      </c>
      <c r="M88" s="55">
        <v>8.0</v>
      </c>
      <c r="N88" s="43">
        <f t="shared" si="4"/>
        <v>11</v>
      </c>
      <c r="O88" s="55">
        <v>3.0</v>
      </c>
      <c r="P88" s="55">
        <v>2.0</v>
      </c>
      <c r="Q88" s="43">
        <f t="shared" si="2"/>
        <v>16</v>
      </c>
      <c r="R88" s="43"/>
      <c r="S88" s="43"/>
      <c r="T88" s="43"/>
      <c r="U88" s="43"/>
      <c r="V88" s="43"/>
      <c r="W88" s="56" t="s">
        <v>46</v>
      </c>
      <c r="Z88" s="61"/>
      <c r="AA88" s="61"/>
      <c r="AB88" s="66"/>
      <c r="AC88" s="34"/>
      <c r="AD88" s="34"/>
    </row>
    <row r="89" ht="13.5" customHeight="1">
      <c r="A89" s="28">
        <v>83.0</v>
      </c>
      <c r="B89" s="371" t="s">
        <v>2349</v>
      </c>
      <c r="C89" s="371" t="s">
        <v>4299</v>
      </c>
      <c r="D89" s="371" t="s">
        <v>2994</v>
      </c>
      <c r="E89" s="293" t="s">
        <v>338</v>
      </c>
      <c r="F89" s="294">
        <v>47.0</v>
      </c>
      <c r="G89" s="294" t="s">
        <v>476</v>
      </c>
      <c r="H89" s="294" t="s">
        <v>663</v>
      </c>
      <c r="I89" s="294">
        <v>9.198461306E9</v>
      </c>
      <c r="J89" s="54">
        <v>29.0</v>
      </c>
      <c r="K89" s="55">
        <v>9.0</v>
      </c>
      <c r="L89" s="55">
        <v>0.0</v>
      </c>
      <c r="M89" s="55">
        <v>10.0</v>
      </c>
      <c r="N89" s="43">
        <f t="shared" si="4"/>
        <v>10</v>
      </c>
      <c r="O89" s="55">
        <v>3.0</v>
      </c>
      <c r="P89" s="55">
        <v>8.0</v>
      </c>
      <c r="Q89" s="43">
        <f t="shared" si="2"/>
        <v>21</v>
      </c>
      <c r="R89" s="43"/>
      <c r="S89" s="43"/>
      <c r="T89" s="43"/>
      <c r="U89" s="43"/>
      <c r="V89" s="43"/>
      <c r="W89" s="56" t="s">
        <v>46</v>
      </c>
      <c r="Z89" s="61"/>
      <c r="AA89" s="61"/>
      <c r="AB89" s="66"/>
      <c r="AC89" s="34"/>
      <c r="AD89" s="34"/>
    </row>
    <row r="90" ht="13.5" customHeight="1">
      <c r="A90" s="28">
        <v>84.0</v>
      </c>
      <c r="B90" s="371" t="s">
        <v>4300</v>
      </c>
      <c r="C90" s="371" t="s">
        <v>4301</v>
      </c>
      <c r="D90" s="371" t="s">
        <v>4302</v>
      </c>
      <c r="E90" s="293" t="s">
        <v>338</v>
      </c>
      <c r="F90" s="294">
        <v>32.0</v>
      </c>
      <c r="G90" s="294" t="s">
        <v>476</v>
      </c>
      <c r="H90" s="294" t="s">
        <v>435</v>
      </c>
      <c r="I90" s="294">
        <v>9.276638163E9</v>
      </c>
      <c r="J90" s="54">
        <v>28.0</v>
      </c>
      <c r="K90" s="55">
        <v>13.0</v>
      </c>
      <c r="L90" s="55">
        <v>0.0</v>
      </c>
      <c r="M90" s="55">
        <v>3.0</v>
      </c>
      <c r="N90" s="43">
        <f t="shared" si="4"/>
        <v>3</v>
      </c>
      <c r="O90" s="55">
        <v>4.0</v>
      </c>
      <c r="P90" s="55">
        <v>11.0</v>
      </c>
      <c r="Q90" s="43">
        <f t="shared" si="2"/>
        <v>18</v>
      </c>
      <c r="R90" s="43"/>
      <c r="S90" s="55"/>
      <c r="T90" s="43"/>
      <c r="U90" s="55" t="s">
        <v>101</v>
      </c>
      <c r="V90" s="55" t="s">
        <v>4303</v>
      </c>
      <c r="W90" s="56" t="s">
        <v>46</v>
      </c>
      <c r="Z90" s="61"/>
      <c r="AA90" s="61"/>
      <c r="AB90" s="66"/>
      <c r="AC90" s="34"/>
      <c r="AD90" s="34"/>
    </row>
    <row r="91" ht="13.5" customHeight="1">
      <c r="A91" s="28">
        <v>85.0</v>
      </c>
      <c r="B91" s="371" t="s">
        <v>4304</v>
      </c>
      <c r="C91" s="371" t="s">
        <v>4305</v>
      </c>
      <c r="D91" s="371" t="s">
        <v>725</v>
      </c>
      <c r="E91" s="293" t="s">
        <v>338</v>
      </c>
      <c r="F91" s="294">
        <v>41.0</v>
      </c>
      <c r="G91" s="294" t="s">
        <v>476</v>
      </c>
      <c r="H91" s="294" t="s">
        <v>435</v>
      </c>
      <c r="I91" s="294">
        <v>9.085148166E9</v>
      </c>
      <c r="J91" s="54">
        <v>27.0</v>
      </c>
      <c r="K91" s="55">
        <v>20.0</v>
      </c>
      <c r="L91" s="55">
        <v>0.0</v>
      </c>
      <c r="M91" s="55">
        <v>2.0</v>
      </c>
      <c r="N91" s="43">
        <f t="shared" si="4"/>
        <v>2</v>
      </c>
      <c r="O91" s="55">
        <v>5.0</v>
      </c>
      <c r="P91" s="55">
        <v>5.0</v>
      </c>
      <c r="Q91" s="43">
        <f t="shared" si="2"/>
        <v>12</v>
      </c>
      <c r="R91" s="43"/>
      <c r="S91" s="43"/>
      <c r="T91" s="43"/>
      <c r="U91" s="43"/>
      <c r="V91" s="43"/>
      <c r="W91" s="56" t="s">
        <v>46</v>
      </c>
      <c r="Z91" s="61"/>
      <c r="AA91" s="61"/>
      <c r="AB91" s="66"/>
      <c r="AC91" s="34"/>
      <c r="AD91" s="34"/>
    </row>
    <row r="92" ht="13.5" customHeight="1">
      <c r="A92" s="28">
        <v>86.0</v>
      </c>
      <c r="B92" s="371" t="s">
        <v>4306</v>
      </c>
      <c r="C92" s="371" t="s">
        <v>4307</v>
      </c>
      <c r="D92" s="371" t="s">
        <v>4089</v>
      </c>
      <c r="E92" s="293" t="s">
        <v>338</v>
      </c>
      <c r="F92" s="294">
        <v>38.0</v>
      </c>
      <c r="G92" s="294" t="s">
        <v>476</v>
      </c>
      <c r="H92" s="294" t="s">
        <v>4109</v>
      </c>
      <c r="I92" s="294">
        <v>9.399189051E9</v>
      </c>
      <c r="J92" s="54">
        <v>26.0</v>
      </c>
      <c r="K92" s="55">
        <v>22.0</v>
      </c>
      <c r="L92" s="55">
        <v>0.0</v>
      </c>
      <c r="M92" s="55">
        <v>0.0</v>
      </c>
      <c r="N92" s="43">
        <f t="shared" si="4"/>
        <v>0</v>
      </c>
      <c r="O92" s="55">
        <v>4.0</v>
      </c>
      <c r="P92" s="55">
        <v>4.0</v>
      </c>
      <c r="Q92" s="43">
        <f t="shared" si="2"/>
        <v>8</v>
      </c>
      <c r="R92" s="43"/>
      <c r="S92" s="43"/>
      <c r="T92" s="43"/>
      <c r="U92" s="43"/>
      <c r="V92" s="55" t="s">
        <v>3100</v>
      </c>
      <c r="W92" s="56" t="s">
        <v>4308</v>
      </c>
      <c r="Z92" s="61"/>
      <c r="AA92" s="61"/>
      <c r="AB92" s="66"/>
      <c r="AC92" s="34"/>
      <c r="AD92" s="34"/>
    </row>
    <row r="93" ht="13.5" customHeight="1">
      <c r="A93" s="28">
        <v>87.0</v>
      </c>
      <c r="B93" s="371" t="s">
        <v>2981</v>
      </c>
      <c r="C93" s="371" t="s">
        <v>4309</v>
      </c>
      <c r="D93" s="371" t="s">
        <v>4310</v>
      </c>
      <c r="E93" s="293" t="s">
        <v>338</v>
      </c>
      <c r="F93" s="294">
        <v>37.0</v>
      </c>
      <c r="G93" s="294" t="s">
        <v>476</v>
      </c>
      <c r="H93" s="294" t="s">
        <v>646</v>
      </c>
      <c r="I93" s="294">
        <v>9.274204337E9</v>
      </c>
      <c r="J93" s="54">
        <v>30.0</v>
      </c>
      <c r="K93" s="55">
        <v>21.0</v>
      </c>
      <c r="L93" s="55">
        <v>0.0</v>
      </c>
      <c r="M93" s="55">
        <v>2.0</v>
      </c>
      <c r="N93" s="43">
        <f t="shared" si="4"/>
        <v>2</v>
      </c>
      <c r="O93" s="55">
        <v>2.0</v>
      </c>
      <c r="P93" s="55">
        <v>7.0</v>
      </c>
      <c r="Q93" s="43">
        <f t="shared" si="2"/>
        <v>11</v>
      </c>
      <c r="R93" s="43"/>
      <c r="S93" s="55" t="s">
        <v>277</v>
      </c>
      <c r="T93" s="43"/>
      <c r="U93" s="43"/>
      <c r="V93" s="43"/>
      <c r="W93" s="56" t="s">
        <v>46</v>
      </c>
      <c r="Z93" s="61"/>
      <c r="AA93" s="61"/>
      <c r="AB93" s="66"/>
      <c r="AC93" s="34"/>
      <c r="AD93" s="34"/>
    </row>
    <row r="94" ht="13.5" customHeight="1">
      <c r="A94" s="28">
        <v>88.0</v>
      </c>
      <c r="B94" s="371" t="s">
        <v>4311</v>
      </c>
      <c r="C94" s="371" t="s">
        <v>4312</v>
      </c>
      <c r="D94" s="371" t="s">
        <v>3204</v>
      </c>
      <c r="E94" s="293" t="s">
        <v>338</v>
      </c>
      <c r="F94" s="294">
        <v>34.0</v>
      </c>
      <c r="G94" s="294" t="s">
        <v>476</v>
      </c>
      <c r="H94" s="294" t="s">
        <v>663</v>
      </c>
      <c r="I94" s="294">
        <v>9.287681829E9</v>
      </c>
      <c r="J94" s="54">
        <v>29.0</v>
      </c>
      <c r="K94" s="55">
        <v>26.0</v>
      </c>
      <c r="L94" s="55">
        <v>0.0</v>
      </c>
      <c r="M94" s="55">
        <v>3.0</v>
      </c>
      <c r="N94" s="43">
        <f t="shared" si="4"/>
        <v>3</v>
      </c>
      <c r="O94" s="55">
        <v>0.0</v>
      </c>
      <c r="P94" s="55">
        <v>1.0</v>
      </c>
      <c r="Q94" s="43">
        <f t="shared" si="2"/>
        <v>4</v>
      </c>
      <c r="R94" s="43"/>
      <c r="S94" s="55" t="s">
        <v>277</v>
      </c>
      <c r="T94" s="43"/>
      <c r="U94" s="43"/>
      <c r="V94" s="43"/>
      <c r="W94" s="56" t="s">
        <v>46</v>
      </c>
      <c r="Z94" s="61"/>
      <c r="AA94" s="61"/>
      <c r="AB94" s="66"/>
      <c r="AC94" s="34"/>
      <c r="AD94" s="34"/>
    </row>
    <row r="95" ht="13.5" customHeight="1">
      <c r="A95" s="28">
        <v>89.0</v>
      </c>
      <c r="B95" s="371" t="s">
        <v>4313</v>
      </c>
      <c r="C95" s="371" t="s">
        <v>4314</v>
      </c>
      <c r="D95" s="371" t="s">
        <v>4315</v>
      </c>
      <c r="E95" s="293" t="s">
        <v>338</v>
      </c>
      <c r="F95" s="294">
        <v>44.0</v>
      </c>
      <c r="G95" s="294" t="s">
        <v>584</v>
      </c>
      <c r="H95" s="294" t="s">
        <v>435</v>
      </c>
      <c r="I95" s="294">
        <v>6.955533702E10</v>
      </c>
      <c r="J95" s="42"/>
      <c r="K95" s="43"/>
      <c r="L95" s="43"/>
      <c r="M95" s="43"/>
      <c r="N95" s="43">
        <f t="shared" si="4"/>
        <v>0</v>
      </c>
      <c r="O95" s="43"/>
      <c r="P95" s="43"/>
      <c r="Q95" s="43">
        <f t="shared" si="2"/>
        <v>0</v>
      </c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371" t="s">
        <v>4316</v>
      </c>
      <c r="C96" s="371" t="s">
        <v>4317</v>
      </c>
      <c r="D96" s="371" t="s">
        <v>4222</v>
      </c>
      <c r="E96" s="293" t="s">
        <v>338</v>
      </c>
      <c r="F96" s="294">
        <v>60.0</v>
      </c>
      <c r="G96" s="294" t="s">
        <v>476</v>
      </c>
      <c r="H96" s="294" t="s">
        <v>4318</v>
      </c>
      <c r="I96" s="294">
        <v>9.306770355E9</v>
      </c>
      <c r="J96" s="54">
        <v>6.0</v>
      </c>
      <c r="K96" s="55">
        <v>6.0</v>
      </c>
      <c r="L96" s="55">
        <v>0.0</v>
      </c>
      <c r="M96" s="55">
        <v>0.0</v>
      </c>
      <c r="N96" s="43">
        <f t="shared" si="4"/>
        <v>0</v>
      </c>
      <c r="O96" s="55">
        <v>26.0</v>
      </c>
      <c r="P96" s="55">
        <v>0.0</v>
      </c>
      <c r="Q96" s="43">
        <f t="shared" si="2"/>
        <v>26</v>
      </c>
      <c r="R96" s="43"/>
      <c r="S96" s="55" t="s">
        <v>237</v>
      </c>
      <c r="T96" s="43"/>
      <c r="U96" s="43"/>
      <c r="V96" s="43"/>
      <c r="W96" s="56" t="s">
        <v>46</v>
      </c>
      <c r="Z96" s="61"/>
      <c r="AA96" s="61"/>
      <c r="AB96" s="66"/>
      <c r="AC96" s="34"/>
      <c r="AD96" s="34"/>
    </row>
    <row r="97" ht="13.5" customHeight="1">
      <c r="A97" s="28">
        <v>91.0</v>
      </c>
      <c r="B97" s="371" t="s">
        <v>4319</v>
      </c>
      <c r="C97" s="371" t="s">
        <v>4320</v>
      </c>
      <c r="D97" s="371" t="s">
        <v>4321</v>
      </c>
      <c r="E97" s="293" t="s">
        <v>338</v>
      </c>
      <c r="F97" s="294">
        <v>41.0</v>
      </c>
      <c r="G97" s="294" t="s">
        <v>476</v>
      </c>
      <c r="H97" s="294" t="s">
        <v>435</v>
      </c>
      <c r="I97" s="294">
        <v>9.269356282E9</v>
      </c>
      <c r="J97" s="54">
        <v>30.0</v>
      </c>
      <c r="K97" s="55">
        <v>0.0</v>
      </c>
      <c r="L97" s="55">
        <v>0.0</v>
      </c>
      <c r="M97" s="55">
        <v>2.0</v>
      </c>
      <c r="N97" s="43">
        <f t="shared" si="4"/>
        <v>2</v>
      </c>
      <c r="O97" s="55">
        <v>26.0</v>
      </c>
      <c r="P97" s="55">
        <v>4.0</v>
      </c>
      <c r="Q97" s="43">
        <f t="shared" si="2"/>
        <v>32</v>
      </c>
      <c r="R97" s="43"/>
      <c r="S97" s="55" t="s">
        <v>237</v>
      </c>
      <c r="T97" s="43"/>
      <c r="U97" s="43"/>
      <c r="V97" s="43"/>
      <c r="W97" s="56" t="s">
        <v>46</v>
      </c>
      <c r="Z97" s="61"/>
      <c r="AA97" s="61"/>
      <c r="AB97" s="66"/>
      <c r="AC97" s="34"/>
      <c r="AD97" s="34"/>
    </row>
    <row r="98" ht="13.5" customHeight="1">
      <c r="A98" s="28">
        <v>92.0</v>
      </c>
      <c r="B98" s="371" t="s">
        <v>4322</v>
      </c>
      <c r="C98" s="371" t="s">
        <v>4323</v>
      </c>
      <c r="D98" s="371" t="s">
        <v>4324</v>
      </c>
      <c r="E98" s="293" t="s">
        <v>338</v>
      </c>
      <c r="F98" s="294">
        <v>28.0</v>
      </c>
      <c r="G98" s="294" t="s">
        <v>476</v>
      </c>
      <c r="H98" s="294" t="s">
        <v>435</v>
      </c>
      <c r="I98" s="294">
        <v>9.605311014E9</v>
      </c>
      <c r="J98" s="373">
        <v>30.0</v>
      </c>
      <c r="K98" s="55">
        <v>25.0</v>
      </c>
      <c r="L98" s="55">
        <v>0.0</v>
      </c>
      <c r="M98" s="55">
        <v>0.0</v>
      </c>
      <c r="N98" s="43">
        <f t="shared" si="4"/>
        <v>0</v>
      </c>
      <c r="O98" s="55">
        <v>2.0</v>
      </c>
      <c r="P98" s="55">
        <v>5.0</v>
      </c>
      <c r="Q98" s="43">
        <f t="shared" si="2"/>
        <v>7</v>
      </c>
      <c r="R98" s="43"/>
      <c r="S98" s="55" t="s">
        <v>277</v>
      </c>
      <c r="T98" s="43"/>
      <c r="U98" s="43"/>
      <c r="V98" s="43"/>
      <c r="W98" s="56" t="s">
        <v>46</v>
      </c>
      <c r="Z98" s="61"/>
      <c r="AA98" s="61"/>
      <c r="AB98" s="66"/>
      <c r="AC98" s="34"/>
      <c r="AD98" s="34"/>
    </row>
    <row r="99" ht="13.5" customHeight="1">
      <c r="A99" s="28">
        <v>93.0</v>
      </c>
      <c r="B99" s="371" t="s">
        <v>4325</v>
      </c>
      <c r="C99" s="371" t="s">
        <v>4326</v>
      </c>
      <c r="D99" s="371" t="s">
        <v>4327</v>
      </c>
      <c r="E99" s="293" t="s">
        <v>338</v>
      </c>
      <c r="F99" s="294">
        <v>34.0</v>
      </c>
      <c r="G99" s="294" t="s">
        <v>476</v>
      </c>
      <c r="H99" s="294" t="s">
        <v>646</v>
      </c>
      <c r="I99" s="294">
        <v>9.360582114E9</v>
      </c>
      <c r="J99" s="54">
        <v>30.0</v>
      </c>
      <c r="K99" s="55">
        <v>24.0</v>
      </c>
      <c r="L99" s="55">
        <v>0.0</v>
      </c>
      <c r="M99" s="55">
        <v>5.0</v>
      </c>
      <c r="N99" s="43">
        <f t="shared" si="4"/>
        <v>5</v>
      </c>
      <c r="O99" s="55">
        <v>2.0</v>
      </c>
      <c r="P99" s="55">
        <v>1.0</v>
      </c>
      <c r="Q99" s="43">
        <f t="shared" si="2"/>
        <v>8</v>
      </c>
      <c r="R99" s="43"/>
      <c r="S99" s="55" t="s">
        <v>88</v>
      </c>
      <c r="T99" s="43"/>
      <c r="U99" s="43"/>
      <c r="V99" s="55" t="s">
        <v>4328</v>
      </c>
      <c r="W99" s="56" t="s">
        <v>46</v>
      </c>
      <c r="Z99" s="61"/>
      <c r="AA99" s="61"/>
      <c r="AB99" s="66"/>
      <c r="AC99" s="34"/>
      <c r="AD99" s="34"/>
    </row>
    <row r="100" ht="13.5" customHeight="1">
      <c r="A100" s="28">
        <v>94.0</v>
      </c>
      <c r="B100" s="371" t="s">
        <v>4329</v>
      </c>
      <c r="C100" s="371" t="s">
        <v>792</v>
      </c>
      <c r="D100" s="371" t="s">
        <v>593</v>
      </c>
      <c r="E100" s="293" t="s">
        <v>338</v>
      </c>
      <c r="F100" s="294">
        <v>44.0</v>
      </c>
      <c r="G100" s="294" t="s">
        <v>476</v>
      </c>
      <c r="H100" s="294" t="s">
        <v>435</v>
      </c>
      <c r="I100" s="294">
        <v>9.994745001E9</v>
      </c>
      <c r="J100" s="54">
        <v>29.0</v>
      </c>
      <c r="K100" s="55">
        <v>22.0</v>
      </c>
      <c r="L100" s="55">
        <v>0.0</v>
      </c>
      <c r="M100" s="55">
        <v>2.0</v>
      </c>
      <c r="N100" s="43">
        <f t="shared" si="4"/>
        <v>2</v>
      </c>
      <c r="O100" s="55">
        <v>2.0</v>
      </c>
      <c r="P100" s="55">
        <v>5.0</v>
      </c>
      <c r="Q100" s="43">
        <f t="shared" si="2"/>
        <v>9</v>
      </c>
      <c r="R100" s="43"/>
      <c r="S100" s="43"/>
      <c r="T100" s="43"/>
      <c r="U100" s="43"/>
      <c r="V100" s="43"/>
      <c r="W100" s="56" t="s">
        <v>46</v>
      </c>
      <c r="Z100" s="61"/>
      <c r="AA100" s="61"/>
      <c r="AB100" s="66"/>
      <c r="AC100" s="34"/>
      <c r="AD100" s="34"/>
    </row>
    <row r="101" ht="13.5" customHeight="1">
      <c r="A101" s="28">
        <v>95.0</v>
      </c>
      <c r="B101" s="371" t="s">
        <v>3091</v>
      </c>
      <c r="C101" s="371" t="s">
        <v>4330</v>
      </c>
      <c r="D101" s="371" t="s">
        <v>4331</v>
      </c>
      <c r="E101" s="293" t="s">
        <v>338</v>
      </c>
      <c r="F101" s="294">
        <v>52.0</v>
      </c>
      <c r="G101" s="294" t="s">
        <v>476</v>
      </c>
      <c r="H101" s="294" t="s">
        <v>435</v>
      </c>
      <c r="I101" s="294">
        <v>9.274266094E9</v>
      </c>
      <c r="J101" s="42"/>
      <c r="K101" s="43"/>
      <c r="L101" s="43"/>
      <c r="M101" s="43"/>
      <c r="N101" s="43">
        <f t="shared" si="4"/>
        <v>0</v>
      </c>
      <c r="O101" s="43"/>
      <c r="P101" s="43"/>
      <c r="Q101" s="43">
        <f t="shared" si="2"/>
        <v>0</v>
      </c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371" t="s">
        <v>4332</v>
      </c>
      <c r="C102" s="371" t="s">
        <v>3205</v>
      </c>
      <c r="D102" s="371" t="s">
        <v>795</v>
      </c>
      <c r="E102" s="293" t="s">
        <v>338</v>
      </c>
      <c r="F102" s="294">
        <v>47.0</v>
      </c>
      <c r="G102" s="294" t="s">
        <v>476</v>
      </c>
      <c r="H102" s="294" t="s">
        <v>663</v>
      </c>
      <c r="I102" s="294">
        <v>9.237369098E9</v>
      </c>
      <c r="J102" s="54">
        <v>20.0</v>
      </c>
      <c r="K102" s="55">
        <v>7.0</v>
      </c>
      <c r="L102" s="55">
        <v>0.0</v>
      </c>
      <c r="M102" s="55">
        <v>4.0</v>
      </c>
      <c r="N102" s="43">
        <f t="shared" si="4"/>
        <v>4</v>
      </c>
      <c r="O102" s="55">
        <v>10.0</v>
      </c>
      <c r="P102" s="55">
        <v>9.0</v>
      </c>
      <c r="Q102" s="43">
        <f t="shared" si="2"/>
        <v>23</v>
      </c>
      <c r="R102" s="43"/>
      <c r="S102" s="43"/>
      <c r="T102" s="43"/>
      <c r="U102" s="55" t="s">
        <v>105</v>
      </c>
      <c r="V102" s="55" t="s">
        <v>4333</v>
      </c>
      <c r="W102" s="56" t="s">
        <v>46</v>
      </c>
      <c r="Z102" s="61"/>
      <c r="AA102" s="61"/>
      <c r="AB102" s="66"/>
      <c r="AC102" s="34"/>
      <c r="AD102" s="34"/>
    </row>
    <row r="103" ht="13.5" customHeight="1">
      <c r="A103" s="28">
        <v>97.0</v>
      </c>
      <c r="B103" s="371" t="s">
        <v>4334</v>
      </c>
      <c r="C103" s="371" t="s">
        <v>4335</v>
      </c>
      <c r="D103" s="371" t="s">
        <v>4336</v>
      </c>
      <c r="E103" s="293" t="s">
        <v>338</v>
      </c>
      <c r="F103" s="294">
        <v>34.0</v>
      </c>
      <c r="G103" s="294" t="s">
        <v>476</v>
      </c>
      <c r="H103" s="294" t="s">
        <v>435</v>
      </c>
      <c r="I103" s="294">
        <v>9.264691446E9</v>
      </c>
      <c r="J103" s="54">
        <v>24.0</v>
      </c>
      <c r="K103" s="55">
        <v>15.0</v>
      </c>
      <c r="L103" s="55">
        <v>0.0</v>
      </c>
      <c r="M103" s="55">
        <v>6.0</v>
      </c>
      <c r="N103" s="43">
        <f t="shared" si="4"/>
        <v>6</v>
      </c>
      <c r="O103" s="55">
        <v>8.0</v>
      </c>
      <c r="P103" s="55">
        <v>2.0</v>
      </c>
      <c r="Q103" s="43">
        <f t="shared" si="2"/>
        <v>16</v>
      </c>
      <c r="R103" s="43"/>
      <c r="S103" s="55" t="s">
        <v>101</v>
      </c>
      <c r="T103" s="43"/>
      <c r="U103" s="43"/>
      <c r="V103" s="55" t="s">
        <v>1361</v>
      </c>
      <c r="W103" s="56" t="s">
        <v>46</v>
      </c>
      <c r="Z103" s="61"/>
      <c r="AA103" s="61"/>
      <c r="AB103" s="66"/>
      <c r="AC103" s="34"/>
      <c r="AD103" s="34"/>
    </row>
    <row r="104" ht="13.5" customHeight="1">
      <c r="A104" s="28">
        <v>98.0</v>
      </c>
      <c r="B104" s="371" t="s">
        <v>4337</v>
      </c>
      <c r="C104" s="371" t="s">
        <v>4338</v>
      </c>
      <c r="D104" s="371" t="s">
        <v>4339</v>
      </c>
      <c r="E104" s="293" t="s">
        <v>338</v>
      </c>
      <c r="F104" s="294">
        <v>61.0</v>
      </c>
      <c r="G104" s="294" t="s">
        <v>584</v>
      </c>
      <c r="H104" s="294" t="s">
        <v>646</v>
      </c>
      <c r="I104" s="294">
        <v>9.095639321E9</v>
      </c>
      <c r="J104" s="54">
        <v>29.0</v>
      </c>
      <c r="K104" s="55">
        <v>23.0</v>
      </c>
      <c r="L104" s="55">
        <v>1.0</v>
      </c>
      <c r="M104" s="55">
        <v>5.0</v>
      </c>
      <c r="N104" s="43">
        <f t="shared" si="4"/>
        <v>6</v>
      </c>
      <c r="O104" s="55">
        <v>3.0</v>
      </c>
      <c r="P104" s="55">
        <v>0.0</v>
      </c>
      <c r="Q104" s="43">
        <f t="shared" si="2"/>
        <v>9</v>
      </c>
      <c r="R104" s="43"/>
      <c r="S104" s="43"/>
      <c r="T104" s="55" t="s">
        <v>140</v>
      </c>
      <c r="U104" s="43"/>
      <c r="V104" s="43"/>
      <c r="W104" s="56" t="s">
        <v>46</v>
      </c>
      <c r="Z104" s="61"/>
      <c r="AA104" s="61"/>
      <c r="AB104" s="66"/>
      <c r="AC104" s="34"/>
      <c r="AD104" s="34"/>
    </row>
    <row r="105" ht="13.5" customHeight="1">
      <c r="A105" s="28">
        <v>99.0</v>
      </c>
      <c r="B105" s="371" t="s">
        <v>4340</v>
      </c>
      <c r="C105" s="371" t="s">
        <v>4341</v>
      </c>
      <c r="D105" s="371" t="s">
        <v>4097</v>
      </c>
      <c r="E105" s="293" t="s">
        <v>338</v>
      </c>
      <c r="F105" s="294">
        <v>32.0</v>
      </c>
      <c r="G105" s="294" t="s">
        <v>584</v>
      </c>
      <c r="H105" s="294" t="s">
        <v>646</v>
      </c>
      <c r="I105" s="372" t="s">
        <v>4342</v>
      </c>
      <c r="J105" s="54">
        <v>30.0</v>
      </c>
      <c r="K105" s="55">
        <v>25.0</v>
      </c>
      <c r="L105" s="55">
        <v>1.0</v>
      </c>
      <c r="M105" s="55">
        <v>1.0</v>
      </c>
      <c r="N105" s="43">
        <f t="shared" si="4"/>
        <v>2</v>
      </c>
      <c r="O105" s="55">
        <v>2.0</v>
      </c>
      <c r="P105" s="55">
        <v>3.0</v>
      </c>
      <c r="Q105" s="43">
        <f t="shared" si="2"/>
        <v>7</v>
      </c>
      <c r="R105" s="43"/>
      <c r="S105" s="43"/>
      <c r="T105" s="43"/>
      <c r="U105" s="43"/>
      <c r="V105" s="43"/>
      <c r="W105" s="56" t="s">
        <v>46</v>
      </c>
      <c r="Z105" s="61"/>
      <c r="AA105" s="61"/>
      <c r="AB105" s="66"/>
      <c r="AC105" s="34"/>
      <c r="AD105" s="34"/>
    </row>
    <row r="106" ht="12.75" customHeight="1">
      <c r="A106" s="28">
        <v>100.0</v>
      </c>
      <c r="B106" s="371" t="s">
        <v>4343</v>
      </c>
      <c r="C106" s="371" t="s">
        <v>4344</v>
      </c>
      <c r="D106" s="371" t="s">
        <v>635</v>
      </c>
      <c r="E106" s="293" t="s">
        <v>338</v>
      </c>
      <c r="F106" s="294">
        <v>32.0</v>
      </c>
      <c r="G106" s="294" t="s">
        <v>476</v>
      </c>
      <c r="H106" s="294" t="s">
        <v>435</v>
      </c>
      <c r="I106" s="294">
        <v>9.993020012E9</v>
      </c>
      <c r="J106" s="54">
        <v>32.0</v>
      </c>
      <c r="K106" s="55">
        <v>32.0</v>
      </c>
      <c r="L106" s="55">
        <v>0.0</v>
      </c>
      <c r="M106" s="55">
        <v>0.0</v>
      </c>
      <c r="N106" s="43">
        <v>0.0</v>
      </c>
      <c r="O106" s="55">
        <v>0.0</v>
      </c>
      <c r="P106" s="55">
        <v>0.0</v>
      </c>
      <c r="Q106" s="43">
        <f t="shared" si="2"/>
        <v>0</v>
      </c>
      <c r="R106" s="43"/>
      <c r="S106" s="43"/>
      <c r="T106" s="43"/>
      <c r="U106" s="43"/>
      <c r="V106" s="43"/>
      <c r="W106" s="56" t="s">
        <v>46</v>
      </c>
      <c r="Z106" s="61"/>
      <c r="AA106" s="61"/>
      <c r="AB106" s="66"/>
      <c r="AC106" s="34"/>
      <c r="AD106" s="34"/>
    </row>
    <row r="107" ht="13.5" customHeight="1">
      <c r="A107" s="28">
        <v>101.0</v>
      </c>
      <c r="B107" s="371" t="s">
        <v>4345</v>
      </c>
      <c r="C107" s="371" t="s">
        <v>4346</v>
      </c>
      <c r="D107" s="371" t="s">
        <v>4347</v>
      </c>
      <c r="E107" s="293" t="s">
        <v>338</v>
      </c>
      <c r="F107" s="294">
        <v>39.0</v>
      </c>
      <c r="G107" s="294" t="s">
        <v>476</v>
      </c>
      <c r="H107" s="294" t="s">
        <v>435</v>
      </c>
      <c r="I107" s="294">
        <v>9.684992412E9</v>
      </c>
      <c r="J107" s="54">
        <v>29.0</v>
      </c>
      <c r="K107" s="55">
        <v>29.0</v>
      </c>
      <c r="L107" s="55">
        <v>9.0</v>
      </c>
      <c r="M107" s="55">
        <v>9.0</v>
      </c>
      <c r="N107" s="43">
        <f t="shared" ref="N107:N110" si="5">SUM(L107,M107)</f>
        <v>18</v>
      </c>
      <c r="O107" s="55">
        <v>3.0</v>
      </c>
      <c r="P107" s="55">
        <v>4.0</v>
      </c>
      <c r="Q107" s="43">
        <f t="shared" si="2"/>
        <v>25</v>
      </c>
      <c r="R107" s="43"/>
      <c r="S107" s="43"/>
      <c r="T107" s="43"/>
      <c r="U107" s="43"/>
      <c r="V107" s="43"/>
      <c r="W107" s="56" t="s">
        <v>46</v>
      </c>
      <c r="Z107" s="61"/>
      <c r="AA107" s="61"/>
      <c r="AB107" s="66"/>
      <c r="AC107" s="34"/>
      <c r="AD107" s="34"/>
    </row>
    <row r="108" ht="13.5" customHeight="1">
      <c r="A108" s="28">
        <v>102.0</v>
      </c>
      <c r="B108" s="371" t="s">
        <v>4348</v>
      </c>
      <c r="C108" s="371" t="s">
        <v>4349</v>
      </c>
      <c r="D108" s="371" t="s">
        <v>4350</v>
      </c>
      <c r="E108" s="293" t="s">
        <v>338</v>
      </c>
      <c r="F108" s="294">
        <v>48.0</v>
      </c>
      <c r="G108" s="294" t="s">
        <v>584</v>
      </c>
      <c r="H108" s="294" t="s">
        <v>4318</v>
      </c>
      <c r="I108" s="294">
        <v>9.277208071E9</v>
      </c>
      <c r="J108" s="54">
        <v>19.0</v>
      </c>
      <c r="K108" s="55">
        <v>11.0</v>
      </c>
      <c r="L108" s="55">
        <v>0.0</v>
      </c>
      <c r="M108" s="55">
        <v>4.0</v>
      </c>
      <c r="N108" s="43">
        <f t="shared" si="5"/>
        <v>4</v>
      </c>
      <c r="O108" s="55">
        <v>13.0</v>
      </c>
      <c r="P108" s="55">
        <v>4.0</v>
      </c>
      <c r="Q108" s="43">
        <f t="shared" si="2"/>
        <v>21</v>
      </c>
      <c r="R108" s="43"/>
      <c r="S108" s="55" t="s">
        <v>88</v>
      </c>
      <c r="T108" s="43"/>
      <c r="U108" s="43"/>
      <c r="V108" s="43"/>
      <c r="W108" s="56" t="s">
        <v>46</v>
      </c>
      <c r="Z108" s="61"/>
      <c r="AA108" s="61"/>
      <c r="AB108" s="66"/>
      <c r="AC108" s="34"/>
      <c r="AD108" s="34"/>
    </row>
    <row r="109" ht="13.5" customHeight="1">
      <c r="A109" s="28">
        <v>103.0</v>
      </c>
      <c r="B109" s="371" t="s">
        <v>4351</v>
      </c>
      <c r="C109" s="371" t="s">
        <v>788</v>
      </c>
      <c r="D109" s="371" t="s">
        <v>4352</v>
      </c>
      <c r="E109" s="293" t="s">
        <v>338</v>
      </c>
      <c r="F109" s="294">
        <v>38.0</v>
      </c>
      <c r="G109" s="294" t="s">
        <v>476</v>
      </c>
      <c r="H109" s="294" t="s">
        <v>435</v>
      </c>
      <c r="I109" s="294">
        <v>9.60563589E9</v>
      </c>
      <c r="J109" s="54">
        <v>30.0</v>
      </c>
      <c r="K109" s="55">
        <v>26.0</v>
      </c>
      <c r="L109" s="55">
        <v>0.0</v>
      </c>
      <c r="M109" s="55">
        <v>1.0</v>
      </c>
      <c r="N109" s="43">
        <f t="shared" si="5"/>
        <v>1</v>
      </c>
      <c r="O109" s="55">
        <v>2.0</v>
      </c>
      <c r="P109" s="55">
        <v>3.0</v>
      </c>
      <c r="Q109" s="43">
        <f t="shared" si="2"/>
        <v>6</v>
      </c>
      <c r="R109" s="43"/>
      <c r="S109" s="43"/>
      <c r="T109" s="43"/>
      <c r="U109" s="43"/>
      <c r="V109" s="43"/>
      <c r="W109" s="56" t="s">
        <v>46</v>
      </c>
      <c r="Z109" s="61"/>
      <c r="AA109" s="61"/>
      <c r="AB109" s="66"/>
      <c r="AC109" s="34"/>
      <c r="AD109" s="34"/>
    </row>
    <row r="110" ht="13.5" customHeight="1">
      <c r="A110" s="28">
        <v>104.0</v>
      </c>
      <c r="B110" s="371" t="s">
        <v>4353</v>
      </c>
      <c r="C110" s="371" t="s">
        <v>4354</v>
      </c>
      <c r="D110" s="371" t="s">
        <v>4355</v>
      </c>
      <c r="E110" s="293" t="s">
        <v>338</v>
      </c>
      <c r="F110" s="294">
        <v>35.0</v>
      </c>
      <c r="G110" s="294" t="s">
        <v>476</v>
      </c>
      <c r="H110" s="294" t="s">
        <v>646</v>
      </c>
      <c r="I110" s="294">
        <v>9.4245785E9</v>
      </c>
      <c r="J110" s="54">
        <v>29.0</v>
      </c>
      <c r="K110" s="55">
        <v>20.0</v>
      </c>
      <c r="L110" s="55">
        <v>0.0</v>
      </c>
      <c r="M110" s="55">
        <v>3.0</v>
      </c>
      <c r="N110" s="43">
        <f t="shared" si="5"/>
        <v>3</v>
      </c>
      <c r="O110" s="55">
        <v>3.0</v>
      </c>
      <c r="P110" s="55">
        <v>6.0</v>
      </c>
      <c r="Q110" s="43">
        <f t="shared" si="2"/>
        <v>12</v>
      </c>
      <c r="R110" s="43"/>
      <c r="S110" s="43"/>
      <c r="T110" s="43"/>
      <c r="U110" s="43"/>
      <c r="V110" s="43"/>
      <c r="W110" s="56" t="s">
        <v>46</v>
      </c>
      <c r="Z110" s="61"/>
      <c r="AA110" s="61"/>
      <c r="AB110" s="66"/>
      <c r="AC110" s="34"/>
      <c r="AD110" s="34"/>
    </row>
    <row r="111" ht="13.5" customHeight="1">
      <c r="A111" s="28">
        <v>105.0</v>
      </c>
      <c r="B111" s="144"/>
      <c r="C111" s="144"/>
      <c r="D111" s="144"/>
      <c r="E111" s="53"/>
      <c r="F111" s="53"/>
      <c r="G111" s="53"/>
      <c r="H111" s="53"/>
      <c r="I111" s="53"/>
      <c r="J111" s="54"/>
      <c r="K111" s="55"/>
      <c r="L111" s="55"/>
      <c r="M111" s="55"/>
      <c r="N111" s="43"/>
      <c r="O111" s="55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6">SUM(J7:J156)</f>
        <v>2324</v>
      </c>
      <c r="K157" s="123">
        <f t="shared" si="6"/>
        <v>1785</v>
      </c>
      <c r="L157" s="123">
        <f t="shared" si="6"/>
        <v>36</v>
      </c>
      <c r="M157" s="123">
        <f t="shared" si="6"/>
        <v>172</v>
      </c>
      <c r="N157" s="123">
        <f t="shared" si="6"/>
        <v>206</v>
      </c>
      <c r="O157" s="123">
        <f t="shared" si="6"/>
        <v>402</v>
      </c>
      <c r="P157" s="123">
        <f t="shared" si="6"/>
        <v>309</v>
      </c>
      <c r="Q157" s="123">
        <f t="shared" si="6"/>
        <v>917</v>
      </c>
      <c r="R157" s="124"/>
      <c r="S157" s="124"/>
      <c r="T157" s="125"/>
      <c r="U157" s="145" t="s">
        <v>330</v>
      </c>
      <c r="V157" s="5"/>
      <c r="W157" s="126">
        <f>COUNTIF(W7:W156,"YES")</f>
        <v>84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46" t="s">
        <v>331</v>
      </c>
      <c r="V158" s="147"/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U158:V158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6.38"/>
    <col customWidth="1" min="3" max="3" width="16.13"/>
    <col customWidth="1" min="4" max="4" width="10.63"/>
    <col customWidth="1" min="5" max="5" width="11.63"/>
    <col customWidth="1" min="6" max="6" width="5.75"/>
    <col customWidth="1" min="7" max="7" width="11.5"/>
    <col customWidth="1" min="8" max="8" width="17.38"/>
    <col customWidth="1" min="9" max="9" width="15.13"/>
    <col customWidth="1" min="10" max="10" width="13.0"/>
    <col customWidth="1" min="11" max="11" width="12.75"/>
    <col customWidth="1" min="12" max="12" width="12.13"/>
    <col customWidth="1" min="13" max="13" width="12.38"/>
    <col customWidth="1" min="14" max="21" width="8.63"/>
    <col customWidth="1" min="22" max="22" width="15.3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30.7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5.75" customHeight="1">
      <c r="A2" s="6" t="s">
        <v>1</v>
      </c>
      <c r="B2" s="5"/>
      <c r="C2" s="374" t="s">
        <v>4356</v>
      </c>
      <c r="D2" s="8"/>
      <c r="E2" s="8"/>
      <c r="F2" s="8"/>
      <c r="G2" s="8"/>
      <c r="H2" s="8"/>
      <c r="I2" s="375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5.75" customHeight="1">
      <c r="A3" s="6" t="s">
        <v>3</v>
      </c>
      <c r="B3" s="5"/>
      <c r="C3" s="374" t="s">
        <v>4357</v>
      </c>
      <c r="D3" s="8"/>
      <c r="E3" s="8"/>
      <c r="F3" s="8"/>
      <c r="G3" s="8"/>
      <c r="H3" s="8"/>
      <c r="I3" s="375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374"/>
      <c r="D4" s="8"/>
      <c r="E4" s="8"/>
      <c r="F4" s="8"/>
      <c r="G4" s="8"/>
      <c r="H4" s="8"/>
      <c r="I4" s="37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6" t="s">
        <v>4358</v>
      </c>
      <c r="C7" s="376" t="s">
        <v>4359</v>
      </c>
      <c r="D7" s="376" t="s">
        <v>4360</v>
      </c>
      <c r="E7" s="133" t="s">
        <v>338</v>
      </c>
      <c r="F7" s="134">
        <v>43.0</v>
      </c>
      <c r="G7" s="208" t="s">
        <v>339</v>
      </c>
      <c r="H7" s="134" t="s">
        <v>440</v>
      </c>
      <c r="I7" s="134">
        <v>9.087392476E9</v>
      </c>
      <c r="J7" s="54">
        <v>27.0</v>
      </c>
      <c r="K7" s="55">
        <v>18.0</v>
      </c>
      <c r="L7" s="55">
        <v>0.0</v>
      </c>
      <c r="M7" s="55">
        <v>2.0</v>
      </c>
      <c r="N7" s="43">
        <f t="shared" ref="N7:N15" si="1">sum(L7,M7)</f>
        <v>2</v>
      </c>
      <c r="O7" s="55">
        <v>5.0</v>
      </c>
      <c r="P7" s="55">
        <v>7.0</v>
      </c>
      <c r="Q7" s="43">
        <f t="shared" ref="Q7:Q68" si="2">sum(N7,O7,P7)</f>
        <v>14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6" t="s">
        <v>4361</v>
      </c>
      <c r="C8" s="376" t="s">
        <v>2066</v>
      </c>
      <c r="D8" s="376" t="s">
        <v>4362</v>
      </c>
      <c r="E8" s="133" t="s">
        <v>338</v>
      </c>
      <c r="F8" s="134">
        <v>44.0</v>
      </c>
      <c r="G8" s="134" t="s">
        <v>385</v>
      </c>
      <c r="H8" s="134" t="s">
        <v>4363</v>
      </c>
      <c r="I8" s="134">
        <v>9.205058807E9</v>
      </c>
      <c r="J8" s="54">
        <v>24.0</v>
      </c>
      <c r="K8" s="55">
        <v>16.0</v>
      </c>
      <c r="L8" s="55">
        <v>0.0</v>
      </c>
      <c r="M8" s="55">
        <v>0.0</v>
      </c>
      <c r="N8" s="43">
        <f t="shared" si="1"/>
        <v>0</v>
      </c>
      <c r="O8" s="55">
        <v>8.0</v>
      </c>
      <c r="P8" s="55">
        <v>8.0</v>
      </c>
      <c r="Q8" s="43">
        <f t="shared" si="2"/>
        <v>16</v>
      </c>
      <c r="R8" s="43"/>
      <c r="S8" s="43"/>
      <c r="T8" s="43"/>
      <c r="U8" s="55" t="s">
        <v>101</v>
      </c>
      <c r="V8" s="55" t="s">
        <v>4364</v>
      </c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376" t="s">
        <v>4365</v>
      </c>
      <c r="C9" s="376" t="s">
        <v>4366</v>
      </c>
      <c r="D9" s="376" t="s">
        <v>4367</v>
      </c>
      <c r="E9" s="133" t="s">
        <v>338</v>
      </c>
      <c r="F9" s="134">
        <v>54.0</v>
      </c>
      <c r="G9" s="208" t="s">
        <v>339</v>
      </c>
      <c r="H9" s="134" t="s">
        <v>839</v>
      </c>
      <c r="I9" s="134">
        <v>9.938557208E9</v>
      </c>
      <c r="J9" s="54">
        <v>30.0</v>
      </c>
      <c r="K9" s="55">
        <v>30.0</v>
      </c>
      <c r="L9" s="55">
        <v>0.0</v>
      </c>
      <c r="M9" s="55">
        <v>0.0</v>
      </c>
      <c r="N9" s="43">
        <f t="shared" si="1"/>
        <v>0</v>
      </c>
      <c r="O9" s="55">
        <v>2.0</v>
      </c>
      <c r="P9" s="55">
        <v>0.0</v>
      </c>
      <c r="Q9" s="43">
        <f t="shared" si="2"/>
        <v>2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376" t="s">
        <v>4368</v>
      </c>
      <c r="C10" s="376" t="s">
        <v>4369</v>
      </c>
      <c r="D10" s="376" t="s">
        <v>4370</v>
      </c>
      <c r="E10" s="133" t="s">
        <v>338</v>
      </c>
      <c r="F10" s="208">
        <v>26.0</v>
      </c>
      <c r="G10" s="208" t="s">
        <v>385</v>
      </c>
      <c r="H10" s="208" t="s">
        <v>340</v>
      </c>
      <c r="I10" s="208">
        <v>9.202787515E9</v>
      </c>
      <c r="J10" s="54">
        <v>31.0</v>
      </c>
      <c r="K10" s="55">
        <v>30.0</v>
      </c>
      <c r="L10" s="55">
        <v>0.0</v>
      </c>
      <c r="M10" s="55">
        <v>0.0</v>
      </c>
      <c r="N10" s="43">
        <f t="shared" si="1"/>
        <v>0</v>
      </c>
      <c r="O10" s="55">
        <v>0.0</v>
      </c>
      <c r="P10" s="55">
        <v>1.0</v>
      </c>
      <c r="Q10" s="43">
        <f t="shared" si="2"/>
        <v>1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376" t="s">
        <v>4371</v>
      </c>
      <c r="C11" s="376" t="s">
        <v>4372</v>
      </c>
      <c r="D11" s="376" t="s">
        <v>4373</v>
      </c>
      <c r="E11" s="133" t="s">
        <v>338</v>
      </c>
      <c r="F11" s="134">
        <v>33.0</v>
      </c>
      <c r="G11" s="208" t="s">
        <v>339</v>
      </c>
      <c r="H11" s="208" t="s">
        <v>833</v>
      </c>
      <c r="I11" s="134">
        <v>9.672486689E9</v>
      </c>
      <c r="J11" s="54">
        <v>27.0</v>
      </c>
      <c r="K11" s="55">
        <v>22.0</v>
      </c>
      <c r="L11" s="55">
        <v>0.0</v>
      </c>
      <c r="M11" s="55">
        <v>1.0</v>
      </c>
      <c r="N11" s="43">
        <f t="shared" si="1"/>
        <v>1</v>
      </c>
      <c r="O11" s="55">
        <v>5.0</v>
      </c>
      <c r="P11" s="55">
        <v>4.0</v>
      </c>
      <c r="Q11" s="43">
        <f t="shared" si="2"/>
        <v>10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376" t="s">
        <v>4374</v>
      </c>
      <c r="C12" s="376" t="s">
        <v>103</v>
      </c>
      <c r="D12" s="376" t="s">
        <v>4375</v>
      </c>
      <c r="E12" s="133" t="s">
        <v>338</v>
      </c>
      <c r="F12" s="208">
        <v>54.0</v>
      </c>
      <c r="G12" s="208" t="s">
        <v>339</v>
      </c>
      <c r="H12" s="208" t="s">
        <v>340</v>
      </c>
      <c r="I12" s="208">
        <v>9.478907748E9</v>
      </c>
      <c r="J12" s="54">
        <v>26.0</v>
      </c>
      <c r="K12" s="55">
        <v>26.0</v>
      </c>
      <c r="L12" s="55">
        <v>0.0</v>
      </c>
      <c r="M12" s="55">
        <v>0.0</v>
      </c>
      <c r="N12" s="43">
        <f t="shared" si="1"/>
        <v>0</v>
      </c>
      <c r="O12" s="55">
        <v>6.0</v>
      </c>
      <c r="P12" s="55">
        <v>0.0</v>
      </c>
      <c r="Q12" s="43">
        <f t="shared" si="2"/>
        <v>6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77</v>
      </c>
    </row>
    <row r="13" ht="13.5" customHeight="1">
      <c r="A13" s="28">
        <v>7.0</v>
      </c>
      <c r="B13" s="376" t="s">
        <v>4376</v>
      </c>
      <c r="C13" s="376" t="s">
        <v>4377</v>
      </c>
      <c r="D13" s="376" t="s">
        <v>4378</v>
      </c>
      <c r="E13" s="133" t="s">
        <v>338</v>
      </c>
      <c r="F13" s="134">
        <v>33.0</v>
      </c>
      <c r="G13" s="208" t="s">
        <v>339</v>
      </c>
      <c r="H13" s="208" t="s">
        <v>340</v>
      </c>
      <c r="I13" s="134">
        <v>9.292540583E9</v>
      </c>
      <c r="J13" s="54">
        <v>31.0</v>
      </c>
      <c r="K13" s="55">
        <v>26.0</v>
      </c>
      <c r="L13" s="55">
        <v>3.0</v>
      </c>
      <c r="M13" s="55">
        <v>2.0</v>
      </c>
      <c r="N13" s="43">
        <f t="shared" si="1"/>
        <v>5</v>
      </c>
      <c r="O13" s="55">
        <v>1.0</v>
      </c>
      <c r="P13" s="55">
        <v>0.0</v>
      </c>
      <c r="Q13" s="43">
        <f t="shared" si="2"/>
        <v>6</v>
      </c>
      <c r="R13" s="43"/>
      <c r="S13" s="55" t="s">
        <v>1910</v>
      </c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376" t="s">
        <v>4379</v>
      </c>
      <c r="C14" s="376" t="s">
        <v>4380</v>
      </c>
      <c r="D14" s="376" t="s">
        <v>4381</v>
      </c>
      <c r="E14" s="133" t="s">
        <v>338</v>
      </c>
      <c r="F14" s="134">
        <v>44.0</v>
      </c>
      <c r="G14" s="208" t="s">
        <v>339</v>
      </c>
      <c r="H14" s="208" t="s">
        <v>340</v>
      </c>
      <c r="I14" s="134">
        <v>9.178255513E9</v>
      </c>
      <c r="J14" s="42"/>
      <c r="K14" s="43"/>
      <c r="L14" s="43"/>
      <c r="M14" s="43"/>
      <c r="N14" s="43">
        <f t="shared" si="1"/>
        <v>0</v>
      </c>
      <c r="O14" s="43"/>
      <c r="P14" s="43"/>
      <c r="Q14" s="43">
        <f t="shared" si="2"/>
        <v>0</v>
      </c>
      <c r="R14" s="43"/>
      <c r="S14" s="43"/>
      <c r="T14" s="43"/>
      <c r="U14" s="43"/>
      <c r="V14" s="43"/>
      <c r="W14" s="56" t="s">
        <v>4382</v>
      </c>
      <c r="Z14" s="61" t="s">
        <v>70</v>
      </c>
      <c r="AA14" s="34"/>
      <c r="AB14" s="34"/>
      <c r="AC14" s="34"/>
      <c r="AD14" s="34"/>
    </row>
    <row r="15" ht="13.5" customHeight="1">
      <c r="A15" s="377">
        <v>9.0</v>
      </c>
      <c r="B15" s="378" t="s">
        <v>4383</v>
      </c>
      <c r="C15" s="378" t="s">
        <v>2403</v>
      </c>
      <c r="D15" s="378" t="s">
        <v>4384</v>
      </c>
      <c r="E15" s="379" t="s">
        <v>338</v>
      </c>
      <c r="F15" s="380">
        <v>32.0</v>
      </c>
      <c r="G15" s="380" t="s">
        <v>339</v>
      </c>
      <c r="H15" s="380" t="s">
        <v>340</v>
      </c>
      <c r="I15" s="380">
        <v>9.684998025E9</v>
      </c>
      <c r="J15" s="381"/>
      <c r="K15" s="382"/>
      <c r="L15" s="382"/>
      <c r="M15" s="382"/>
      <c r="N15" s="382">
        <f t="shared" si="1"/>
        <v>0</v>
      </c>
      <c r="O15" s="382"/>
      <c r="P15" s="382"/>
      <c r="Q15" s="382">
        <f t="shared" si="2"/>
        <v>0</v>
      </c>
      <c r="R15" s="382"/>
      <c r="S15" s="382"/>
      <c r="T15" s="382"/>
      <c r="U15" s="382"/>
      <c r="V15" s="382"/>
      <c r="W15" s="383"/>
      <c r="X15" s="363"/>
      <c r="Y15" s="363"/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376" t="s">
        <v>1272</v>
      </c>
      <c r="C16" s="376" t="s">
        <v>911</v>
      </c>
      <c r="D16" s="376" t="s">
        <v>4385</v>
      </c>
      <c r="E16" s="133" t="s">
        <v>338</v>
      </c>
      <c r="F16" s="134">
        <v>50.0</v>
      </c>
      <c r="G16" s="134" t="s">
        <v>339</v>
      </c>
      <c r="H16" s="134" t="s">
        <v>839</v>
      </c>
      <c r="I16" s="208">
        <v>9.605311071E9</v>
      </c>
      <c r="J16" s="54">
        <v>22.0</v>
      </c>
      <c r="K16" s="55">
        <v>20.0</v>
      </c>
      <c r="L16" s="55">
        <v>0.0</v>
      </c>
      <c r="M16" s="55">
        <v>0.0</v>
      </c>
      <c r="N16" s="55">
        <v>0.0</v>
      </c>
      <c r="O16" s="55">
        <v>10.0</v>
      </c>
      <c r="P16" s="55">
        <v>2.0</v>
      </c>
      <c r="Q16" s="43">
        <f t="shared" si="2"/>
        <v>12</v>
      </c>
      <c r="R16" s="43"/>
      <c r="S16" s="55" t="s">
        <v>93</v>
      </c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1</v>
      </c>
      <c r="AC16" s="34"/>
      <c r="AD16" s="34"/>
    </row>
    <row r="17" ht="13.5" customHeight="1">
      <c r="A17" s="28">
        <v>11.0</v>
      </c>
      <c r="B17" s="376" t="s">
        <v>4386</v>
      </c>
      <c r="C17" s="376" t="s">
        <v>3345</v>
      </c>
      <c r="D17" s="376" t="s">
        <v>4387</v>
      </c>
      <c r="E17" s="133" t="s">
        <v>338</v>
      </c>
      <c r="F17" s="134">
        <v>57.0</v>
      </c>
      <c r="G17" s="134" t="s">
        <v>339</v>
      </c>
      <c r="H17" s="134" t="s">
        <v>839</v>
      </c>
      <c r="I17" s="208">
        <v>9.983251255E9</v>
      </c>
      <c r="J17" s="54">
        <v>21.0</v>
      </c>
      <c r="K17" s="55">
        <v>17.0</v>
      </c>
      <c r="L17" s="55">
        <v>1.0</v>
      </c>
      <c r="M17" s="55">
        <v>3.0</v>
      </c>
      <c r="N17" s="43">
        <f t="shared" ref="N17:N154" si="3">sum(L17,M17)</f>
        <v>4</v>
      </c>
      <c r="O17" s="55">
        <v>11.0</v>
      </c>
      <c r="P17" s="55">
        <v>0.0</v>
      </c>
      <c r="Q17" s="43">
        <f t="shared" si="2"/>
        <v>15</v>
      </c>
      <c r="R17" s="43"/>
      <c r="S17" s="55" t="s">
        <v>88</v>
      </c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6" t="s">
        <v>4388</v>
      </c>
      <c r="C18" s="376" t="s">
        <v>4389</v>
      </c>
      <c r="D18" s="376" t="s">
        <v>4390</v>
      </c>
      <c r="E18" s="133" t="s">
        <v>338</v>
      </c>
      <c r="F18" s="134">
        <v>44.0</v>
      </c>
      <c r="G18" s="134" t="s">
        <v>339</v>
      </c>
      <c r="H18" s="134" t="s">
        <v>368</v>
      </c>
      <c r="I18" s="134">
        <v>9.230821988E9</v>
      </c>
      <c r="J18" s="54">
        <v>28.0</v>
      </c>
      <c r="K18" s="55">
        <v>18.0</v>
      </c>
      <c r="L18" s="55">
        <v>0.0</v>
      </c>
      <c r="M18" s="55">
        <v>0.0</v>
      </c>
      <c r="N18" s="43">
        <f t="shared" si="3"/>
        <v>0</v>
      </c>
      <c r="O18" s="55">
        <v>2.0</v>
      </c>
      <c r="P18" s="55">
        <v>10.0</v>
      </c>
      <c r="Q18" s="43">
        <f t="shared" si="2"/>
        <v>12</v>
      </c>
      <c r="R18" s="43"/>
      <c r="S18" s="43"/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9</v>
      </c>
      <c r="AC18" s="34"/>
      <c r="AD18" s="34"/>
    </row>
    <row r="19" ht="13.5" customHeight="1">
      <c r="A19" s="28">
        <v>13.0</v>
      </c>
      <c r="B19" s="376" t="s">
        <v>2408</v>
      </c>
      <c r="C19" s="376" t="s">
        <v>4391</v>
      </c>
      <c r="D19" s="376" t="s">
        <v>4385</v>
      </c>
      <c r="E19" s="133" t="s">
        <v>338</v>
      </c>
      <c r="F19" s="134">
        <v>42.0</v>
      </c>
      <c r="G19" s="134" t="s">
        <v>2914</v>
      </c>
      <c r="H19" s="134" t="s">
        <v>340</v>
      </c>
      <c r="I19" s="134">
        <v>9.203479091E9</v>
      </c>
      <c r="J19" s="54">
        <v>23.0</v>
      </c>
      <c r="K19" s="55">
        <v>16.0</v>
      </c>
      <c r="L19" s="55">
        <v>6.0</v>
      </c>
      <c r="M19" s="55">
        <v>1.0</v>
      </c>
      <c r="N19" s="43">
        <f t="shared" si="3"/>
        <v>7</v>
      </c>
      <c r="O19" s="55">
        <v>9.0</v>
      </c>
      <c r="P19" s="55">
        <v>0.0</v>
      </c>
      <c r="Q19" s="43">
        <f t="shared" si="2"/>
        <v>16</v>
      </c>
      <c r="R19" s="43"/>
      <c r="S19" s="55" t="s">
        <v>88</v>
      </c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2</v>
      </c>
      <c r="AC19" s="34"/>
      <c r="AD19" s="34"/>
    </row>
    <row r="20" ht="13.5" customHeight="1">
      <c r="A20" s="28">
        <v>14.0</v>
      </c>
      <c r="B20" s="376" t="s">
        <v>4392</v>
      </c>
      <c r="C20" s="376" t="s">
        <v>4393</v>
      </c>
      <c r="D20" s="376" t="s">
        <v>4394</v>
      </c>
      <c r="E20" s="133" t="s">
        <v>338</v>
      </c>
      <c r="F20" s="134">
        <v>43.0</v>
      </c>
      <c r="G20" s="134" t="s">
        <v>339</v>
      </c>
      <c r="H20" s="134" t="s">
        <v>340</v>
      </c>
      <c r="I20" s="208">
        <v>9.777232601E9</v>
      </c>
      <c r="J20" s="42"/>
      <c r="K20" s="43"/>
      <c r="L20" s="43"/>
      <c r="M20" s="43"/>
      <c r="N20" s="43">
        <f t="shared" si="3"/>
        <v>0</v>
      </c>
      <c r="O20" s="43"/>
      <c r="P20" s="43"/>
      <c r="Q20" s="43">
        <f t="shared" si="2"/>
        <v>0</v>
      </c>
      <c r="R20" s="43"/>
      <c r="S20" s="43"/>
      <c r="T20" s="43"/>
      <c r="U20" s="43"/>
      <c r="V20" s="43"/>
      <c r="W20" s="44"/>
      <c r="Z20" s="34"/>
      <c r="AA20" s="61" t="s">
        <v>97</v>
      </c>
      <c r="AB20" s="66">
        <f>COUNTIF(S7:S157, "RPDUL")</f>
        <v>1</v>
      </c>
      <c r="AC20" s="34"/>
      <c r="AD20" s="34"/>
    </row>
    <row r="21" ht="13.5" customHeight="1">
      <c r="A21" s="28">
        <v>15.0</v>
      </c>
      <c r="B21" s="376" t="s">
        <v>4395</v>
      </c>
      <c r="C21" s="376" t="s">
        <v>4396</v>
      </c>
      <c r="D21" s="376" t="s">
        <v>4397</v>
      </c>
      <c r="E21" s="133" t="s">
        <v>338</v>
      </c>
      <c r="F21" s="134">
        <v>30.0</v>
      </c>
      <c r="G21" s="134" t="s">
        <v>339</v>
      </c>
      <c r="H21" s="134" t="s">
        <v>340</v>
      </c>
      <c r="I21" s="208">
        <v>9.292046093E9</v>
      </c>
      <c r="J21" s="42"/>
      <c r="K21" s="43"/>
      <c r="L21" s="43"/>
      <c r="M21" s="43"/>
      <c r="N21" s="43">
        <f t="shared" si="3"/>
        <v>0</v>
      </c>
      <c r="O21" s="43"/>
      <c r="P21" s="43"/>
      <c r="Q21" s="43">
        <f t="shared" si="2"/>
        <v>0</v>
      </c>
      <c r="R21" s="43"/>
      <c r="S21" s="43"/>
      <c r="T21" s="43"/>
      <c r="U21" s="43"/>
      <c r="V21" s="43"/>
      <c r="W21" s="44"/>
      <c r="Z21" s="34"/>
      <c r="AA21" s="61" t="s">
        <v>101</v>
      </c>
      <c r="AB21" s="66">
        <f>COUNTIF(U7:U157, "JC")</f>
        <v>1</v>
      </c>
      <c r="AC21" s="34"/>
      <c r="AD21" s="34"/>
    </row>
    <row r="22" ht="13.5" customHeight="1">
      <c r="A22" s="377">
        <v>16.0</v>
      </c>
      <c r="B22" s="378" t="s">
        <v>4398</v>
      </c>
      <c r="C22" s="378" t="s">
        <v>1734</v>
      </c>
      <c r="D22" s="378" t="s">
        <v>4399</v>
      </c>
      <c r="E22" s="379" t="s">
        <v>338</v>
      </c>
      <c r="F22" s="379">
        <v>33.0</v>
      </c>
      <c r="G22" s="379" t="s">
        <v>339</v>
      </c>
      <c r="H22" s="379" t="s">
        <v>340</v>
      </c>
      <c r="I22" s="379">
        <v>9.358842267E9</v>
      </c>
      <c r="J22" s="381"/>
      <c r="K22" s="382"/>
      <c r="L22" s="382"/>
      <c r="M22" s="382"/>
      <c r="N22" s="382">
        <f t="shared" si="3"/>
        <v>0</v>
      </c>
      <c r="O22" s="382"/>
      <c r="P22" s="382"/>
      <c r="Q22" s="382">
        <f t="shared" si="2"/>
        <v>0</v>
      </c>
      <c r="R22" s="382"/>
      <c r="S22" s="382"/>
      <c r="T22" s="382"/>
      <c r="U22" s="382"/>
      <c r="V22" s="382"/>
      <c r="W22" s="383"/>
      <c r="X22" s="363"/>
      <c r="Y22" s="363"/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376" t="s">
        <v>4400</v>
      </c>
      <c r="C23" s="376" t="s">
        <v>4401</v>
      </c>
      <c r="D23" s="376" t="s">
        <v>4381</v>
      </c>
      <c r="E23" s="133" t="s">
        <v>338</v>
      </c>
      <c r="F23" s="134">
        <v>33.0</v>
      </c>
      <c r="G23" s="134" t="s">
        <v>339</v>
      </c>
      <c r="H23" s="134" t="s">
        <v>839</v>
      </c>
      <c r="I23" s="208">
        <v>9.758790883E9</v>
      </c>
      <c r="J23" s="54">
        <v>29.0</v>
      </c>
      <c r="K23" s="55">
        <v>27.0</v>
      </c>
      <c r="L23" s="55">
        <v>0.0</v>
      </c>
      <c r="M23" s="55">
        <v>2.0</v>
      </c>
      <c r="N23" s="43">
        <f t="shared" si="3"/>
        <v>2</v>
      </c>
      <c r="O23" s="55">
        <v>3.0</v>
      </c>
      <c r="P23" s="55">
        <v>0.0</v>
      </c>
      <c r="Q23" s="43">
        <f t="shared" si="2"/>
        <v>5</v>
      </c>
      <c r="R23" s="43"/>
      <c r="S23" s="43"/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11</v>
      </c>
      <c r="AC23" s="34"/>
      <c r="AD23" s="34"/>
    </row>
    <row r="24" ht="13.5" customHeight="1">
      <c r="A24" s="28">
        <v>18.0</v>
      </c>
      <c r="B24" s="376" t="s">
        <v>992</v>
      </c>
      <c r="C24" s="376" t="s">
        <v>4402</v>
      </c>
      <c r="D24" s="376" t="s">
        <v>4403</v>
      </c>
      <c r="E24" s="133" t="s">
        <v>338</v>
      </c>
      <c r="F24" s="134">
        <v>27.0</v>
      </c>
      <c r="G24" s="134" t="s">
        <v>339</v>
      </c>
      <c r="H24" s="134" t="s">
        <v>839</v>
      </c>
      <c r="I24" s="208">
        <v>9.776538574E9</v>
      </c>
      <c r="J24" s="54">
        <v>30.0</v>
      </c>
      <c r="K24" s="55">
        <v>25.0</v>
      </c>
      <c r="L24" s="55">
        <v>0.0</v>
      </c>
      <c r="M24" s="55">
        <v>2.0</v>
      </c>
      <c r="N24" s="43">
        <f t="shared" si="3"/>
        <v>2</v>
      </c>
      <c r="O24" s="55">
        <v>0.0</v>
      </c>
      <c r="P24" s="55">
        <v>5.0</v>
      </c>
      <c r="Q24" s="43">
        <f t="shared" si="2"/>
        <v>7</v>
      </c>
      <c r="R24" s="43"/>
      <c r="S24" s="43"/>
      <c r="T24" s="43"/>
      <c r="U24" s="43"/>
      <c r="V24" s="55" t="s">
        <v>4404</v>
      </c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376" t="s">
        <v>4405</v>
      </c>
      <c r="C25" s="376" t="s">
        <v>4406</v>
      </c>
      <c r="D25" s="376" t="s">
        <v>4385</v>
      </c>
      <c r="E25" s="133" t="s">
        <v>338</v>
      </c>
      <c r="F25" s="208">
        <v>41.0</v>
      </c>
      <c r="G25" s="208" t="s">
        <v>339</v>
      </c>
      <c r="H25" s="208" t="s">
        <v>4407</v>
      </c>
      <c r="I25" s="208">
        <v>9.063958643E9</v>
      </c>
      <c r="J25" s="54">
        <v>22.0</v>
      </c>
      <c r="K25" s="55">
        <v>18.0</v>
      </c>
      <c r="L25" s="55">
        <v>0.0</v>
      </c>
      <c r="M25" s="55">
        <v>0.0</v>
      </c>
      <c r="N25" s="43">
        <f t="shared" si="3"/>
        <v>0</v>
      </c>
      <c r="O25" s="55">
        <v>10.0</v>
      </c>
      <c r="P25" s="55">
        <v>4.0</v>
      </c>
      <c r="Q25" s="43">
        <f t="shared" si="2"/>
        <v>14</v>
      </c>
      <c r="R25" s="43"/>
      <c r="S25" s="55" t="s">
        <v>277</v>
      </c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376" t="s">
        <v>1962</v>
      </c>
      <c r="C26" s="376" t="s">
        <v>2428</v>
      </c>
      <c r="D26" s="376" t="s">
        <v>4408</v>
      </c>
      <c r="E26" s="133" t="s">
        <v>338</v>
      </c>
      <c r="F26" s="208">
        <v>27.0</v>
      </c>
      <c r="G26" s="208" t="s">
        <v>339</v>
      </c>
      <c r="H26" s="208" t="s">
        <v>340</v>
      </c>
      <c r="I26" s="208">
        <v>9.468631352E9</v>
      </c>
      <c r="J26" s="54">
        <v>25.0</v>
      </c>
      <c r="K26" s="55">
        <v>23.0</v>
      </c>
      <c r="L26" s="55">
        <v>0.0</v>
      </c>
      <c r="M26" s="55">
        <v>0.0</v>
      </c>
      <c r="N26" s="43">
        <f t="shared" si="3"/>
        <v>0</v>
      </c>
      <c r="O26" s="55">
        <v>7.0</v>
      </c>
      <c r="P26" s="55">
        <v>3.0</v>
      </c>
      <c r="Q26" s="43">
        <f t="shared" si="2"/>
        <v>10</v>
      </c>
      <c r="R26" s="43"/>
      <c r="S26" s="55" t="s">
        <v>277</v>
      </c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376" t="s">
        <v>4409</v>
      </c>
      <c r="C27" s="376" t="s">
        <v>1940</v>
      </c>
      <c r="D27" s="376" t="s">
        <v>4390</v>
      </c>
      <c r="E27" s="133" t="s">
        <v>338</v>
      </c>
      <c r="F27" s="208">
        <v>59.0</v>
      </c>
      <c r="G27" s="208" t="s">
        <v>339</v>
      </c>
      <c r="H27" s="208" t="s">
        <v>833</v>
      </c>
      <c r="I27" s="208">
        <v>9.973275479E9</v>
      </c>
      <c r="J27" s="54">
        <v>26.0</v>
      </c>
      <c r="K27" s="55">
        <v>13.0</v>
      </c>
      <c r="L27" s="55">
        <v>0.0</v>
      </c>
      <c r="M27" s="55">
        <v>1.0</v>
      </c>
      <c r="N27" s="43">
        <f t="shared" si="3"/>
        <v>1</v>
      </c>
      <c r="O27" s="55">
        <v>4.0</v>
      </c>
      <c r="P27" s="55">
        <v>12.0</v>
      </c>
      <c r="Q27" s="43">
        <f t="shared" si="2"/>
        <v>17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376" t="s">
        <v>4410</v>
      </c>
      <c r="C28" s="376" t="s">
        <v>4411</v>
      </c>
      <c r="D28" s="376" t="s">
        <v>4385</v>
      </c>
      <c r="E28" s="133" t="s">
        <v>338</v>
      </c>
      <c r="F28" s="208">
        <v>28.0</v>
      </c>
      <c r="G28" s="208" t="s">
        <v>339</v>
      </c>
      <c r="H28" s="208" t="s">
        <v>340</v>
      </c>
      <c r="I28" s="208">
        <v>9.5651256E9</v>
      </c>
      <c r="J28" s="42"/>
      <c r="K28" s="43"/>
      <c r="L28" s="43"/>
      <c r="M28" s="43"/>
      <c r="N28" s="43">
        <f t="shared" si="3"/>
        <v>0</v>
      </c>
      <c r="O28" s="43"/>
      <c r="P28" s="43"/>
      <c r="Q28" s="43">
        <f t="shared" si="2"/>
        <v>0</v>
      </c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376" t="s">
        <v>2321</v>
      </c>
      <c r="C29" s="376" t="s">
        <v>4412</v>
      </c>
      <c r="D29" s="376"/>
      <c r="E29" s="133" t="s">
        <v>338</v>
      </c>
      <c r="F29" s="134">
        <v>26.0</v>
      </c>
      <c r="G29" s="134" t="s">
        <v>339</v>
      </c>
      <c r="H29" s="134" t="s">
        <v>340</v>
      </c>
      <c r="I29" s="208">
        <v>9.953639456E9</v>
      </c>
      <c r="J29" s="42"/>
      <c r="K29" s="43"/>
      <c r="L29" s="43"/>
      <c r="M29" s="43"/>
      <c r="N29" s="43">
        <f t="shared" si="3"/>
        <v>0</v>
      </c>
      <c r="O29" s="43"/>
      <c r="P29" s="43"/>
      <c r="Q29" s="43">
        <f t="shared" si="2"/>
        <v>0</v>
      </c>
      <c r="R29" s="43"/>
      <c r="S29" s="43"/>
      <c r="T29" s="43"/>
      <c r="U29" s="43"/>
      <c r="V29" s="43"/>
      <c r="W29" s="44"/>
      <c r="Z29" s="34"/>
      <c r="AA29" s="34"/>
      <c r="AB29" s="34"/>
      <c r="AC29" s="34"/>
      <c r="AD29" s="34"/>
    </row>
    <row r="30" ht="13.5" customHeight="1">
      <c r="A30" s="28">
        <v>24.0</v>
      </c>
      <c r="B30" s="376" t="s">
        <v>4413</v>
      </c>
      <c r="C30" s="376" t="s">
        <v>4414</v>
      </c>
      <c r="D30" s="376" t="s">
        <v>4385</v>
      </c>
      <c r="E30" s="133" t="s">
        <v>338</v>
      </c>
      <c r="F30" s="134">
        <v>28.0</v>
      </c>
      <c r="G30" s="134" t="s">
        <v>339</v>
      </c>
      <c r="H30" s="134" t="s">
        <v>340</v>
      </c>
      <c r="I30" s="208">
        <v>9.499755883E9</v>
      </c>
      <c r="J30" s="54">
        <v>28.0</v>
      </c>
      <c r="K30" s="55">
        <v>28.0</v>
      </c>
      <c r="L30" s="55">
        <v>0.0</v>
      </c>
      <c r="M30" s="55">
        <v>0.0</v>
      </c>
      <c r="N30" s="43">
        <f t="shared" si="3"/>
        <v>0</v>
      </c>
      <c r="O30" s="55">
        <v>1.0</v>
      </c>
      <c r="P30" s="55">
        <v>0.0</v>
      </c>
      <c r="Q30" s="43">
        <f t="shared" si="2"/>
        <v>1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376" t="s">
        <v>1007</v>
      </c>
      <c r="C31" s="376" t="s">
        <v>4415</v>
      </c>
      <c r="D31" s="376" t="s">
        <v>4373</v>
      </c>
      <c r="E31" s="133" t="s">
        <v>338</v>
      </c>
      <c r="F31" s="208">
        <v>28.0</v>
      </c>
      <c r="G31" s="208" t="s">
        <v>339</v>
      </c>
      <c r="H31" s="208" t="s">
        <v>340</v>
      </c>
      <c r="I31" s="208">
        <v>9.93071324E9</v>
      </c>
      <c r="J31" s="42"/>
      <c r="K31" s="43"/>
      <c r="L31" s="43"/>
      <c r="M31" s="43"/>
      <c r="N31" s="43">
        <f t="shared" si="3"/>
        <v>0</v>
      </c>
      <c r="O31" s="43"/>
      <c r="P31" s="43"/>
      <c r="Q31" s="43">
        <f t="shared" si="2"/>
        <v>0</v>
      </c>
      <c r="R31" s="43"/>
      <c r="S31" s="43"/>
      <c r="T31" s="43"/>
      <c r="U31" s="43"/>
      <c r="V31" s="43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384" t="s">
        <v>4416</v>
      </c>
      <c r="C32" s="384" t="s">
        <v>4417</v>
      </c>
      <c r="D32" s="384" t="s">
        <v>4418</v>
      </c>
      <c r="E32" s="385" t="s">
        <v>338</v>
      </c>
      <c r="F32" s="385">
        <v>33.0</v>
      </c>
      <c r="G32" s="385" t="s">
        <v>3086</v>
      </c>
      <c r="H32" s="385" t="s">
        <v>4419</v>
      </c>
      <c r="I32" s="386"/>
      <c r="J32" s="54">
        <v>27.0</v>
      </c>
      <c r="K32" s="55">
        <v>22.0</v>
      </c>
      <c r="L32" s="55">
        <v>0.0</v>
      </c>
      <c r="M32" s="55">
        <v>1.0</v>
      </c>
      <c r="N32" s="43">
        <f t="shared" si="3"/>
        <v>1</v>
      </c>
      <c r="O32" s="55">
        <v>5.0</v>
      </c>
      <c r="P32" s="55">
        <v>4.0</v>
      </c>
      <c r="Q32" s="43">
        <f t="shared" si="2"/>
        <v>10</v>
      </c>
      <c r="R32" s="43"/>
      <c r="S32" s="55" t="s">
        <v>88</v>
      </c>
      <c r="T32" s="43"/>
      <c r="U32" s="43"/>
      <c r="V32" s="55" t="s">
        <v>4420</v>
      </c>
      <c r="W32" s="56" t="s">
        <v>46</v>
      </c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376" t="s">
        <v>4421</v>
      </c>
      <c r="C33" s="376" t="s">
        <v>4422</v>
      </c>
      <c r="D33" s="376" t="s">
        <v>4423</v>
      </c>
      <c r="E33" s="133" t="s">
        <v>338</v>
      </c>
      <c r="F33" s="208">
        <v>27.0</v>
      </c>
      <c r="G33" s="208" t="s">
        <v>339</v>
      </c>
      <c r="H33" s="208" t="s">
        <v>340</v>
      </c>
      <c r="I33" s="208">
        <v>9.306775795E9</v>
      </c>
      <c r="J33" s="42"/>
      <c r="K33" s="43"/>
      <c r="L33" s="43"/>
      <c r="M33" s="43"/>
      <c r="N33" s="43">
        <f t="shared" si="3"/>
        <v>0</v>
      </c>
      <c r="O33" s="43"/>
      <c r="P33" s="43"/>
      <c r="Q33" s="43">
        <f t="shared" si="2"/>
        <v>0</v>
      </c>
      <c r="R33" s="43"/>
      <c r="S33" s="43"/>
      <c r="T33" s="43"/>
      <c r="U33" s="43"/>
      <c r="V33" s="43"/>
      <c r="W33" s="44"/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376" t="s">
        <v>2843</v>
      </c>
      <c r="C34" s="376" t="s">
        <v>4424</v>
      </c>
      <c r="D34" s="376" t="s">
        <v>4387</v>
      </c>
      <c r="E34" s="133" t="s">
        <v>338</v>
      </c>
      <c r="F34" s="134">
        <v>34.0</v>
      </c>
      <c r="G34" s="134" t="s">
        <v>385</v>
      </c>
      <c r="H34" s="134" t="s">
        <v>839</v>
      </c>
      <c r="I34" s="208">
        <v>9.361352694E9</v>
      </c>
      <c r="J34" s="54">
        <v>28.0</v>
      </c>
      <c r="K34" s="55">
        <v>28.0</v>
      </c>
      <c r="L34" s="55">
        <v>0.0</v>
      </c>
      <c r="M34" s="55">
        <v>0.0</v>
      </c>
      <c r="N34" s="43">
        <f t="shared" si="3"/>
        <v>0</v>
      </c>
      <c r="O34" s="55">
        <v>4.0</v>
      </c>
      <c r="P34" s="55">
        <v>0.0</v>
      </c>
      <c r="Q34" s="43">
        <f t="shared" si="2"/>
        <v>4</v>
      </c>
      <c r="R34" s="43"/>
      <c r="S34" s="43"/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376" t="s">
        <v>3770</v>
      </c>
      <c r="C35" s="376" t="s">
        <v>3771</v>
      </c>
      <c r="D35" s="376" t="s">
        <v>4425</v>
      </c>
      <c r="E35" s="133" t="s">
        <v>338</v>
      </c>
      <c r="F35" s="134">
        <v>30.0</v>
      </c>
      <c r="G35" s="134" t="s">
        <v>385</v>
      </c>
      <c r="H35" s="134" t="s">
        <v>349</v>
      </c>
      <c r="I35" s="208">
        <v>9.453842538E9</v>
      </c>
      <c r="J35" s="161">
        <v>26.0</v>
      </c>
      <c r="K35" s="55">
        <v>24.0</v>
      </c>
      <c r="L35" s="55">
        <v>0.0</v>
      </c>
      <c r="M35" s="55">
        <v>0.0</v>
      </c>
      <c r="N35" s="43">
        <f t="shared" si="3"/>
        <v>0</v>
      </c>
      <c r="O35" s="55">
        <v>6.0</v>
      </c>
      <c r="P35" s="55">
        <v>2.0</v>
      </c>
      <c r="Q35" s="43">
        <f t="shared" si="2"/>
        <v>8</v>
      </c>
      <c r="R35" s="43"/>
      <c r="S35" s="55" t="s">
        <v>277</v>
      </c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376" t="s">
        <v>4426</v>
      </c>
      <c r="C36" s="376" t="s">
        <v>4427</v>
      </c>
      <c r="D36" s="376" t="s">
        <v>4428</v>
      </c>
      <c r="E36" s="133" t="s">
        <v>338</v>
      </c>
      <c r="F36" s="134">
        <v>25.0</v>
      </c>
      <c r="G36" s="134" t="s">
        <v>339</v>
      </c>
      <c r="H36" s="134" t="s">
        <v>340</v>
      </c>
      <c r="I36" s="208">
        <v>9.930629195E9</v>
      </c>
      <c r="J36" s="83"/>
      <c r="K36" s="43"/>
      <c r="L36" s="43"/>
      <c r="M36" s="43"/>
      <c r="N36" s="43">
        <f t="shared" si="3"/>
        <v>0</v>
      </c>
      <c r="O36" s="43"/>
      <c r="P36" s="43"/>
      <c r="Q36" s="43">
        <f t="shared" si="2"/>
        <v>0</v>
      </c>
      <c r="R36" s="43"/>
      <c r="S36" s="43"/>
      <c r="T36" s="43"/>
      <c r="U36" s="43"/>
      <c r="V36" s="43"/>
      <c r="W36" s="44"/>
      <c r="Z36" s="61"/>
      <c r="AA36" s="61"/>
      <c r="AB36" s="66"/>
      <c r="AC36" s="34"/>
      <c r="AD36" s="34"/>
    </row>
    <row r="37" ht="13.5" customHeight="1">
      <c r="A37" s="387">
        <v>31.0</v>
      </c>
      <c r="B37" s="388" t="s">
        <v>4429</v>
      </c>
      <c r="C37" s="388" t="s">
        <v>4430</v>
      </c>
      <c r="D37" s="388" t="s">
        <v>1121</v>
      </c>
      <c r="E37" s="389" t="s">
        <v>338</v>
      </c>
      <c r="F37" s="389">
        <v>31.0</v>
      </c>
      <c r="G37" s="389" t="s">
        <v>339</v>
      </c>
      <c r="H37" s="389" t="s">
        <v>340</v>
      </c>
      <c r="I37" s="390">
        <v>9.66376161E9</v>
      </c>
      <c r="J37" s="391"/>
      <c r="K37" s="335"/>
      <c r="L37" s="335"/>
      <c r="M37" s="335"/>
      <c r="N37" s="335">
        <f t="shared" si="3"/>
        <v>0</v>
      </c>
      <c r="O37" s="335"/>
      <c r="P37" s="335"/>
      <c r="Q37" s="335">
        <f t="shared" si="2"/>
        <v>0</v>
      </c>
      <c r="R37" s="335"/>
      <c r="S37" s="335"/>
      <c r="T37" s="335"/>
      <c r="U37" s="335"/>
      <c r="V37" s="335"/>
      <c r="W37" s="392"/>
      <c r="X37" s="393"/>
      <c r="Y37" s="393"/>
      <c r="Z37" s="84"/>
      <c r="AA37" s="84"/>
      <c r="AB37" s="85"/>
      <c r="AC37" s="86"/>
      <c r="AD37" s="86"/>
    </row>
    <row r="38" ht="13.5" customHeight="1">
      <c r="A38" s="28">
        <v>32.0</v>
      </c>
      <c r="B38" s="376" t="s">
        <v>4431</v>
      </c>
      <c r="C38" s="376" t="s">
        <v>4432</v>
      </c>
      <c r="D38" s="376" t="s">
        <v>4390</v>
      </c>
      <c r="E38" s="133" t="s">
        <v>338</v>
      </c>
      <c r="F38" s="134">
        <v>36.0</v>
      </c>
      <c r="G38" s="134" t="s">
        <v>339</v>
      </c>
      <c r="H38" s="134" t="s">
        <v>340</v>
      </c>
      <c r="I38" s="208">
        <v>9.68508894E9</v>
      </c>
      <c r="J38" s="87">
        <v>30.0</v>
      </c>
      <c r="K38" s="55">
        <v>19.0</v>
      </c>
      <c r="L38" s="55">
        <v>0.0</v>
      </c>
      <c r="M38" s="55">
        <v>7.0</v>
      </c>
      <c r="N38" s="43">
        <f t="shared" si="3"/>
        <v>7</v>
      </c>
      <c r="O38" s="55">
        <v>2.0</v>
      </c>
      <c r="P38" s="55">
        <v>4.0</v>
      </c>
      <c r="Q38" s="43">
        <f t="shared" si="2"/>
        <v>13</v>
      </c>
      <c r="R38" s="43"/>
      <c r="S38" s="55" t="s">
        <v>277</v>
      </c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376" t="s">
        <v>4433</v>
      </c>
      <c r="C39" s="376" t="s">
        <v>1409</v>
      </c>
      <c r="D39" s="376" t="s">
        <v>4434</v>
      </c>
      <c r="E39" s="133" t="s">
        <v>338</v>
      </c>
      <c r="F39" s="134">
        <v>46.0</v>
      </c>
      <c r="G39" s="134" t="s">
        <v>339</v>
      </c>
      <c r="H39" s="134" t="s">
        <v>340</v>
      </c>
      <c r="I39" s="208">
        <v>9.993023211E9</v>
      </c>
      <c r="J39" s="87">
        <v>26.0</v>
      </c>
      <c r="K39" s="55">
        <v>19.0</v>
      </c>
      <c r="L39" s="55">
        <v>0.0</v>
      </c>
      <c r="M39" s="55">
        <v>0.0</v>
      </c>
      <c r="N39" s="43">
        <f t="shared" si="3"/>
        <v>0</v>
      </c>
      <c r="O39" s="55">
        <v>6.0</v>
      </c>
      <c r="P39" s="55">
        <v>7.0</v>
      </c>
      <c r="Q39" s="43">
        <f t="shared" si="2"/>
        <v>13</v>
      </c>
      <c r="R39" s="43"/>
      <c r="S39" s="55" t="s">
        <v>277</v>
      </c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376" t="s">
        <v>4435</v>
      </c>
      <c r="C40" s="376" t="s">
        <v>1425</v>
      </c>
      <c r="D40" s="376" t="s">
        <v>4436</v>
      </c>
      <c r="E40" s="133" t="s">
        <v>338</v>
      </c>
      <c r="F40" s="134">
        <v>39.0</v>
      </c>
      <c r="G40" s="134" t="s">
        <v>339</v>
      </c>
      <c r="H40" s="134" t="s">
        <v>839</v>
      </c>
      <c r="I40" s="134">
        <v>9.298653918E9</v>
      </c>
      <c r="J40" s="87">
        <v>29.0</v>
      </c>
      <c r="K40" s="55">
        <v>26.0</v>
      </c>
      <c r="L40" s="55">
        <v>0.0</v>
      </c>
      <c r="M40" s="55">
        <v>0.0</v>
      </c>
      <c r="N40" s="43">
        <f t="shared" si="3"/>
        <v>0</v>
      </c>
      <c r="O40" s="55">
        <v>3.0</v>
      </c>
      <c r="P40" s="55">
        <v>3.0</v>
      </c>
      <c r="Q40" s="43">
        <f t="shared" si="2"/>
        <v>6</v>
      </c>
      <c r="R40" s="43"/>
      <c r="S40" s="43"/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376" t="s">
        <v>1785</v>
      </c>
      <c r="C41" s="376" t="s">
        <v>4437</v>
      </c>
      <c r="D41" s="376" t="s">
        <v>4438</v>
      </c>
      <c r="E41" s="133" t="s">
        <v>338</v>
      </c>
      <c r="F41" s="208">
        <v>27.0</v>
      </c>
      <c r="G41" s="208" t="s">
        <v>339</v>
      </c>
      <c r="H41" s="208" t="s">
        <v>340</v>
      </c>
      <c r="I41" s="208">
        <v>9.539255154E9</v>
      </c>
      <c r="J41" s="83"/>
      <c r="K41" s="43"/>
      <c r="L41" s="43"/>
      <c r="M41" s="43"/>
      <c r="N41" s="43">
        <f t="shared" si="3"/>
        <v>0</v>
      </c>
      <c r="O41" s="43"/>
      <c r="P41" s="43"/>
      <c r="Q41" s="43">
        <f t="shared" si="2"/>
        <v>0</v>
      </c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376" t="s">
        <v>1138</v>
      </c>
      <c r="C42" s="376" t="s">
        <v>3629</v>
      </c>
      <c r="D42" s="376" t="s">
        <v>4438</v>
      </c>
      <c r="E42" s="133" t="s">
        <v>338</v>
      </c>
      <c r="F42" s="208">
        <v>48.0</v>
      </c>
      <c r="G42" s="134" t="s">
        <v>339</v>
      </c>
      <c r="H42" s="134" t="s">
        <v>340</v>
      </c>
      <c r="I42" s="208">
        <v>9.97226727E9</v>
      </c>
      <c r="J42" s="87">
        <v>26.0</v>
      </c>
      <c r="K42" s="55">
        <v>23.0</v>
      </c>
      <c r="L42" s="55">
        <v>0.0</v>
      </c>
      <c r="M42" s="55">
        <v>0.0</v>
      </c>
      <c r="N42" s="43">
        <f t="shared" si="3"/>
        <v>0</v>
      </c>
      <c r="O42" s="55">
        <v>2.0</v>
      </c>
      <c r="P42" s="55">
        <v>3.0</v>
      </c>
      <c r="Q42" s="43">
        <f t="shared" si="2"/>
        <v>5</v>
      </c>
      <c r="R42" s="43"/>
      <c r="S42" s="55" t="s">
        <v>93</v>
      </c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376" t="s">
        <v>4439</v>
      </c>
      <c r="C43" s="376" t="s">
        <v>4440</v>
      </c>
      <c r="D43" s="376" t="s">
        <v>4385</v>
      </c>
      <c r="E43" s="133" t="s">
        <v>338</v>
      </c>
      <c r="F43" s="208">
        <v>26.0</v>
      </c>
      <c r="G43" s="134" t="s">
        <v>339</v>
      </c>
      <c r="H43" s="134" t="s">
        <v>340</v>
      </c>
      <c r="I43" s="208">
        <v>9.460421258E9</v>
      </c>
      <c r="J43" s="83"/>
      <c r="K43" s="43"/>
      <c r="L43" s="43"/>
      <c r="M43" s="43"/>
      <c r="N43" s="43">
        <f t="shared" si="3"/>
        <v>0</v>
      </c>
      <c r="O43" s="43"/>
      <c r="P43" s="43"/>
      <c r="Q43" s="43">
        <f t="shared" si="2"/>
        <v>0</v>
      </c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376" t="s">
        <v>4441</v>
      </c>
      <c r="C44" s="376" t="s">
        <v>4442</v>
      </c>
      <c r="D44" s="376" t="s">
        <v>4443</v>
      </c>
      <c r="E44" s="133" t="s">
        <v>338</v>
      </c>
      <c r="F44" s="208">
        <v>29.0</v>
      </c>
      <c r="G44" s="208" t="s">
        <v>339</v>
      </c>
      <c r="H44" s="208" t="s">
        <v>340</v>
      </c>
      <c r="I44" s="208">
        <v>9.605311064E9</v>
      </c>
      <c r="J44" s="87">
        <v>26.0</v>
      </c>
      <c r="K44" s="55">
        <v>24.0</v>
      </c>
      <c r="L44" s="55">
        <v>0.0</v>
      </c>
      <c r="M44" s="55">
        <v>2.0</v>
      </c>
      <c r="N44" s="43">
        <f t="shared" si="3"/>
        <v>2</v>
      </c>
      <c r="O44" s="55">
        <v>6.0</v>
      </c>
      <c r="P44" s="55">
        <v>0.0</v>
      </c>
      <c r="Q44" s="43">
        <f t="shared" si="2"/>
        <v>8</v>
      </c>
      <c r="R44" s="43"/>
      <c r="S44" s="43"/>
      <c r="T44" s="43"/>
      <c r="U44" s="43"/>
      <c r="V44" s="43"/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376" t="s">
        <v>4444</v>
      </c>
      <c r="C45" s="376" t="s">
        <v>4445</v>
      </c>
      <c r="D45" s="376" t="s">
        <v>4086</v>
      </c>
      <c r="E45" s="133" t="s">
        <v>338</v>
      </c>
      <c r="F45" s="134">
        <v>44.0</v>
      </c>
      <c r="G45" s="134" t="s">
        <v>385</v>
      </c>
      <c r="H45" s="134" t="s">
        <v>340</v>
      </c>
      <c r="I45" s="134">
        <v>9.1266744E9</v>
      </c>
      <c r="J45" s="87">
        <v>28.0</v>
      </c>
      <c r="K45" s="55">
        <v>19.0</v>
      </c>
      <c r="L45" s="55">
        <v>1.0</v>
      </c>
      <c r="M45" s="55">
        <v>8.0</v>
      </c>
      <c r="N45" s="43">
        <f t="shared" si="3"/>
        <v>9</v>
      </c>
      <c r="O45" s="55">
        <v>4.0</v>
      </c>
      <c r="P45" s="55">
        <v>0.0</v>
      </c>
      <c r="Q45" s="43">
        <f t="shared" si="2"/>
        <v>13</v>
      </c>
      <c r="R45" s="43"/>
      <c r="S45" s="43"/>
      <c r="T45" s="43"/>
      <c r="U45" s="43"/>
      <c r="V45" s="43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376" t="s">
        <v>4446</v>
      </c>
      <c r="C46" s="376" t="s">
        <v>4447</v>
      </c>
      <c r="D46" s="376" t="s">
        <v>4385</v>
      </c>
      <c r="E46" s="133" t="s">
        <v>338</v>
      </c>
      <c r="F46" s="134">
        <v>32.0</v>
      </c>
      <c r="G46" s="208" t="s">
        <v>339</v>
      </c>
      <c r="H46" s="134" t="s">
        <v>340</v>
      </c>
      <c r="I46" s="134">
        <v>9.684997999E9</v>
      </c>
      <c r="J46" s="87">
        <v>26.0</v>
      </c>
      <c r="K46" s="55">
        <v>22.0</v>
      </c>
      <c r="L46" s="55">
        <v>0.0</v>
      </c>
      <c r="M46" s="55">
        <v>0.0</v>
      </c>
      <c r="N46" s="43">
        <f t="shared" si="3"/>
        <v>0</v>
      </c>
      <c r="O46" s="55">
        <v>6.0</v>
      </c>
      <c r="P46" s="55">
        <v>4.0</v>
      </c>
      <c r="Q46" s="43">
        <f t="shared" si="2"/>
        <v>10</v>
      </c>
      <c r="R46" s="43"/>
      <c r="S46" s="55" t="s">
        <v>4448</v>
      </c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376" t="s">
        <v>3416</v>
      </c>
      <c r="C47" s="376" t="s">
        <v>4449</v>
      </c>
      <c r="D47" s="376" t="s">
        <v>4381</v>
      </c>
      <c r="E47" s="133" t="s">
        <v>338</v>
      </c>
      <c r="F47" s="134">
        <v>43.0</v>
      </c>
      <c r="G47" s="134" t="s">
        <v>385</v>
      </c>
      <c r="H47" s="134" t="s">
        <v>833</v>
      </c>
      <c r="I47" s="134">
        <v>9.326172766E9</v>
      </c>
      <c r="J47" s="87">
        <v>9.0</v>
      </c>
      <c r="K47" s="55">
        <v>5.0</v>
      </c>
      <c r="L47" s="55">
        <v>0.0</v>
      </c>
      <c r="M47" s="55">
        <v>0.0</v>
      </c>
      <c r="N47" s="43">
        <f t="shared" si="3"/>
        <v>0</v>
      </c>
      <c r="O47" s="55">
        <v>20.0</v>
      </c>
      <c r="P47" s="55">
        <v>4.0</v>
      </c>
      <c r="Q47" s="43">
        <f t="shared" si="2"/>
        <v>24</v>
      </c>
      <c r="R47" s="43"/>
      <c r="S47" s="43"/>
      <c r="T47" s="55" t="s">
        <v>101</v>
      </c>
      <c r="U47" s="43"/>
      <c r="V47" s="55" t="s">
        <v>4450</v>
      </c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376" t="s">
        <v>3049</v>
      </c>
      <c r="C48" s="376" t="s">
        <v>4451</v>
      </c>
      <c r="D48" s="376" t="s">
        <v>2093</v>
      </c>
      <c r="E48" s="133" t="s">
        <v>338</v>
      </c>
      <c r="F48" s="134">
        <v>38.0</v>
      </c>
      <c r="G48" s="134" t="s">
        <v>339</v>
      </c>
      <c r="H48" s="134" t="s">
        <v>839</v>
      </c>
      <c r="I48" s="208">
        <v>9.605311051E9</v>
      </c>
      <c r="J48" s="87">
        <v>29.0</v>
      </c>
      <c r="K48" s="55">
        <v>19.0</v>
      </c>
      <c r="L48" s="55">
        <v>0.0</v>
      </c>
      <c r="M48" s="55">
        <v>0.0</v>
      </c>
      <c r="N48" s="43">
        <f t="shared" si="3"/>
        <v>0</v>
      </c>
      <c r="O48" s="55">
        <v>2.0</v>
      </c>
      <c r="P48" s="55">
        <v>10.0</v>
      </c>
      <c r="Q48" s="43">
        <f t="shared" si="2"/>
        <v>12</v>
      </c>
      <c r="R48" s="43"/>
      <c r="S48" s="43"/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376" t="s">
        <v>4452</v>
      </c>
      <c r="C49" s="376" t="s">
        <v>987</v>
      </c>
      <c r="D49" s="376"/>
      <c r="E49" s="133" t="s">
        <v>338</v>
      </c>
      <c r="F49" s="134">
        <v>28.0</v>
      </c>
      <c r="G49" s="134" t="s">
        <v>339</v>
      </c>
      <c r="H49" s="134" t="s">
        <v>833</v>
      </c>
      <c r="I49" s="208">
        <v>9.45695396E9</v>
      </c>
      <c r="J49" s="87">
        <v>25.0</v>
      </c>
      <c r="K49" s="55">
        <v>16.0</v>
      </c>
      <c r="L49" s="55">
        <v>1.0</v>
      </c>
      <c r="M49" s="55">
        <v>8.0</v>
      </c>
      <c r="N49" s="43">
        <f t="shared" si="3"/>
        <v>9</v>
      </c>
      <c r="O49" s="55">
        <v>7.0</v>
      </c>
      <c r="P49" s="55">
        <v>0.0</v>
      </c>
      <c r="Q49" s="43">
        <f t="shared" si="2"/>
        <v>16</v>
      </c>
      <c r="R49" s="43"/>
      <c r="S49" s="55" t="s">
        <v>88</v>
      </c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376" t="s">
        <v>4453</v>
      </c>
      <c r="C50" s="376" t="s">
        <v>4454</v>
      </c>
      <c r="D50" s="376" t="s">
        <v>4373</v>
      </c>
      <c r="E50" s="133" t="s">
        <v>338</v>
      </c>
      <c r="F50" s="134">
        <v>42.0</v>
      </c>
      <c r="G50" s="134" t="s">
        <v>385</v>
      </c>
      <c r="H50" s="134" t="s">
        <v>839</v>
      </c>
      <c r="I50" s="208">
        <v>9.27516342E9</v>
      </c>
      <c r="J50" s="87">
        <v>25.0</v>
      </c>
      <c r="K50" s="55">
        <v>21.0</v>
      </c>
      <c r="L50" s="55">
        <v>1.0</v>
      </c>
      <c r="M50" s="55">
        <v>3.0</v>
      </c>
      <c r="N50" s="43">
        <f t="shared" si="3"/>
        <v>4</v>
      </c>
      <c r="O50" s="55">
        <v>7.0</v>
      </c>
      <c r="P50" s="55">
        <v>0.0</v>
      </c>
      <c r="Q50" s="43">
        <f t="shared" si="2"/>
        <v>11</v>
      </c>
      <c r="R50" s="43"/>
      <c r="S50" s="43"/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76" t="s">
        <v>4453</v>
      </c>
      <c r="C51" s="376" t="s">
        <v>4455</v>
      </c>
      <c r="D51" s="376" t="s">
        <v>4394</v>
      </c>
      <c r="E51" s="133" t="s">
        <v>338</v>
      </c>
      <c r="F51" s="134">
        <v>35.0</v>
      </c>
      <c r="G51" s="208" t="s">
        <v>339</v>
      </c>
      <c r="H51" s="134" t="s">
        <v>833</v>
      </c>
      <c r="I51" s="134">
        <v>9.551487134E9</v>
      </c>
      <c r="J51" s="87">
        <v>27.0</v>
      </c>
      <c r="K51" s="55">
        <v>21.0</v>
      </c>
      <c r="L51" s="55">
        <v>0.0</v>
      </c>
      <c r="M51" s="55">
        <v>0.0</v>
      </c>
      <c r="N51" s="43">
        <f t="shared" si="3"/>
        <v>0</v>
      </c>
      <c r="O51" s="55">
        <v>5.0</v>
      </c>
      <c r="P51" s="55">
        <v>6.0</v>
      </c>
      <c r="Q51" s="43">
        <f t="shared" si="2"/>
        <v>11</v>
      </c>
      <c r="R51" s="43"/>
      <c r="S51" s="43"/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376" t="s">
        <v>4456</v>
      </c>
      <c r="C52" s="376" t="s">
        <v>4457</v>
      </c>
      <c r="D52" s="376" t="s">
        <v>4458</v>
      </c>
      <c r="E52" s="133" t="s">
        <v>338</v>
      </c>
      <c r="F52" s="208">
        <v>38.0</v>
      </c>
      <c r="G52" s="208" t="s">
        <v>339</v>
      </c>
      <c r="H52" s="208" t="s">
        <v>340</v>
      </c>
      <c r="I52" s="208">
        <v>9.106803823E9</v>
      </c>
      <c r="J52" s="83"/>
      <c r="K52" s="43"/>
      <c r="L52" s="43"/>
      <c r="M52" s="43"/>
      <c r="N52" s="43">
        <f t="shared" si="3"/>
        <v>0</v>
      </c>
      <c r="O52" s="43"/>
      <c r="P52" s="43"/>
      <c r="Q52" s="43">
        <f t="shared" si="2"/>
        <v>0</v>
      </c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376" t="s">
        <v>4459</v>
      </c>
      <c r="C53" s="376" t="s">
        <v>2539</v>
      </c>
      <c r="D53" s="376" t="s">
        <v>4381</v>
      </c>
      <c r="E53" s="133" t="s">
        <v>338</v>
      </c>
      <c r="F53" s="134">
        <v>27.0</v>
      </c>
      <c r="G53" s="208" t="s">
        <v>339</v>
      </c>
      <c r="H53" s="134" t="s">
        <v>340</v>
      </c>
      <c r="I53" s="134">
        <v>9.707365828E9</v>
      </c>
      <c r="J53" s="83"/>
      <c r="K53" s="43"/>
      <c r="L53" s="43"/>
      <c r="M53" s="43"/>
      <c r="N53" s="43">
        <f t="shared" si="3"/>
        <v>0</v>
      </c>
      <c r="O53" s="43"/>
      <c r="P53" s="43"/>
      <c r="Q53" s="43">
        <f t="shared" si="2"/>
        <v>0</v>
      </c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376" t="s">
        <v>4460</v>
      </c>
      <c r="C54" s="376" t="s">
        <v>4461</v>
      </c>
      <c r="D54" s="376" t="s">
        <v>4462</v>
      </c>
      <c r="E54" s="133" t="s">
        <v>338</v>
      </c>
      <c r="F54" s="134">
        <v>49.0</v>
      </c>
      <c r="G54" s="134" t="s">
        <v>385</v>
      </c>
      <c r="H54" s="134" t="s">
        <v>340</v>
      </c>
      <c r="I54" s="208">
        <v>9.292277462E9</v>
      </c>
      <c r="J54" s="87">
        <v>32.0</v>
      </c>
      <c r="K54" s="55">
        <v>25.0</v>
      </c>
      <c r="L54" s="55">
        <v>0.0</v>
      </c>
      <c r="M54" s="55">
        <v>0.0</v>
      </c>
      <c r="N54" s="43">
        <f t="shared" si="3"/>
        <v>0</v>
      </c>
      <c r="O54" s="55">
        <v>0.0</v>
      </c>
      <c r="P54" s="55">
        <v>7.0</v>
      </c>
      <c r="Q54" s="43">
        <f t="shared" si="2"/>
        <v>7</v>
      </c>
      <c r="R54" s="43"/>
      <c r="S54" s="43"/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376" t="s">
        <v>4463</v>
      </c>
      <c r="C55" s="376" t="s">
        <v>4464</v>
      </c>
      <c r="D55" s="376" t="s">
        <v>4443</v>
      </c>
      <c r="E55" s="133" t="s">
        <v>338</v>
      </c>
      <c r="F55" s="134">
        <v>26.0</v>
      </c>
      <c r="G55" s="134" t="s">
        <v>339</v>
      </c>
      <c r="H55" s="134" t="s">
        <v>349</v>
      </c>
      <c r="I55" s="208">
        <v>9.531479883E9</v>
      </c>
      <c r="J55" s="87">
        <v>26.0</v>
      </c>
      <c r="K55" s="55">
        <v>22.0</v>
      </c>
      <c r="L55" s="55">
        <v>0.0</v>
      </c>
      <c r="M55" s="55">
        <v>0.0</v>
      </c>
      <c r="N55" s="43">
        <f t="shared" si="3"/>
        <v>0</v>
      </c>
      <c r="O55" s="55">
        <v>2.0</v>
      </c>
      <c r="P55" s="55">
        <v>4.0</v>
      </c>
      <c r="Q55" s="43">
        <f t="shared" si="2"/>
        <v>6</v>
      </c>
      <c r="R55" s="43"/>
      <c r="S55" s="43"/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376" t="s">
        <v>112</v>
      </c>
      <c r="C56" s="376" t="s">
        <v>4465</v>
      </c>
      <c r="D56" s="376" t="s">
        <v>4466</v>
      </c>
      <c r="E56" s="133" t="s">
        <v>338</v>
      </c>
      <c r="F56" s="134">
        <v>29.0</v>
      </c>
      <c r="G56" s="134" t="s">
        <v>339</v>
      </c>
      <c r="H56" s="134" t="s">
        <v>833</v>
      </c>
      <c r="I56" s="208">
        <v>9.651601574E9</v>
      </c>
      <c r="J56" s="87">
        <v>30.0</v>
      </c>
      <c r="K56" s="55">
        <v>30.0</v>
      </c>
      <c r="L56" s="55">
        <v>0.0</v>
      </c>
      <c r="M56" s="55">
        <v>0.0</v>
      </c>
      <c r="N56" s="43">
        <f t="shared" si="3"/>
        <v>0</v>
      </c>
      <c r="O56" s="55">
        <v>0.0</v>
      </c>
      <c r="P56" s="55">
        <v>0.0</v>
      </c>
      <c r="Q56" s="43">
        <f t="shared" si="2"/>
        <v>0</v>
      </c>
      <c r="R56" s="43"/>
      <c r="S56" s="43"/>
      <c r="T56" s="43"/>
      <c r="U56" s="43"/>
      <c r="V56" s="43"/>
      <c r="W56" s="56" t="s">
        <v>46</v>
      </c>
      <c r="Z56" s="61"/>
      <c r="AA56" s="61"/>
      <c r="AB56" s="66"/>
      <c r="AC56" s="34"/>
      <c r="AD56" s="34"/>
    </row>
    <row r="57" ht="12.75" customHeight="1">
      <c r="A57" s="28">
        <v>51.0</v>
      </c>
      <c r="B57" s="376" t="s">
        <v>112</v>
      </c>
      <c r="C57" s="376" t="s">
        <v>4467</v>
      </c>
      <c r="D57" s="376" t="s">
        <v>4468</v>
      </c>
      <c r="E57" s="133" t="s">
        <v>338</v>
      </c>
      <c r="F57" s="134">
        <v>26.0</v>
      </c>
      <c r="G57" s="134" t="s">
        <v>385</v>
      </c>
      <c r="H57" s="134" t="s">
        <v>340</v>
      </c>
      <c r="I57" s="208">
        <v>9.389112593E9</v>
      </c>
      <c r="J57" s="83"/>
      <c r="K57" s="43"/>
      <c r="L57" s="43"/>
      <c r="M57" s="43"/>
      <c r="N57" s="43">
        <f t="shared" si="3"/>
        <v>0</v>
      </c>
      <c r="O57" s="43"/>
      <c r="P57" s="43"/>
      <c r="Q57" s="43">
        <f t="shared" si="2"/>
        <v>0</v>
      </c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376" t="s">
        <v>4469</v>
      </c>
      <c r="C58" s="376" t="s">
        <v>822</v>
      </c>
      <c r="D58" s="376" t="s">
        <v>4381</v>
      </c>
      <c r="E58" s="133" t="s">
        <v>338</v>
      </c>
      <c r="F58" s="134">
        <v>61.0</v>
      </c>
      <c r="G58" s="134" t="s">
        <v>385</v>
      </c>
      <c r="H58" s="134" t="s">
        <v>839</v>
      </c>
      <c r="I58" s="134">
        <v>9.159039185E9</v>
      </c>
      <c r="J58" s="87">
        <v>26.0</v>
      </c>
      <c r="K58" s="55">
        <v>22.0</v>
      </c>
      <c r="L58" s="55">
        <v>0.0</v>
      </c>
      <c r="M58" s="55">
        <v>0.0</v>
      </c>
      <c r="N58" s="43">
        <f t="shared" si="3"/>
        <v>0</v>
      </c>
      <c r="O58" s="55">
        <v>6.0</v>
      </c>
      <c r="P58" s="55">
        <v>4.0</v>
      </c>
      <c r="Q58" s="43">
        <f t="shared" si="2"/>
        <v>10</v>
      </c>
      <c r="R58" s="43"/>
      <c r="S58" s="43"/>
      <c r="T58" s="43"/>
      <c r="U58" s="43"/>
      <c r="V58" s="43"/>
      <c r="W58" s="56" t="s">
        <v>46</v>
      </c>
      <c r="Z58" s="61"/>
      <c r="AA58" s="61"/>
      <c r="AB58" s="66"/>
      <c r="AC58" s="34"/>
      <c r="AD58" s="34"/>
    </row>
    <row r="59" ht="13.5" customHeight="1">
      <c r="A59" s="28">
        <v>53.0</v>
      </c>
      <c r="B59" s="376" t="s">
        <v>4470</v>
      </c>
      <c r="C59" s="376" t="s">
        <v>4471</v>
      </c>
      <c r="D59" s="376" t="s">
        <v>4086</v>
      </c>
      <c r="E59" s="133" t="s">
        <v>338</v>
      </c>
      <c r="F59" s="134">
        <v>29.0</v>
      </c>
      <c r="G59" s="134" t="s">
        <v>339</v>
      </c>
      <c r="H59" s="134" t="s">
        <v>833</v>
      </c>
      <c r="I59" s="134">
        <v>9.481546049E9</v>
      </c>
      <c r="J59" s="87">
        <v>28.0</v>
      </c>
      <c r="K59" s="55">
        <v>24.0</v>
      </c>
      <c r="L59" s="55">
        <v>0.0</v>
      </c>
      <c r="M59" s="55">
        <v>4.0</v>
      </c>
      <c r="N59" s="43">
        <f t="shared" si="3"/>
        <v>4</v>
      </c>
      <c r="O59" s="55">
        <v>4.0</v>
      </c>
      <c r="P59" s="55">
        <v>0.0</v>
      </c>
      <c r="Q59" s="43">
        <f t="shared" si="2"/>
        <v>8</v>
      </c>
      <c r="R59" s="43"/>
      <c r="S59" s="43"/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376" t="s">
        <v>890</v>
      </c>
      <c r="C60" s="376" t="s">
        <v>390</v>
      </c>
      <c r="D60" s="376" t="s">
        <v>4472</v>
      </c>
      <c r="E60" s="133" t="s">
        <v>338</v>
      </c>
      <c r="F60" s="208">
        <v>36.0</v>
      </c>
      <c r="G60" s="208" t="s">
        <v>339</v>
      </c>
      <c r="H60" s="208" t="s">
        <v>340</v>
      </c>
      <c r="I60" s="208">
        <v>9.628114253E9</v>
      </c>
      <c r="J60" s="87">
        <v>18.0</v>
      </c>
      <c r="K60" s="55">
        <v>15.0</v>
      </c>
      <c r="L60" s="55">
        <v>0.0</v>
      </c>
      <c r="M60" s="55">
        <v>1.0</v>
      </c>
      <c r="N60" s="43">
        <f t="shared" si="3"/>
        <v>1</v>
      </c>
      <c r="O60" s="55">
        <v>14.0</v>
      </c>
      <c r="P60" s="55">
        <v>2.0</v>
      </c>
      <c r="Q60" s="43">
        <f t="shared" si="2"/>
        <v>17</v>
      </c>
      <c r="R60" s="43"/>
      <c r="S60" s="55" t="s">
        <v>88</v>
      </c>
      <c r="T60" s="43"/>
      <c r="U60" s="43"/>
      <c r="V60" s="43"/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376" t="s">
        <v>4473</v>
      </c>
      <c r="C61" s="376" t="s">
        <v>4474</v>
      </c>
      <c r="D61" s="376" t="s">
        <v>2329</v>
      </c>
      <c r="E61" s="133" t="s">
        <v>338</v>
      </c>
      <c r="F61" s="208">
        <v>32.0</v>
      </c>
      <c r="G61" s="208" t="s">
        <v>339</v>
      </c>
      <c r="H61" s="208" t="s">
        <v>340</v>
      </c>
      <c r="I61" s="208">
        <v>9.943723944E9</v>
      </c>
      <c r="J61" s="83"/>
      <c r="K61" s="43"/>
      <c r="L61" s="43"/>
      <c r="M61" s="43"/>
      <c r="N61" s="43">
        <f t="shared" si="3"/>
        <v>0</v>
      </c>
      <c r="O61" s="43"/>
      <c r="P61" s="43"/>
      <c r="Q61" s="43">
        <f t="shared" si="2"/>
        <v>0</v>
      </c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376" t="s">
        <v>4475</v>
      </c>
      <c r="C62" s="376" t="s">
        <v>409</v>
      </c>
      <c r="D62" s="376" t="s">
        <v>4403</v>
      </c>
      <c r="E62" s="133" t="s">
        <v>338</v>
      </c>
      <c r="F62" s="208">
        <v>35.0</v>
      </c>
      <c r="G62" s="208" t="s">
        <v>339</v>
      </c>
      <c r="H62" s="208" t="s">
        <v>340</v>
      </c>
      <c r="I62" s="208">
        <v>9.673301218E9</v>
      </c>
      <c r="J62" s="87">
        <v>32.0</v>
      </c>
      <c r="K62" s="55">
        <v>27.0</v>
      </c>
      <c r="L62" s="55">
        <v>0.0</v>
      </c>
      <c r="M62" s="55">
        <v>5.0</v>
      </c>
      <c r="N62" s="43">
        <f t="shared" si="3"/>
        <v>5</v>
      </c>
      <c r="O62" s="55">
        <v>0.0</v>
      </c>
      <c r="P62" s="55">
        <v>0.0</v>
      </c>
      <c r="Q62" s="43">
        <f t="shared" si="2"/>
        <v>5</v>
      </c>
      <c r="R62" s="43"/>
      <c r="S62" s="43"/>
      <c r="T62" s="43"/>
      <c r="U62" s="43"/>
      <c r="V62" s="43"/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376" t="s">
        <v>4476</v>
      </c>
      <c r="C63" s="376" t="s">
        <v>4477</v>
      </c>
      <c r="D63" s="376" t="s">
        <v>4385</v>
      </c>
      <c r="E63" s="133" t="s">
        <v>338</v>
      </c>
      <c r="F63" s="134">
        <v>29.0</v>
      </c>
      <c r="G63" s="134" t="s">
        <v>339</v>
      </c>
      <c r="H63" s="134" t="s">
        <v>839</v>
      </c>
      <c r="I63" s="208">
        <v>9.68499802E9</v>
      </c>
      <c r="J63" s="87">
        <v>31.0</v>
      </c>
      <c r="K63" s="55">
        <v>30.0</v>
      </c>
      <c r="L63" s="55">
        <v>0.0</v>
      </c>
      <c r="M63" s="55">
        <v>1.0</v>
      </c>
      <c r="N63" s="43">
        <f t="shared" si="3"/>
        <v>1</v>
      </c>
      <c r="O63" s="55">
        <v>1.0</v>
      </c>
      <c r="P63" s="55">
        <v>0.0</v>
      </c>
      <c r="Q63" s="43">
        <f t="shared" si="2"/>
        <v>2</v>
      </c>
      <c r="R63" s="43"/>
      <c r="S63" s="43"/>
      <c r="T63" s="43"/>
      <c r="U63" s="43"/>
      <c r="V63" s="43"/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376" t="s">
        <v>4478</v>
      </c>
      <c r="C64" s="376" t="s">
        <v>4479</v>
      </c>
      <c r="D64" s="376" t="s">
        <v>4385</v>
      </c>
      <c r="E64" s="133" t="s">
        <v>338</v>
      </c>
      <c r="F64" s="134">
        <v>34.0</v>
      </c>
      <c r="G64" s="134" t="s">
        <v>339</v>
      </c>
      <c r="H64" s="134" t="s">
        <v>340</v>
      </c>
      <c r="I64" s="134">
        <v>9.927459144E9</v>
      </c>
      <c r="J64" s="87">
        <v>23.0</v>
      </c>
      <c r="K64" s="55">
        <v>12.0</v>
      </c>
      <c r="L64" s="55">
        <v>2.0</v>
      </c>
      <c r="M64" s="55">
        <v>5.0</v>
      </c>
      <c r="N64" s="43">
        <f t="shared" si="3"/>
        <v>7</v>
      </c>
      <c r="O64" s="55">
        <v>7.0</v>
      </c>
      <c r="P64" s="55">
        <v>4.0</v>
      </c>
      <c r="Q64" s="43">
        <f t="shared" si="2"/>
        <v>18</v>
      </c>
      <c r="R64" s="43"/>
      <c r="S64" s="55" t="s">
        <v>277</v>
      </c>
      <c r="T64" s="43"/>
      <c r="U64" s="43"/>
      <c r="V64" s="55" t="s">
        <v>4480</v>
      </c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376" t="s">
        <v>4481</v>
      </c>
      <c r="C65" s="376" t="s">
        <v>4482</v>
      </c>
      <c r="D65" s="376" t="s">
        <v>4370</v>
      </c>
      <c r="E65" s="133" t="s">
        <v>338</v>
      </c>
      <c r="F65" s="134">
        <v>29.0</v>
      </c>
      <c r="G65" s="134" t="s">
        <v>339</v>
      </c>
      <c r="H65" s="134" t="s">
        <v>839</v>
      </c>
      <c r="I65" s="134">
        <v>9.569924712E9</v>
      </c>
      <c r="J65" s="87">
        <v>27.0</v>
      </c>
      <c r="K65" s="55">
        <v>16.0</v>
      </c>
      <c r="L65" s="55">
        <v>1.0</v>
      </c>
      <c r="M65" s="55">
        <v>10.0</v>
      </c>
      <c r="N65" s="43">
        <f t="shared" si="3"/>
        <v>11</v>
      </c>
      <c r="O65" s="55">
        <v>3.0</v>
      </c>
      <c r="P65" s="55">
        <v>0.0</v>
      </c>
      <c r="Q65" s="43">
        <f t="shared" si="2"/>
        <v>14</v>
      </c>
      <c r="R65" s="43"/>
      <c r="S65" s="43"/>
      <c r="T65" s="43"/>
      <c r="U65" s="43"/>
      <c r="V65" s="43"/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376" t="s">
        <v>443</v>
      </c>
      <c r="C66" s="376" t="s">
        <v>4483</v>
      </c>
      <c r="D66" s="376" t="s">
        <v>1586</v>
      </c>
      <c r="E66" s="133" t="s">
        <v>338</v>
      </c>
      <c r="F66" s="134">
        <v>33.0</v>
      </c>
      <c r="G66" s="134" t="s">
        <v>385</v>
      </c>
      <c r="H66" s="134" t="s">
        <v>340</v>
      </c>
      <c r="I66" s="134">
        <v>9.068450073E9</v>
      </c>
      <c r="J66" s="87">
        <v>27.0</v>
      </c>
      <c r="K66" s="55">
        <v>21.0</v>
      </c>
      <c r="L66" s="55">
        <v>1.0</v>
      </c>
      <c r="M66" s="55">
        <v>5.0</v>
      </c>
      <c r="N66" s="43">
        <f t="shared" si="3"/>
        <v>6</v>
      </c>
      <c r="O66" s="55">
        <v>2.0</v>
      </c>
      <c r="P66" s="55">
        <v>0.0</v>
      </c>
      <c r="Q66" s="43">
        <f t="shared" si="2"/>
        <v>8</v>
      </c>
      <c r="R66" s="43"/>
      <c r="S66" s="43"/>
      <c r="T66" s="43"/>
      <c r="U66" s="43"/>
      <c r="V66" s="43"/>
      <c r="W66" s="56" t="s">
        <v>46</v>
      </c>
      <c r="Z66" s="61"/>
      <c r="AA66" s="61"/>
      <c r="AB66" s="66"/>
      <c r="AC66" s="34"/>
      <c r="AD66" s="34"/>
    </row>
    <row r="67" ht="13.5" customHeight="1">
      <c r="A67" s="28">
        <v>61.0</v>
      </c>
      <c r="B67" s="394" t="s">
        <v>3486</v>
      </c>
      <c r="C67" s="395" t="s">
        <v>4484</v>
      </c>
      <c r="D67" s="395" t="s">
        <v>4485</v>
      </c>
      <c r="E67" s="396" t="s">
        <v>338</v>
      </c>
      <c r="F67" s="397">
        <v>27.0</v>
      </c>
      <c r="G67" s="397" t="s">
        <v>339</v>
      </c>
      <c r="H67" s="397" t="s">
        <v>340</v>
      </c>
      <c r="I67" s="397">
        <v>9.104765359E9</v>
      </c>
      <c r="J67" s="87">
        <v>31.0</v>
      </c>
      <c r="K67" s="55">
        <v>25.0</v>
      </c>
      <c r="L67" s="55">
        <v>0.0</v>
      </c>
      <c r="M67" s="55">
        <v>1.0</v>
      </c>
      <c r="N67" s="43">
        <f t="shared" si="3"/>
        <v>1</v>
      </c>
      <c r="O67" s="55">
        <v>1.0</v>
      </c>
      <c r="P67" s="55">
        <v>5.0</v>
      </c>
      <c r="Q67" s="43">
        <f t="shared" si="2"/>
        <v>7</v>
      </c>
      <c r="R67" s="43"/>
      <c r="S67" s="55" t="s">
        <v>277</v>
      </c>
      <c r="T67" s="43"/>
      <c r="U67" s="43"/>
      <c r="V67" s="43"/>
      <c r="W67" s="56" t="s">
        <v>46</v>
      </c>
      <c r="Z67" s="61"/>
      <c r="AA67" s="61"/>
      <c r="AB67" s="66"/>
      <c r="AC67" s="34"/>
      <c r="AD67" s="34"/>
    </row>
    <row r="68" ht="13.5" customHeight="1">
      <c r="A68" s="28">
        <v>62.0</v>
      </c>
      <c r="B68" s="376" t="s">
        <v>4486</v>
      </c>
      <c r="C68" s="376" t="s">
        <v>4487</v>
      </c>
      <c r="D68" s="376" t="s">
        <v>4381</v>
      </c>
      <c r="E68" s="133" t="s">
        <v>338</v>
      </c>
      <c r="F68" s="134">
        <v>34.0</v>
      </c>
      <c r="G68" s="134" t="s">
        <v>385</v>
      </c>
      <c r="H68" s="134" t="s">
        <v>839</v>
      </c>
      <c r="I68" s="134">
        <v>9.938556636E9</v>
      </c>
      <c r="J68" s="87">
        <v>11.0</v>
      </c>
      <c r="K68" s="55">
        <v>11.0</v>
      </c>
      <c r="L68" s="55">
        <v>0.0</v>
      </c>
      <c r="M68" s="55">
        <v>0.0</v>
      </c>
      <c r="N68" s="43">
        <f t="shared" si="3"/>
        <v>0</v>
      </c>
      <c r="O68" s="55">
        <v>21.0</v>
      </c>
      <c r="P68" s="55">
        <v>0.0</v>
      </c>
      <c r="Q68" s="43">
        <f t="shared" si="2"/>
        <v>21</v>
      </c>
      <c r="R68" s="43"/>
      <c r="S68" s="55" t="s">
        <v>79</v>
      </c>
      <c r="T68" s="43"/>
      <c r="U68" s="43"/>
      <c r="V68" s="43"/>
      <c r="W68" s="56" t="s">
        <v>46</v>
      </c>
      <c r="Z68" s="61"/>
      <c r="AA68" s="61"/>
      <c r="AB68" s="66"/>
      <c r="AC68" s="34"/>
      <c r="AD68" s="34"/>
    </row>
    <row r="69" ht="13.5" customHeight="1">
      <c r="A69" s="28">
        <v>63.0</v>
      </c>
      <c r="B69" s="376" t="s">
        <v>3561</v>
      </c>
      <c r="C69" s="376" t="s">
        <v>4488</v>
      </c>
      <c r="D69" s="376" t="s">
        <v>4370</v>
      </c>
      <c r="E69" s="133" t="s">
        <v>338</v>
      </c>
      <c r="F69" s="134">
        <v>33.0</v>
      </c>
      <c r="G69" s="134" t="s">
        <v>339</v>
      </c>
      <c r="H69" s="134" t="s">
        <v>340</v>
      </c>
      <c r="I69" s="134">
        <v>9.976441369E9</v>
      </c>
      <c r="J69" s="83"/>
      <c r="K69" s="43"/>
      <c r="L69" s="43"/>
      <c r="M69" s="43"/>
      <c r="N69" s="43">
        <f t="shared" si="3"/>
        <v>0</v>
      </c>
      <c r="O69" s="43"/>
      <c r="P69" s="43"/>
      <c r="Q69" s="43">
        <v>0.0</v>
      </c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376" t="s">
        <v>1039</v>
      </c>
      <c r="C70" s="376" t="s">
        <v>4489</v>
      </c>
      <c r="D70" s="376" t="s">
        <v>4086</v>
      </c>
      <c r="E70" s="133" t="s">
        <v>338</v>
      </c>
      <c r="F70" s="208">
        <v>25.0</v>
      </c>
      <c r="G70" s="134" t="s">
        <v>339</v>
      </c>
      <c r="H70" s="134" t="s">
        <v>340</v>
      </c>
      <c r="I70" s="398" t="s">
        <v>4490</v>
      </c>
      <c r="J70" s="83"/>
      <c r="K70" s="43"/>
      <c r="L70" s="43"/>
      <c r="M70" s="43"/>
      <c r="N70" s="43">
        <f t="shared" si="3"/>
        <v>0</v>
      </c>
      <c r="O70" s="43"/>
      <c r="P70" s="43"/>
      <c r="Q70" s="43">
        <f t="shared" ref="Q70:Q83" si="4">sum(N70,O70,P70)</f>
        <v>0</v>
      </c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376" t="s">
        <v>1039</v>
      </c>
      <c r="C71" s="376" t="s">
        <v>2168</v>
      </c>
      <c r="D71" s="376" t="s">
        <v>4370</v>
      </c>
      <c r="E71" s="133" t="s">
        <v>338</v>
      </c>
      <c r="F71" s="134">
        <v>39.0</v>
      </c>
      <c r="G71" s="134" t="s">
        <v>339</v>
      </c>
      <c r="H71" s="134" t="s">
        <v>839</v>
      </c>
      <c r="I71" s="134">
        <v>9.35856003E9</v>
      </c>
      <c r="J71" s="87">
        <v>29.0</v>
      </c>
      <c r="K71" s="55">
        <v>29.0</v>
      </c>
      <c r="L71" s="55">
        <v>0.0</v>
      </c>
      <c r="M71" s="55">
        <v>0.0</v>
      </c>
      <c r="N71" s="43">
        <f t="shared" si="3"/>
        <v>0</v>
      </c>
      <c r="O71" s="55">
        <v>1.0</v>
      </c>
      <c r="P71" s="55">
        <v>0.0</v>
      </c>
      <c r="Q71" s="43">
        <f t="shared" si="4"/>
        <v>1</v>
      </c>
      <c r="R71" s="43"/>
      <c r="S71" s="55" t="s">
        <v>277</v>
      </c>
      <c r="T71" s="43"/>
      <c r="U71" s="43"/>
      <c r="V71" s="43"/>
      <c r="W71" s="56" t="s">
        <v>46</v>
      </c>
      <c r="Z71" s="61"/>
      <c r="AA71" s="61"/>
      <c r="AB71" s="66"/>
      <c r="AC71" s="34"/>
      <c r="AD71" s="34"/>
    </row>
    <row r="72" ht="13.5" customHeight="1">
      <c r="A72" s="28">
        <v>66.0</v>
      </c>
      <c r="B72" s="376" t="s">
        <v>4491</v>
      </c>
      <c r="C72" s="376" t="s">
        <v>4492</v>
      </c>
      <c r="D72" s="376" t="s">
        <v>4403</v>
      </c>
      <c r="E72" s="133" t="s">
        <v>338</v>
      </c>
      <c r="F72" s="208">
        <v>43.0</v>
      </c>
      <c r="G72" s="208" t="s">
        <v>339</v>
      </c>
      <c r="H72" s="208" t="s">
        <v>340</v>
      </c>
      <c r="I72" s="208">
        <v>9.159792537E9</v>
      </c>
      <c r="J72" s="83"/>
      <c r="K72" s="43"/>
      <c r="L72" s="43"/>
      <c r="M72" s="43"/>
      <c r="N72" s="43">
        <f t="shared" si="3"/>
        <v>0</v>
      </c>
      <c r="O72" s="43"/>
      <c r="P72" s="43"/>
      <c r="Q72" s="43">
        <f t="shared" si="4"/>
        <v>0</v>
      </c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376" t="s">
        <v>2469</v>
      </c>
      <c r="C73" s="376" t="s">
        <v>4493</v>
      </c>
      <c r="D73" s="376" t="s">
        <v>1741</v>
      </c>
      <c r="E73" s="133" t="s">
        <v>338</v>
      </c>
      <c r="F73" s="134">
        <v>31.0</v>
      </c>
      <c r="G73" s="134" t="s">
        <v>339</v>
      </c>
      <c r="H73" s="134" t="s">
        <v>839</v>
      </c>
      <c r="I73" s="208">
        <v>9.15844382E8</v>
      </c>
      <c r="J73" s="87">
        <v>28.0</v>
      </c>
      <c r="K73" s="55">
        <v>22.0</v>
      </c>
      <c r="L73" s="55">
        <v>0.0</v>
      </c>
      <c r="M73" s="55">
        <v>6.0</v>
      </c>
      <c r="N73" s="43">
        <f t="shared" si="3"/>
        <v>6</v>
      </c>
      <c r="O73" s="55">
        <v>4.0</v>
      </c>
      <c r="P73" s="55">
        <v>0.0</v>
      </c>
      <c r="Q73" s="43">
        <f t="shared" si="4"/>
        <v>10</v>
      </c>
      <c r="R73" s="43"/>
      <c r="S73" s="43"/>
      <c r="T73" s="43"/>
      <c r="U73" s="43"/>
      <c r="V73" s="43"/>
      <c r="W73" s="56" t="s">
        <v>46</v>
      </c>
      <c r="Z73" s="61"/>
      <c r="AA73" s="61"/>
      <c r="AB73" s="66"/>
      <c r="AC73" s="34"/>
      <c r="AD73" s="34"/>
    </row>
    <row r="74" ht="13.5" customHeight="1">
      <c r="A74" s="28">
        <v>68.0</v>
      </c>
      <c r="B74" s="376" t="s">
        <v>352</v>
      </c>
      <c r="C74" s="376" t="s">
        <v>4494</v>
      </c>
      <c r="D74" s="376" t="s">
        <v>4458</v>
      </c>
      <c r="E74" s="133" t="s">
        <v>338</v>
      </c>
      <c r="F74" s="134">
        <v>26.0</v>
      </c>
      <c r="G74" s="134" t="s">
        <v>339</v>
      </c>
      <c r="H74" s="134" t="s">
        <v>340</v>
      </c>
      <c r="I74" s="208">
        <v>9.97711837E9</v>
      </c>
      <c r="J74" s="83"/>
      <c r="K74" s="43"/>
      <c r="L74" s="43"/>
      <c r="M74" s="43"/>
      <c r="N74" s="43">
        <f t="shared" si="3"/>
        <v>0</v>
      </c>
      <c r="O74" s="43"/>
      <c r="P74" s="43"/>
      <c r="Q74" s="43">
        <f t="shared" si="4"/>
        <v>0</v>
      </c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376" t="s">
        <v>4495</v>
      </c>
      <c r="C75" s="376" t="s">
        <v>4496</v>
      </c>
      <c r="D75" s="376" t="s">
        <v>4425</v>
      </c>
      <c r="E75" s="133" t="s">
        <v>338</v>
      </c>
      <c r="F75" s="134">
        <v>42.0</v>
      </c>
      <c r="G75" s="134" t="s">
        <v>385</v>
      </c>
      <c r="H75" s="134" t="s">
        <v>340</v>
      </c>
      <c r="I75" s="134">
        <v>9.273039126E9</v>
      </c>
      <c r="J75" s="87">
        <v>27.0</v>
      </c>
      <c r="K75" s="55">
        <v>24.0</v>
      </c>
      <c r="L75" s="55">
        <v>0.0</v>
      </c>
      <c r="M75" s="55">
        <v>2.0</v>
      </c>
      <c r="N75" s="43">
        <f t="shared" si="3"/>
        <v>2</v>
      </c>
      <c r="O75" s="55">
        <v>5.0</v>
      </c>
      <c r="P75" s="55">
        <v>1.0</v>
      </c>
      <c r="Q75" s="43">
        <f t="shared" si="4"/>
        <v>8</v>
      </c>
      <c r="R75" s="43"/>
      <c r="S75" s="43"/>
      <c r="T75" s="43"/>
      <c r="U75" s="43"/>
      <c r="V75" s="43"/>
      <c r="W75" s="56" t="s">
        <v>46</v>
      </c>
      <c r="Z75" s="61"/>
      <c r="AA75" s="61"/>
      <c r="AB75" s="66"/>
      <c r="AC75" s="34"/>
      <c r="AD75" s="34"/>
    </row>
    <row r="76" ht="13.5" customHeight="1">
      <c r="A76" s="28">
        <v>70.0</v>
      </c>
      <c r="B76" s="376" t="s">
        <v>4497</v>
      </c>
      <c r="C76" s="376" t="s">
        <v>4498</v>
      </c>
      <c r="D76" s="376" t="s">
        <v>4499</v>
      </c>
      <c r="E76" s="133" t="s">
        <v>338</v>
      </c>
      <c r="F76" s="134">
        <v>37.0</v>
      </c>
      <c r="G76" s="134" t="s">
        <v>385</v>
      </c>
      <c r="H76" s="134" t="s">
        <v>368</v>
      </c>
      <c r="I76" s="134">
        <v>9.127622088E9</v>
      </c>
      <c r="J76" s="54">
        <v>31.0</v>
      </c>
      <c r="K76" s="55">
        <v>30.0</v>
      </c>
      <c r="L76" s="55">
        <v>0.0</v>
      </c>
      <c r="M76" s="55">
        <v>0.0</v>
      </c>
      <c r="N76" s="43">
        <f t="shared" si="3"/>
        <v>0</v>
      </c>
      <c r="O76" s="55">
        <v>1.0</v>
      </c>
      <c r="P76" s="55">
        <v>1.0</v>
      </c>
      <c r="Q76" s="43">
        <f t="shared" si="4"/>
        <v>2</v>
      </c>
      <c r="R76" s="43"/>
      <c r="S76" s="43"/>
      <c r="T76" s="43"/>
      <c r="U76" s="43"/>
      <c r="V76" s="43"/>
      <c r="W76" s="56" t="s">
        <v>46</v>
      </c>
      <c r="Z76" s="61"/>
      <c r="AA76" s="61"/>
      <c r="AB76" s="66"/>
      <c r="AC76" s="34"/>
      <c r="AD76" s="34"/>
    </row>
    <row r="77" ht="13.5" customHeight="1">
      <c r="A77" s="28">
        <v>71.0</v>
      </c>
      <c r="B77" s="376" t="s">
        <v>4500</v>
      </c>
      <c r="C77" s="376" t="s">
        <v>409</v>
      </c>
      <c r="D77" s="376" t="s">
        <v>4381</v>
      </c>
      <c r="E77" s="133" t="s">
        <v>338</v>
      </c>
      <c r="F77" s="134">
        <v>40.0</v>
      </c>
      <c r="G77" s="134" t="s">
        <v>339</v>
      </c>
      <c r="H77" s="134" t="s">
        <v>340</v>
      </c>
      <c r="I77" s="134">
        <v>9.9253927E9</v>
      </c>
      <c r="J77" s="54">
        <v>27.0</v>
      </c>
      <c r="K77" s="55">
        <v>27.0</v>
      </c>
      <c r="L77" s="55">
        <v>0.0</v>
      </c>
      <c r="M77" s="55">
        <v>0.0</v>
      </c>
      <c r="N77" s="43">
        <f t="shared" si="3"/>
        <v>0</v>
      </c>
      <c r="O77" s="55">
        <v>5.0</v>
      </c>
      <c r="P77" s="55">
        <v>0.0</v>
      </c>
      <c r="Q77" s="43">
        <f t="shared" si="4"/>
        <v>5</v>
      </c>
      <c r="R77" s="43"/>
      <c r="S77" s="43"/>
      <c r="T77" s="43"/>
      <c r="U77" s="43"/>
      <c r="V77" s="55" t="s">
        <v>4501</v>
      </c>
      <c r="W77" s="56" t="s">
        <v>46</v>
      </c>
      <c r="Z77" s="61"/>
      <c r="AA77" s="61"/>
      <c r="AB77" s="66"/>
      <c r="AC77" s="34"/>
      <c r="AD77" s="34"/>
    </row>
    <row r="78" ht="13.5" customHeight="1">
      <c r="A78" s="28">
        <v>72.0</v>
      </c>
      <c r="B78" s="376" t="s">
        <v>4502</v>
      </c>
      <c r="C78" s="376" t="s">
        <v>4503</v>
      </c>
      <c r="D78" s="376" t="s">
        <v>4373</v>
      </c>
      <c r="E78" s="133" t="s">
        <v>338</v>
      </c>
      <c r="F78" s="134">
        <v>31.0</v>
      </c>
      <c r="G78" s="134" t="s">
        <v>339</v>
      </c>
      <c r="H78" s="208" t="s">
        <v>469</v>
      </c>
      <c r="I78" s="398" t="s">
        <v>4504</v>
      </c>
      <c r="J78" s="54">
        <v>31.0</v>
      </c>
      <c r="K78" s="55">
        <v>26.0</v>
      </c>
      <c r="L78" s="55">
        <v>0.0</v>
      </c>
      <c r="M78" s="55">
        <v>0.0</v>
      </c>
      <c r="N78" s="43">
        <f t="shared" si="3"/>
        <v>0</v>
      </c>
      <c r="O78" s="55">
        <v>1.0</v>
      </c>
      <c r="P78" s="55">
        <v>5.0</v>
      </c>
      <c r="Q78" s="43">
        <f t="shared" si="4"/>
        <v>6</v>
      </c>
      <c r="R78" s="43"/>
      <c r="S78" s="43"/>
      <c r="T78" s="43"/>
      <c r="U78" s="43"/>
      <c r="V78" s="43"/>
      <c r="W78" s="56" t="s">
        <v>46</v>
      </c>
      <c r="Z78" s="61"/>
      <c r="AA78" s="61"/>
      <c r="AB78" s="66"/>
      <c r="AC78" s="34"/>
      <c r="AD78" s="34"/>
    </row>
    <row r="79" ht="13.5" customHeight="1">
      <c r="A79" s="28">
        <v>73.0</v>
      </c>
      <c r="B79" s="376" t="s">
        <v>1825</v>
      </c>
      <c r="C79" s="376" t="s">
        <v>4505</v>
      </c>
      <c r="D79" s="376" t="s">
        <v>4506</v>
      </c>
      <c r="E79" s="133" t="s">
        <v>338</v>
      </c>
      <c r="F79" s="208">
        <v>27.0</v>
      </c>
      <c r="G79" s="208" t="s">
        <v>339</v>
      </c>
      <c r="H79" s="208" t="s">
        <v>340</v>
      </c>
      <c r="I79" s="208">
        <v>9.688526563E9</v>
      </c>
      <c r="J79" s="54">
        <v>28.0</v>
      </c>
      <c r="K79" s="55">
        <v>25.0</v>
      </c>
      <c r="L79" s="55">
        <v>0.0</v>
      </c>
      <c r="M79" s="55">
        <v>2.0</v>
      </c>
      <c r="N79" s="43">
        <f t="shared" si="3"/>
        <v>2</v>
      </c>
      <c r="O79" s="55">
        <v>0.0</v>
      </c>
      <c r="P79" s="55">
        <v>1.0</v>
      </c>
      <c r="Q79" s="43">
        <f t="shared" si="4"/>
        <v>3</v>
      </c>
      <c r="R79" s="43"/>
      <c r="S79" s="43"/>
      <c r="T79" s="43"/>
      <c r="U79" s="43"/>
      <c r="V79" s="43"/>
      <c r="W79" s="56" t="s">
        <v>46</v>
      </c>
      <c r="Z79" s="61"/>
      <c r="AA79" s="61"/>
      <c r="AB79" s="66"/>
      <c r="AC79" s="34"/>
      <c r="AD79" s="34"/>
    </row>
    <row r="80" ht="13.5" customHeight="1">
      <c r="A80" s="28">
        <v>74.0</v>
      </c>
      <c r="B80" s="376" t="s">
        <v>2006</v>
      </c>
      <c r="C80" s="376" t="s">
        <v>4507</v>
      </c>
      <c r="D80" s="376" t="s">
        <v>4508</v>
      </c>
      <c r="E80" s="133" t="s">
        <v>338</v>
      </c>
      <c r="F80" s="134">
        <v>35.0</v>
      </c>
      <c r="G80" s="208" t="s">
        <v>339</v>
      </c>
      <c r="H80" s="208" t="s">
        <v>340</v>
      </c>
      <c r="I80" s="134">
        <v>9.169337145E9</v>
      </c>
      <c r="J80" s="54">
        <v>20.0</v>
      </c>
      <c r="K80" s="55">
        <v>17.0</v>
      </c>
      <c r="L80" s="55">
        <v>2.0</v>
      </c>
      <c r="M80" s="55">
        <v>0.0</v>
      </c>
      <c r="N80" s="43">
        <f t="shared" si="3"/>
        <v>2</v>
      </c>
      <c r="O80" s="55">
        <v>12.0</v>
      </c>
      <c r="P80" s="55">
        <v>1.0</v>
      </c>
      <c r="Q80" s="43">
        <f t="shared" si="4"/>
        <v>15</v>
      </c>
      <c r="R80" s="43"/>
      <c r="S80" s="55" t="s">
        <v>88</v>
      </c>
      <c r="T80" s="43"/>
      <c r="U80" s="43"/>
      <c r="V80" s="43"/>
      <c r="W80" s="56" t="s">
        <v>46</v>
      </c>
      <c r="Z80" s="61"/>
      <c r="AA80" s="61"/>
      <c r="AB80" s="66"/>
      <c r="AC80" s="34"/>
      <c r="AD80" s="34"/>
    </row>
    <row r="81" ht="13.5" customHeight="1">
      <c r="A81" s="28">
        <v>75.0</v>
      </c>
      <c r="B81" s="376" t="s">
        <v>4509</v>
      </c>
      <c r="C81" s="376" t="s">
        <v>4510</v>
      </c>
      <c r="D81" s="376" t="s">
        <v>4443</v>
      </c>
      <c r="E81" s="133" t="s">
        <v>338</v>
      </c>
      <c r="F81" s="208">
        <v>41.0</v>
      </c>
      <c r="G81" s="208" t="s">
        <v>339</v>
      </c>
      <c r="H81" s="208" t="s">
        <v>833</v>
      </c>
      <c r="I81" s="208">
        <v>9.684998012E9</v>
      </c>
      <c r="J81" s="54">
        <v>24.0</v>
      </c>
      <c r="K81" s="55">
        <v>18.0</v>
      </c>
      <c r="L81" s="55">
        <v>0.0</v>
      </c>
      <c r="M81" s="55">
        <v>1.0</v>
      </c>
      <c r="N81" s="43">
        <f t="shared" si="3"/>
        <v>1</v>
      </c>
      <c r="O81" s="55">
        <v>8.0</v>
      </c>
      <c r="P81" s="55">
        <v>5.0</v>
      </c>
      <c r="Q81" s="43">
        <f t="shared" si="4"/>
        <v>14</v>
      </c>
      <c r="R81" s="43"/>
      <c r="S81" s="55" t="s">
        <v>88</v>
      </c>
      <c r="T81" s="43"/>
      <c r="U81" s="43"/>
      <c r="V81" s="43"/>
      <c r="W81" s="56" t="s">
        <v>46</v>
      </c>
      <c r="Z81" s="61"/>
      <c r="AA81" s="61"/>
      <c r="AB81" s="66"/>
      <c r="AC81" s="34"/>
      <c r="AD81" s="34"/>
    </row>
    <row r="82" ht="13.5" customHeight="1">
      <c r="A82" s="28">
        <v>76.0</v>
      </c>
      <c r="B82" s="376" t="s">
        <v>4511</v>
      </c>
      <c r="C82" s="376" t="s">
        <v>2052</v>
      </c>
      <c r="D82" s="376" t="s">
        <v>4370</v>
      </c>
      <c r="E82" s="133" t="s">
        <v>338</v>
      </c>
      <c r="F82" s="134">
        <v>44.0</v>
      </c>
      <c r="G82" s="134" t="s">
        <v>339</v>
      </c>
      <c r="H82" s="134" t="s">
        <v>340</v>
      </c>
      <c r="I82" s="134">
        <v>9.356432917E9</v>
      </c>
      <c r="J82" s="54">
        <v>8.0</v>
      </c>
      <c r="K82" s="55">
        <v>8.0</v>
      </c>
      <c r="L82" s="55">
        <v>0.0</v>
      </c>
      <c r="M82" s="55">
        <v>0.0</v>
      </c>
      <c r="N82" s="43">
        <f t="shared" si="3"/>
        <v>0</v>
      </c>
      <c r="O82" s="55">
        <v>24.0</v>
      </c>
      <c r="P82" s="55">
        <v>0.0</v>
      </c>
      <c r="Q82" s="43">
        <f t="shared" si="4"/>
        <v>24</v>
      </c>
      <c r="R82" s="43"/>
      <c r="S82" s="55" t="s">
        <v>237</v>
      </c>
      <c r="T82" s="43"/>
      <c r="U82" s="43"/>
      <c r="V82" s="43"/>
      <c r="W82" s="56" t="s">
        <v>46</v>
      </c>
      <c r="Z82" s="61"/>
      <c r="AA82" s="61"/>
      <c r="AB82" s="66"/>
      <c r="AC82" s="34"/>
      <c r="AD82" s="34"/>
    </row>
    <row r="83" ht="13.5" customHeight="1">
      <c r="A83" s="28">
        <v>77.0</v>
      </c>
      <c r="B83" s="376" t="s">
        <v>4512</v>
      </c>
      <c r="C83" s="376" t="s">
        <v>4513</v>
      </c>
      <c r="D83" s="376" t="s">
        <v>4403</v>
      </c>
      <c r="E83" s="133" t="s">
        <v>338</v>
      </c>
      <c r="F83" s="134">
        <v>37.0</v>
      </c>
      <c r="G83" s="134" t="s">
        <v>385</v>
      </c>
      <c r="H83" s="134" t="s">
        <v>340</v>
      </c>
      <c r="I83" s="208">
        <v>9.165889208E9</v>
      </c>
      <c r="J83" s="42"/>
      <c r="K83" s="43"/>
      <c r="L83" s="43"/>
      <c r="M83" s="43"/>
      <c r="N83" s="43">
        <f t="shared" si="3"/>
        <v>0</v>
      </c>
      <c r="O83" s="43"/>
      <c r="P83" s="43"/>
      <c r="Q83" s="43">
        <f t="shared" si="4"/>
        <v>0</v>
      </c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376" t="s">
        <v>4514</v>
      </c>
      <c r="C84" s="376" t="s">
        <v>4515</v>
      </c>
      <c r="D84" s="376" t="s">
        <v>4390</v>
      </c>
      <c r="E84" s="133" t="s">
        <v>338</v>
      </c>
      <c r="F84" s="134">
        <v>27.0</v>
      </c>
      <c r="G84" s="134" t="s">
        <v>339</v>
      </c>
      <c r="H84" s="134" t="s">
        <v>340</v>
      </c>
      <c r="I84" s="208">
        <v>9.532148945E9</v>
      </c>
      <c r="J84" s="54">
        <v>32.0</v>
      </c>
      <c r="K84" s="55">
        <v>28.0</v>
      </c>
      <c r="L84" s="55">
        <v>0.0</v>
      </c>
      <c r="M84" s="55">
        <v>4.0</v>
      </c>
      <c r="N84" s="43">
        <f t="shared" si="3"/>
        <v>4</v>
      </c>
      <c r="O84" s="55">
        <v>0.0</v>
      </c>
      <c r="P84" s="55">
        <v>4.0</v>
      </c>
      <c r="Q84" s="43"/>
      <c r="R84" s="43"/>
      <c r="S84" s="43"/>
      <c r="T84" s="43"/>
      <c r="U84" s="43"/>
      <c r="V84" s="43"/>
      <c r="W84" s="56" t="s">
        <v>46</v>
      </c>
      <c r="Z84" s="61"/>
      <c r="AA84" s="61"/>
      <c r="AB84" s="66"/>
      <c r="AC84" s="34"/>
      <c r="AD84" s="34"/>
    </row>
    <row r="85" ht="13.5" customHeight="1">
      <c r="A85" s="28">
        <v>79.0</v>
      </c>
      <c r="B85" s="376" t="s">
        <v>2247</v>
      </c>
      <c r="C85" s="376" t="s">
        <v>984</v>
      </c>
      <c r="D85" s="376" t="s">
        <v>4462</v>
      </c>
      <c r="E85" s="133" t="s">
        <v>338</v>
      </c>
      <c r="F85" s="134">
        <v>44.0</v>
      </c>
      <c r="G85" s="134" t="s">
        <v>339</v>
      </c>
      <c r="H85" s="134" t="s">
        <v>349</v>
      </c>
      <c r="I85" s="208">
        <v>9.478889909E9</v>
      </c>
      <c r="J85" s="42"/>
      <c r="K85" s="43"/>
      <c r="L85" s="43"/>
      <c r="M85" s="43"/>
      <c r="N85" s="43">
        <f t="shared" si="3"/>
        <v>0</v>
      </c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376" t="s">
        <v>4516</v>
      </c>
      <c r="C86" s="376" t="s">
        <v>4517</v>
      </c>
      <c r="D86" s="376" t="s">
        <v>4462</v>
      </c>
      <c r="E86" s="133" t="s">
        <v>338</v>
      </c>
      <c r="F86" s="134">
        <v>31.0</v>
      </c>
      <c r="G86" s="134" t="s">
        <v>339</v>
      </c>
      <c r="H86" s="134" t="s">
        <v>833</v>
      </c>
      <c r="I86" s="134">
        <v>9.684997765E9</v>
      </c>
      <c r="J86" s="54">
        <v>23.0</v>
      </c>
      <c r="K86" s="55">
        <v>21.0</v>
      </c>
      <c r="L86" s="55">
        <v>0.0</v>
      </c>
      <c r="M86" s="55">
        <v>0.0</v>
      </c>
      <c r="N86" s="43">
        <f t="shared" si="3"/>
        <v>0</v>
      </c>
      <c r="O86" s="55">
        <v>9.0</v>
      </c>
      <c r="P86" s="55">
        <v>2.0</v>
      </c>
      <c r="Q86" s="55">
        <v>11.0</v>
      </c>
      <c r="R86" s="43"/>
      <c r="S86" s="55" t="s">
        <v>1910</v>
      </c>
      <c r="T86" s="43"/>
      <c r="U86" s="43"/>
      <c r="V86" s="43"/>
      <c r="W86" s="56" t="s">
        <v>46</v>
      </c>
      <c r="Z86" s="61"/>
      <c r="AA86" s="61"/>
      <c r="AB86" s="66"/>
      <c r="AC86" s="34"/>
      <c r="AD86" s="34"/>
    </row>
    <row r="87" ht="13.5" customHeight="1">
      <c r="A87" s="28">
        <v>81.0</v>
      </c>
      <c r="B87" s="376" t="s">
        <v>4518</v>
      </c>
      <c r="C87" s="376" t="s">
        <v>4519</v>
      </c>
      <c r="D87" s="376" t="s">
        <v>4520</v>
      </c>
      <c r="E87" s="133" t="s">
        <v>338</v>
      </c>
      <c r="F87" s="134">
        <v>44.0</v>
      </c>
      <c r="G87" s="134" t="s">
        <v>339</v>
      </c>
      <c r="H87" s="134" t="s">
        <v>340</v>
      </c>
      <c r="I87" s="208">
        <v>9.318601278E9</v>
      </c>
      <c r="J87" s="54">
        <v>17.0</v>
      </c>
      <c r="K87" s="55">
        <v>13.0</v>
      </c>
      <c r="L87" s="55">
        <v>0.0</v>
      </c>
      <c r="M87" s="55">
        <v>3.0</v>
      </c>
      <c r="N87" s="43">
        <f t="shared" si="3"/>
        <v>3</v>
      </c>
      <c r="O87" s="55">
        <v>15.0</v>
      </c>
      <c r="P87" s="55">
        <v>1.0</v>
      </c>
      <c r="Q87" s="55">
        <v>19.0</v>
      </c>
      <c r="R87" s="43"/>
      <c r="S87" s="55" t="s">
        <v>88</v>
      </c>
      <c r="T87" s="43"/>
      <c r="U87" s="43"/>
      <c r="V87" s="43"/>
      <c r="W87" s="56" t="s">
        <v>46</v>
      </c>
      <c r="Z87" s="61"/>
      <c r="AA87" s="61"/>
      <c r="AB87" s="66"/>
      <c r="AC87" s="34"/>
      <c r="AD87" s="34"/>
    </row>
    <row r="88" ht="13.5" customHeight="1">
      <c r="A88" s="28">
        <v>82.0</v>
      </c>
      <c r="B88" s="376" t="s">
        <v>4521</v>
      </c>
      <c r="C88" s="376" t="s">
        <v>4522</v>
      </c>
      <c r="D88" s="376" t="s">
        <v>4523</v>
      </c>
      <c r="E88" s="133" t="s">
        <v>338</v>
      </c>
      <c r="F88" s="134">
        <v>37.0</v>
      </c>
      <c r="G88" s="208" t="s">
        <v>385</v>
      </c>
      <c r="H88" s="208" t="s">
        <v>839</v>
      </c>
      <c r="I88" s="134">
        <v>9.77053633E9</v>
      </c>
      <c r="J88" s="54">
        <v>31.0</v>
      </c>
      <c r="K88" s="55">
        <v>29.0</v>
      </c>
      <c r="L88" s="55">
        <v>0.0</v>
      </c>
      <c r="M88" s="55">
        <v>0.0</v>
      </c>
      <c r="N88" s="43">
        <f t="shared" si="3"/>
        <v>0</v>
      </c>
      <c r="O88" s="55">
        <v>1.0</v>
      </c>
      <c r="P88" s="55">
        <v>0.0</v>
      </c>
      <c r="Q88" s="55">
        <v>1.0</v>
      </c>
      <c r="R88" s="43"/>
      <c r="S88" s="43"/>
      <c r="T88" s="43"/>
      <c r="U88" s="43"/>
      <c r="V88" s="43"/>
      <c r="W88" s="56" t="s">
        <v>46</v>
      </c>
      <c r="Z88" s="61"/>
      <c r="AA88" s="61"/>
      <c r="AB88" s="66"/>
      <c r="AC88" s="34"/>
      <c r="AD88" s="34"/>
    </row>
    <row r="89" ht="13.5" customHeight="1">
      <c r="A89" s="28">
        <v>83.0</v>
      </c>
      <c r="B89" s="376" t="s">
        <v>4524</v>
      </c>
      <c r="C89" s="376" t="s">
        <v>1519</v>
      </c>
      <c r="D89" s="376" t="s">
        <v>4373</v>
      </c>
      <c r="E89" s="133" t="s">
        <v>338</v>
      </c>
      <c r="F89" s="134">
        <v>43.0</v>
      </c>
      <c r="G89" s="134" t="s">
        <v>339</v>
      </c>
      <c r="H89" s="134" t="s">
        <v>833</v>
      </c>
      <c r="I89" s="208">
        <v>9.056346525E9</v>
      </c>
      <c r="J89" s="54">
        <v>22.0</v>
      </c>
      <c r="K89" s="55">
        <v>18.0</v>
      </c>
      <c r="L89" s="55">
        <v>0.0</v>
      </c>
      <c r="M89" s="55">
        <v>4.0</v>
      </c>
      <c r="N89" s="43">
        <f t="shared" si="3"/>
        <v>4</v>
      </c>
      <c r="O89" s="55">
        <v>10.0</v>
      </c>
      <c r="P89" s="55">
        <v>0.0</v>
      </c>
      <c r="Q89" s="55">
        <v>14.0</v>
      </c>
      <c r="R89" s="43"/>
      <c r="S89" s="43"/>
      <c r="T89" s="43"/>
      <c r="U89" s="43"/>
      <c r="V89" s="43"/>
      <c r="W89" s="56" t="s">
        <v>46</v>
      </c>
      <c r="Z89" s="61"/>
      <c r="AA89" s="61"/>
      <c r="AB89" s="66"/>
      <c r="AC89" s="34"/>
      <c r="AD89" s="34"/>
    </row>
    <row r="90" ht="13.5" customHeight="1">
      <c r="A90" s="28">
        <v>84.0</v>
      </c>
      <c r="B90" s="376" t="s">
        <v>4525</v>
      </c>
      <c r="C90" s="376" t="s">
        <v>2523</v>
      </c>
      <c r="D90" s="376" t="s">
        <v>4526</v>
      </c>
      <c r="E90" s="133" t="s">
        <v>338</v>
      </c>
      <c r="F90" s="134">
        <v>42.0</v>
      </c>
      <c r="G90" s="134" t="s">
        <v>385</v>
      </c>
      <c r="H90" s="134" t="s">
        <v>839</v>
      </c>
      <c r="I90" s="208">
        <v>9.279727345E9</v>
      </c>
      <c r="J90" s="54">
        <v>30.0</v>
      </c>
      <c r="K90" s="55">
        <v>26.0</v>
      </c>
      <c r="L90" s="55">
        <v>0.0</v>
      </c>
      <c r="M90" s="55">
        <v>1.0</v>
      </c>
      <c r="N90" s="43">
        <f t="shared" si="3"/>
        <v>1</v>
      </c>
      <c r="O90" s="55">
        <v>2.0</v>
      </c>
      <c r="P90" s="55">
        <v>3.0</v>
      </c>
      <c r="Q90" s="55">
        <v>7.0</v>
      </c>
      <c r="R90" s="43"/>
      <c r="S90" s="43"/>
      <c r="T90" s="43"/>
      <c r="U90" s="43"/>
      <c r="V90" s="43"/>
      <c r="W90" s="56" t="s">
        <v>46</v>
      </c>
      <c r="Z90" s="61"/>
      <c r="AA90" s="61"/>
      <c r="AB90" s="66"/>
      <c r="AC90" s="34"/>
      <c r="AD90" s="34"/>
    </row>
    <row r="91" ht="13.5" customHeight="1">
      <c r="A91" s="28">
        <v>85.0</v>
      </c>
      <c r="B91" s="376" t="s">
        <v>4527</v>
      </c>
      <c r="C91" s="376" t="s">
        <v>4528</v>
      </c>
      <c r="D91" s="376"/>
      <c r="E91" s="133" t="s">
        <v>338</v>
      </c>
      <c r="F91" s="134">
        <v>28.0</v>
      </c>
      <c r="G91" s="134" t="s">
        <v>339</v>
      </c>
      <c r="H91" s="134" t="s">
        <v>340</v>
      </c>
      <c r="I91" s="208">
        <v>9.858338741E9</v>
      </c>
      <c r="J91" s="54">
        <v>27.0</v>
      </c>
      <c r="K91" s="55">
        <v>25.0</v>
      </c>
      <c r="L91" s="55">
        <v>0.0</v>
      </c>
      <c r="M91" s="55">
        <v>1.0</v>
      </c>
      <c r="N91" s="43">
        <f t="shared" si="3"/>
        <v>1</v>
      </c>
      <c r="O91" s="55">
        <v>5.0</v>
      </c>
      <c r="P91" s="55">
        <v>0.0</v>
      </c>
      <c r="Q91" s="55">
        <v>6.0</v>
      </c>
      <c r="R91" s="43"/>
      <c r="S91" s="43"/>
      <c r="T91" s="43"/>
      <c r="U91" s="43"/>
      <c r="V91" s="43"/>
      <c r="W91" s="56" t="s">
        <v>46</v>
      </c>
      <c r="Z91" s="61"/>
      <c r="AA91" s="61"/>
      <c r="AB91" s="66"/>
      <c r="AC91" s="34"/>
      <c r="AD91" s="34"/>
    </row>
    <row r="92" ht="13.5" customHeight="1">
      <c r="A92" s="28">
        <v>86.0</v>
      </c>
      <c r="B92" s="376" t="s">
        <v>3557</v>
      </c>
      <c r="C92" s="376" t="s">
        <v>4529</v>
      </c>
      <c r="D92" s="376" t="s">
        <v>4381</v>
      </c>
      <c r="E92" s="133" t="s">
        <v>338</v>
      </c>
      <c r="F92" s="208">
        <v>28.0</v>
      </c>
      <c r="G92" s="208" t="s">
        <v>339</v>
      </c>
      <c r="H92" s="208" t="s">
        <v>340</v>
      </c>
      <c r="I92" s="208">
        <v>9.296863352E9</v>
      </c>
      <c r="J92" s="54">
        <v>32.0</v>
      </c>
      <c r="K92" s="55">
        <v>28.0</v>
      </c>
      <c r="L92" s="55">
        <v>0.0</v>
      </c>
      <c r="M92" s="55">
        <v>4.0</v>
      </c>
      <c r="N92" s="43">
        <f t="shared" si="3"/>
        <v>4</v>
      </c>
      <c r="O92" s="55">
        <v>0.0</v>
      </c>
      <c r="P92" s="55">
        <v>0.0</v>
      </c>
      <c r="Q92" s="55">
        <v>4.0</v>
      </c>
      <c r="R92" s="43"/>
      <c r="S92" s="43"/>
      <c r="T92" s="43"/>
      <c r="U92" s="43"/>
      <c r="V92" s="43"/>
      <c r="W92" s="56" t="s">
        <v>46</v>
      </c>
      <c r="Z92" s="61"/>
      <c r="AA92" s="61"/>
      <c r="AB92" s="66"/>
      <c r="AC92" s="34"/>
      <c r="AD92" s="34"/>
    </row>
    <row r="93" ht="13.5" customHeight="1">
      <c r="A93" s="28">
        <v>87.0</v>
      </c>
      <c r="B93" s="376" t="s">
        <v>932</v>
      </c>
      <c r="C93" s="376" t="s">
        <v>4530</v>
      </c>
      <c r="D93" s="376" t="s">
        <v>1070</v>
      </c>
      <c r="E93" s="133" t="s">
        <v>338</v>
      </c>
      <c r="F93" s="134">
        <v>30.0</v>
      </c>
      <c r="G93" s="134" t="s">
        <v>339</v>
      </c>
      <c r="H93" s="134" t="s">
        <v>839</v>
      </c>
      <c r="I93" s="208">
        <v>9.268886098E9</v>
      </c>
      <c r="J93" s="54">
        <v>27.0</v>
      </c>
      <c r="K93" s="55">
        <v>20.0</v>
      </c>
      <c r="L93" s="55">
        <v>1.0</v>
      </c>
      <c r="M93" s="55">
        <v>3.0</v>
      </c>
      <c r="N93" s="43">
        <f t="shared" si="3"/>
        <v>4</v>
      </c>
      <c r="O93" s="55">
        <v>4.0</v>
      </c>
      <c r="P93" s="55">
        <v>3.0</v>
      </c>
      <c r="Q93" s="55">
        <v>11.0</v>
      </c>
      <c r="R93" s="43"/>
      <c r="S93" s="43"/>
      <c r="T93" s="55" t="s">
        <v>101</v>
      </c>
      <c r="U93" s="43"/>
      <c r="V93" s="55" t="s">
        <v>3798</v>
      </c>
      <c r="W93" s="56" t="s">
        <v>46</v>
      </c>
      <c r="Z93" s="61"/>
      <c r="AA93" s="61"/>
      <c r="AB93" s="66"/>
      <c r="AC93" s="34"/>
      <c r="AD93" s="34"/>
    </row>
    <row r="94" ht="13.5" customHeight="1">
      <c r="A94" s="28">
        <v>88.0</v>
      </c>
      <c r="B94" s="376" t="s">
        <v>4531</v>
      </c>
      <c r="C94" s="376" t="s">
        <v>1695</v>
      </c>
      <c r="D94" s="376" t="s">
        <v>4532</v>
      </c>
      <c r="E94" s="133" t="s">
        <v>338</v>
      </c>
      <c r="F94" s="134">
        <v>28.0</v>
      </c>
      <c r="G94" s="134" t="s">
        <v>339</v>
      </c>
      <c r="H94" s="134" t="s">
        <v>839</v>
      </c>
      <c r="I94" s="208">
        <v>9.604070129E9</v>
      </c>
      <c r="J94" s="54">
        <v>30.0</v>
      </c>
      <c r="K94" s="55">
        <v>30.0</v>
      </c>
      <c r="L94" s="55">
        <v>0.0</v>
      </c>
      <c r="M94" s="55">
        <v>0.0</v>
      </c>
      <c r="N94" s="43">
        <f t="shared" si="3"/>
        <v>0</v>
      </c>
      <c r="O94" s="55">
        <v>2.0</v>
      </c>
      <c r="P94" s="55">
        <v>0.0</v>
      </c>
      <c r="Q94" s="55">
        <v>2.0</v>
      </c>
      <c r="R94" s="43"/>
      <c r="S94" s="43"/>
      <c r="T94" s="43"/>
      <c r="U94" s="43"/>
      <c r="V94" s="43"/>
      <c r="W94" s="56" t="s">
        <v>46</v>
      </c>
      <c r="Z94" s="61"/>
      <c r="AA94" s="61"/>
      <c r="AB94" s="66"/>
      <c r="AC94" s="34"/>
      <c r="AD94" s="34"/>
    </row>
    <row r="95" ht="13.5" customHeight="1">
      <c r="A95" s="28">
        <v>89.0</v>
      </c>
      <c r="B95" s="376" t="s">
        <v>4533</v>
      </c>
      <c r="C95" s="376" t="s">
        <v>4534</v>
      </c>
      <c r="D95" s="376" t="s">
        <v>4373</v>
      </c>
      <c r="E95" s="133" t="s">
        <v>338</v>
      </c>
      <c r="F95" s="208">
        <v>34.0</v>
      </c>
      <c r="G95" s="208" t="s">
        <v>339</v>
      </c>
      <c r="H95" s="208" t="s">
        <v>340</v>
      </c>
      <c r="I95" s="208">
        <v>9.352241849E9</v>
      </c>
      <c r="J95" s="54">
        <v>28.0</v>
      </c>
      <c r="K95" s="55">
        <v>24.0</v>
      </c>
      <c r="L95" s="55">
        <v>0.0</v>
      </c>
      <c r="M95" s="55">
        <v>0.0</v>
      </c>
      <c r="N95" s="43">
        <f t="shared" si="3"/>
        <v>0</v>
      </c>
      <c r="O95" s="55">
        <v>4.0</v>
      </c>
      <c r="P95" s="55">
        <v>4.0</v>
      </c>
      <c r="Q95" s="55">
        <v>8.0</v>
      </c>
      <c r="R95" s="43"/>
      <c r="S95" s="55" t="s">
        <v>277</v>
      </c>
      <c r="T95" s="43"/>
      <c r="U95" s="43"/>
      <c r="V95" s="43"/>
      <c r="W95" s="56" t="s">
        <v>46</v>
      </c>
      <c r="Z95" s="61"/>
      <c r="AA95" s="61"/>
      <c r="AB95" s="66"/>
      <c r="AC95" s="34"/>
      <c r="AD95" s="34"/>
    </row>
    <row r="96" ht="13.5" customHeight="1">
      <c r="A96" s="28">
        <v>90.0</v>
      </c>
      <c r="B96" s="376" t="s">
        <v>2287</v>
      </c>
      <c r="C96" s="376" t="s">
        <v>2978</v>
      </c>
      <c r="D96" s="376" t="s">
        <v>4535</v>
      </c>
      <c r="E96" s="133" t="s">
        <v>338</v>
      </c>
      <c r="F96" s="134">
        <v>45.0</v>
      </c>
      <c r="G96" s="134" t="s">
        <v>339</v>
      </c>
      <c r="H96" s="134" t="s">
        <v>340</v>
      </c>
      <c r="I96" s="208">
        <v>9.058894794E9</v>
      </c>
      <c r="J96" s="54">
        <v>23.0</v>
      </c>
      <c r="K96" s="55">
        <v>14.0</v>
      </c>
      <c r="L96" s="55">
        <v>0.0</v>
      </c>
      <c r="M96" s="55">
        <v>1.0</v>
      </c>
      <c r="N96" s="43">
        <f t="shared" si="3"/>
        <v>1</v>
      </c>
      <c r="O96" s="55">
        <v>9.0</v>
      </c>
      <c r="P96" s="55">
        <v>8.0</v>
      </c>
      <c r="Q96" s="55">
        <v>18.0</v>
      </c>
      <c r="R96" s="43"/>
      <c r="S96" s="43"/>
      <c r="T96" s="55" t="s">
        <v>105</v>
      </c>
      <c r="U96" s="43"/>
      <c r="V96" s="55" t="s">
        <v>4536</v>
      </c>
      <c r="W96" s="56" t="s">
        <v>46</v>
      </c>
      <c r="Z96" s="61"/>
      <c r="AA96" s="61"/>
      <c r="AB96" s="66"/>
      <c r="AC96" s="34"/>
      <c r="AD96" s="34"/>
    </row>
    <row r="97" ht="13.5" customHeight="1">
      <c r="A97" s="28">
        <v>91.0</v>
      </c>
      <c r="B97" s="376" t="s">
        <v>2287</v>
      </c>
      <c r="C97" s="376" t="s">
        <v>4537</v>
      </c>
      <c r="D97" s="376" t="s">
        <v>4425</v>
      </c>
      <c r="E97" s="133" t="s">
        <v>338</v>
      </c>
      <c r="F97" s="134">
        <v>28.0</v>
      </c>
      <c r="G97" s="134" t="s">
        <v>385</v>
      </c>
      <c r="H97" s="134" t="s">
        <v>833</v>
      </c>
      <c r="I97" s="134">
        <v>9.537982448E9</v>
      </c>
      <c r="J97" s="54">
        <v>29.0</v>
      </c>
      <c r="K97" s="55">
        <v>28.0</v>
      </c>
      <c r="L97" s="55">
        <v>0.0</v>
      </c>
      <c r="M97" s="55">
        <v>0.0</v>
      </c>
      <c r="N97" s="43">
        <f t="shared" si="3"/>
        <v>0</v>
      </c>
      <c r="O97" s="55">
        <v>3.0</v>
      </c>
      <c r="P97" s="55">
        <v>1.0</v>
      </c>
      <c r="Q97" s="55">
        <v>4.0</v>
      </c>
      <c r="R97" s="43"/>
      <c r="S97" s="55" t="s">
        <v>277</v>
      </c>
      <c r="T97" s="43"/>
      <c r="U97" s="43"/>
      <c r="V97" s="43"/>
      <c r="W97" s="56" t="s">
        <v>46</v>
      </c>
      <c r="Z97" s="61"/>
      <c r="AA97" s="61"/>
      <c r="AB97" s="66"/>
      <c r="AC97" s="34"/>
      <c r="AD97" s="34"/>
    </row>
    <row r="98" ht="13.5" customHeight="1">
      <c r="A98" s="28">
        <v>92.0</v>
      </c>
      <c r="B98" s="376" t="s">
        <v>4538</v>
      </c>
      <c r="C98" s="376" t="s">
        <v>4539</v>
      </c>
      <c r="D98" s="376" t="s">
        <v>4425</v>
      </c>
      <c r="E98" s="133" t="s">
        <v>338</v>
      </c>
      <c r="F98" s="208">
        <v>31.0</v>
      </c>
      <c r="G98" s="208" t="s">
        <v>385</v>
      </c>
      <c r="H98" s="208" t="s">
        <v>340</v>
      </c>
      <c r="I98" s="208">
        <v>9.15944797E9</v>
      </c>
      <c r="J98" s="42"/>
      <c r="K98" s="43"/>
      <c r="L98" s="43"/>
      <c r="M98" s="43"/>
      <c r="N98" s="43">
        <f t="shared" si="3"/>
        <v>0</v>
      </c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376" t="s">
        <v>4540</v>
      </c>
      <c r="C99" s="376" t="s">
        <v>4541</v>
      </c>
      <c r="D99" s="376" t="s">
        <v>4542</v>
      </c>
      <c r="E99" s="133" t="s">
        <v>338</v>
      </c>
      <c r="F99" s="134">
        <v>29.0</v>
      </c>
      <c r="G99" s="134" t="s">
        <v>339</v>
      </c>
      <c r="H99" s="134" t="s">
        <v>340</v>
      </c>
      <c r="I99" s="134">
        <v>9.067414112E9</v>
      </c>
      <c r="J99" s="54">
        <v>27.0</v>
      </c>
      <c r="K99" s="55">
        <v>23.0</v>
      </c>
      <c r="L99" s="55">
        <v>0.0</v>
      </c>
      <c r="M99" s="55">
        <v>1.0</v>
      </c>
      <c r="N99" s="43">
        <f t="shared" si="3"/>
        <v>1</v>
      </c>
      <c r="O99" s="55">
        <v>3.0</v>
      </c>
      <c r="P99" s="55">
        <v>3.0</v>
      </c>
      <c r="Q99" s="55">
        <v>7.0</v>
      </c>
      <c r="R99" s="43"/>
      <c r="S99" s="43"/>
      <c r="T99" s="43"/>
      <c r="U99" s="43"/>
      <c r="V99" s="43"/>
      <c r="W99" s="56" t="s">
        <v>46</v>
      </c>
      <c r="Z99" s="61"/>
      <c r="AA99" s="61"/>
      <c r="AB99" s="66"/>
      <c r="AC99" s="34"/>
      <c r="AD99" s="34"/>
    </row>
    <row r="100" ht="13.5" customHeight="1">
      <c r="A100" s="28">
        <v>94.0</v>
      </c>
      <c r="B100" s="376" t="s">
        <v>4543</v>
      </c>
      <c r="C100" s="376" t="s">
        <v>4544</v>
      </c>
      <c r="D100" s="376" t="s">
        <v>4370</v>
      </c>
      <c r="E100" s="133" t="s">
        <v>338</v>
      </c>
      <c r="F100" s="134">
        <v>29.0</v>
      </c>
      <c r="G100" s="134" t="s">
        <v>339</v>
      </c>
      <c r="H100" s="134" t="s">
        <v>340</v>
      </c>
      <c r="I100" s="208">
        <v>9.754449517E9</v>
      </c>
      <c r="J100" s="42"/>
      <c r="K100" s="43"/>
      <c r="L100" s="43"/>
      <c r="M100" s="43"/>
      <c r="N100" s="43">
        <f t="shared" si="3"/>
        <v>0</v>
      </c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376" t="s">
        <v>4545</v>
      </c>
      <c r="C101" s="376" t="s">
        <v>4546</v>
      </c>
      <c r="D101" s="376" t="s">
        <v>4542</v>
      </c>
      <c r="E101" s="133" t="s">
        <v>338</v>
      </c>
      <c r="F101" s="134">
        <v>29.0</v>
      </c>
      <c r="G101" s="134" t="s">
        <v>339</v>
      </c>
      <c r="H101" s="134" t="s">
        <v>833</v>
      </c>
      <c r="I101" s="208">
        <v>9.666452219E9</v>
      </c>
      <c r="J101" s="54">
        <v>31.0</v>
      </c>
      <c r="K101" s="55">
        <v>27.0</v>
      </c>
      <c r="L101" s="55">
        <v>0.0</v>
      </c>
      <c r="M101" s="55">
        <v>4.0</v>
      </c>
      <c r="N101" s="43">
        <f t="shared" si="3"/>
        <v>4</v>
      </c>
      <c r="O101" s="55">
        <v>1.0</v>
      </c>
      <c r="P101" s="55">
        <v>0.0</v>
      </c>
      <c r="Q101" s="43"/>
      <c r="R101" s="43"/>
      <c r="S101" s="43"/>
      <c r="T101" s="43"/>
      <c r="U101" s="43"/>
      <c r="V101" s="43"/>
      <c r="W101" s="56" t="s">
        <v>46</v>
      </c>
      <c r="Z101" s="61"/>
      <c r="AA101" s="61"/>
      <c r="AB101" s="66"/>
      <c r="AC101" s="34"/>
      <c r="AD101" s="34"/>
    </row>
    <row r="102" ht="13.5" customHeight="1">
      <c r="A102" s="28">
        <v>96.0</v>
      </c>
      <c r="B102" s="376" t="s">
        <v>4547</v>
      </c>
      <c r="C102" s="376" t="s">
        <v>4548</v>
      </c>
      <c r="D102" s="376" t="s">
        <v>4403</v>
      </c>
      <c r="E102" s="133" t="s">
        <v>338</v>
      </c>
      <c r="F102" s="134">
        <v>27.0</v>
      </c>
      <c r="G102" s="134" t="s">
        <v>339</v>
      </c>
      <c r="H102" s="134" t="s">
        <v>340</v>
      </c>
      <c r="I102" s="134">
        <v>9.686087148E9</v>
      </c>
      <c r="J102" s="54">
        <v>32.0</v>
      </c>
      <c r="K102" s="55">
        <v>30.0</v>
      </c>
      <c r="L102" s="55">
        <v>0.0</v>
      </c>
      <c r="M102" s="55">
        <v>2.0</v>
      </c>
      <c r="N102" s="43">
        <f t="shared" si="3"/>
        <v>2</v>
      </c>
      <c r="O102" s="55">
        <v>0.0</v>
      </c>
      <c r="P102" s="55">
        <v>0.0</v>
      </c>
      <c r="Q102" s="55">
        <v>2.0</v>
      </c>
      <c r="R102" s="43"/>
      <c r="S102" s="43"/>
      <c r="T102" s="43"/>
      <c r="U102" s="43"/>
      <c r="V102" s="43"/>
      <c r="W102" s="56" t="s">
        <v>46</v>
      </c>
      <c r="Z102" s="61"/>
      <c r="AA102" s="61"/>
      <c r="AB102" s="66"/>
      <c r="AC102" s="34"/>
      <c r="AD102" s="34"/>
    </row>
    <row r="103" ht="13.5" customHeight="1">
      <c r="A103" s="28">
        <v>97.0</v>
      </c>
      <c r="B103" s="376" t="s">
        <v>4549</v>
      </c>
      <c r="C103" s="376" t="s">
        <v>3703</v>
      </c>
      <c r="D103" s="376" t="s">
        <v>4390</v>
      </c>
      <c r="E103" s="133" t="s">
        <v>338</v>
      </c>
      <c r="F103" s="134">
        <v>54.0</v>
      </c>
      <c r="G103" s="134" t="s">
        <v>385</v>
      </c>
      <c r="H103" s="134" t="s">
        <v>340</v>
      </c>
      <c r="I103" s="134">
        <v>9.953440842E9</v>
      </c>
      <c r="J103" s="54">
        <v>3.0</v>
      </c>
      <c r="K103" s="55">
        <v>3.0</v>
      </c>
      <c r="L103" s="55">
        <v>0.0</v>
      </c>
      <c r="M103" s="55">
        <v>0.0</v>
      </c>
      <c r="N103" s="43">
        <f t="shared" si="3"/>
        <v>0</v>
      </c>
      <c r="O103" s="55">
        <v>29.0</v>
      </c>
      <c r="P103" s="55">
        <v>0.0</v>
      </c>
      <c r="Q103" s="55">
        <v>29.0</v>
      </c>
      <c r="R103" s="43"/>
      <c r="S103" s="55" t="s">
        <v>1942</v>
      </c>
      <c r="T103" s="43"/>
      <c r="U103" s="43"/>
      <c r="V103" s="43"/>
      <c r="W103" s="56" t="s">
        <v>46</v>
      </c>
      <c r="Z103" s="61"/>
      <c r="AA103" s="61"/>
      <c r="AB103" s="66"/>
      <c r="AC103" s="34"/>
      <c r="AD103" s="34"/>
    </row>
    <row r="104" ht="13.5" customHeight="1">
      <c r="A104" s="28">
        <v>98.0</v>
      </c>
      <c r="B104" s="376" t="s">
        <v>1556</v>
      </c>
      <c r="C104" s="376" t="s">
        <v>474</v>
      </c>
      <c r="D104" s="376" t="s">
        <v>4086</v>
      </c>
      <c r="E104" s="133" t="s">
        <v>338</v>
      </c>
      <c r="F104" s="134">
        <v>28.0</v>
      </c>
      <c r="G104" s="134" t="s">
        <v>339</v>
      </c>
      <c r="H104" s="134" t="s">
        <v>340</v>
      </c>
      <c r="I104" s="208">
        <v>9.094129998E9</v>
      </c>
      <c r="J104" s="54">
        <v>28.0</v>
      </c>
      <c r="K104" s="55">
        <v>25.0</v>
      </c>
      <c r="L104" s="55">
        <v>0.0</v>
      </c>
      <c r="M104" s="55">
        <v>3.0</v>
      </c>
      <c r="N104" s="43">
        <f t="shared" si="3"/>
        <v>3</v>
      </c>
      <c r="O104" s="55">
        <v>4.0</v>
      </c>
      <c r="P104" s="55">
        <v>0.0</v>
      </c>
      <c r="Q104" s="55">
        <v>7.0</v>
      </c>
      <c r="R104" s="43"/>
      <c r="S104" s="43"/>
      <c r="T104" s="43"/>
      <c r="U104" s="43"/>
      <c r="V104" s="43"/>
      <c r="W104" s="56" t="s">
        <v>46</v>
      </c>
      <c r="Z104" s="61"/>
      <c r="AA104" s="61"/>
      <c r="AB104" s="66"/>
      <c r="AC104" s="34"/>
      <c r="AD104" s="34"/>
    </row>
    <row r="105" ht="13.5" customHeight="1">
      <c r="A105" s="28">
        <v>99.0</v>
      </c>
      <c r="B105" s="376" t="s">
        <v>4550</v>
      </c>
      <c r="C105" s="376" t="s">
        <v>4551</v>
      </c>
      <c r="D105" s="376" t="s">
        <v>4381</v>
      </c>
      <c r="E105" s="133" t="s">
        <v>338</v>
      </c>
      <c r="F105" s="134">
        <v>47.0</v>
      </c>
      <c r="G105" s="134" t="s">
        <v>339</v>
      </c>
      <c r="H105" s="134" t="s">
        <v>340</v>
      </c>
      <c r="I105" s="134">
        <v>9.605311081E9</v>
      </c>
      <c r="J105" s="54">
        <v>29.0</v>
      </c>
      <c r="K105" s="55">
        <v>26.0</v>
      </c>
      <c r="L105" s="55">
        <v>0.0</v>
      </c>
      <c r="M105" s="55">
        <v>0.0</v>
      </c>
      <c r="N105" s="43">
        <f t="shared" si="3"/>
        <v>0</v>
      </c>
      <c r="O105" s="55">
        <v>3.0</v>
      </c>
      <c r="P105" s="55">
        <v>2.0</v>
      </c>
      <c r="Q105" s="55">
        <v>5.0</v>
      </c>
      <c r="R105" s="43"/>
      <c r="S105" s="43"/>
      <c r="T105" s="43"/>
      <c r="U105" s="43"/>
      <c r="V105" s="43"/>
      <c r="W105" s="56" t="s">
        <v>46</v>
      </c>
      <c r="Z105" s="61"/>
      <c r="AA105" s="61"/>
      <c r="AB105" s="66"/>
      <c r="AC105" s="34"/>
      <c r="AD105" s="34"/>
    </row>
    <row r="106" ht="13.5" customHeight="1">
      <c r="A106" s="28">
        <v>100.0</v>
      </c>
      <c r="B106" s="376" t="s">
        <v>4552</v>
      </c>
      <c r="C106" s="376" t="s">
        <v>4553</v>
      </c>
      <c r="D106" s="376"/>
      <c r="E106" s="133" t="s">
        <v>338</v>
      </c>
      <c r="F106" s="134">
        <v>26.0</v>
      </c>
      <c r="G106" s="134" t="s">
        <v>339</v>
      </c>
      <c r="H106" s="134" t="s">
        <v>340</v>
      </c>
      <c r="I106" s="208">
        <v>9.388163652E9</v>
      </c>
      <c r="J106" s="42"/>
      <c r="K106" s="43"/>
      <c r="L106" s="43"/>
      <c r="M106" s="43"/>
      <c r="N106" s="43">
        <f t="shared" si="3"/>
        <v>0</v>
      </c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376" t="s">
        <v>945</v>
      </c>
      <c r="C107" s="376" t="s">
        <v>2862</v>
      </c>
      <c r="D107" s="376" t="s">
        <v>4554</v>
      </c>
      <c r="E107" s="133" t="s">
        <v>338</v>
      </c>
      <c r="F107" s="134">
        <v>42.0</v>
      </c>
      <c r="G107" s="134" t="s">
        <v>339</v>
      </c>
      <c r="H107" s="134" t="s">
        <v>839</v>
      </c>
      <c r="I107" s="208">
        <v>9.105011442E9</v>
      </c>
      <c r="J107" s="54">
        <v>29.0</v>
      </c>
      <c r="K107" s="55">
        <v>26.0</v>
      </c>
      <c r="L107" s="55">
        <v>0.0</v>
      </c>
      <c r="M107" s="55">
        <v>0.0</v>
      </c>
      <c r="N107" s="43">
        <f t="shared" si="3"/>
        <v>0</v>
      </c>
      <c r="O107" s="55">
        <v>3.0</v>
      </c>
      <c r="P107" s="55">
        <v>3.0</v>
      </c>
      <c r="Q107" s="55">
        <v>6.0</v>
      </c>
      <c r="R107" s="43"/>
      <c r="S107" s="55" t="s">
        <v>277</v>
      </c>
      <c r="T107" s="43"/>
      <c r="U107" s="43"/>
      <c r="V107" s="43"/>
      <c r="W107" s="56" t="s">
        <v>46</v>
      </c>
      <c r="Z107" s="61"/>
      <c r="AA107" s="61"/>
      <c r="AB107" s="66"/>
      <c r="AC107" s="34"/>
      <c r="AD107" s="34"/>
    </row>
    <row r="108" ht="13.5" customHeight="1">
      <c r="A108" s="28">
        <v>102.0</v>
      </c>
      <c r="B108" s="376" t="s">
        <v>4555</v>
      </c>
      <c r="C108" s="376" t="s">
        <v>4556</v>
      </c>
      <c r="D108" s="376" t="s">
        <v>4385</v>
      </c>
      <c r="E108" s="133" t="s">
        <v>338</v>
      </c>
      <c r="F108" s="134">
        <v>26.0</v>
      </c>
      <c r="G108" s="134" t="s">
        <v>339</v>
      </c>
      <c r="H108" s="134" t="s">
        <v>340</v>
      </c>
      <c r="I108" s="208">
        <v>9.568120266E9</v>
      </c>
      <c r="J108" s="42"/>
      <c r="K108" s="43"/>
      <c r="L108" s="43"/>
      <c r="M108" s="43"/>
      <c r="N108" s="43">
        <f t="shared" si="3"/>
        <v>0</v>
      </c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376" t="s">
        <v>4557</v>
      </c>
      <c r="C109" s="376" t="s">
        <v>4558</v>
      </c>
      <c r="D109" s="376" t="s">
        <v>4559</v>
      </c>
      <c r="E109" s="133" t="s">
        <v>338</v>
      </c>
      <c r="F109" s="208">
        <v>28.0</v>
      </c>
      <c r="G109" s="208" t="s">
        <v>339</v>
      </c>
      <c r="H109" s="208" t="s">
        <v>340</v>
      </c>
      <c r="I109" s="208">
        <v>9.501135696E9</v>
      </c>
      <c r="J109" s="42"/>
      <c r="K109" s="43"/>
      <c r="L109" s="43"/>
      <c r="M109" s="43"/>
      <c r="N109" s="43">
        <f t="shared" si="3"/>
        <v>0</v>
      </c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376" t="s">
        <v>2310</v>
      </c>
      <c r="C110" s="376" t="s">
        <v>4560</v>
      </c>
      <c r="D110" s="376" t="s">
        <v>4458</v>
      </c>
      <c r="E110" s="133" t="s">
        <v>338</v>
      </c>
      <c r="F110" s="134">
        <v>46.0</v>
      </c>
      <c r="G110" s="208" t="s">
        <v>339</v>
      </c>
      <c r="H110" s="134" t="s">
        <v>349</v>
      </c>
      <c r="I110" s="134">
        <v>9.212245032E9</v>
      </c>
      <c r="J110" s="54">
        <v>18.0</v>
      </c>
      <c r="K110" s="55">
        <v>12.0</v>
      </c>
      <c r="L110" s="55">
        <v>1.0</v>
      </c>
      <c r="M110" s="55">
        <v>4.0</v>
      </c>
      <c r="N110" s="43">
        <f t="shared" si="3"/>
        <v>5</v>
      </c>
      <c r="O110" s="55">
        <v>14.0</v>
      </c>
      <c r="P110" s="55">
        <v>1.0</v>
      </c>
      <c r="Q110" s="55">
        <v>20.0</v>
      </c>
      <c r="R110" s="43"/>
      <c r="S110" s="43"/>
      <c r="T110" s="43"/>
      <c r="U110" s="43"/>
      <c r="V110" s="43"/>
      <c r="W110" s="56" t="s">
        <v>46</v>
      </c>
      <c r="Z110" s="61"/>
      <c r="AA110" s="61"/>
      <c r="AB110" s="66"/>
      <c r="AC110" s="34"/>
      <c r="AD110" s="34"/>
    </row>
    <row r="111" ht="13.5" customHeight="1">
      <c r="A111" s="28">
        <v>105.0</v>
      </c>
      <c r="B111" s="376" t="s">
        <v>4561</v>
      </c>
      <c r="C111" s="376" t="s">
        <v>4562</v>
      </c>
      <c r="D111" s="376" t="s">
        <v>4387</v>
      </c>
      <c r="E111" s="133" t="s">
        <v>338</v>
      </c>
      <c r="F111" s="208">
        <v>35.0</v>
      </c>
      <c r="G111" s="208" t="s">
        <v>385</v>
      </c>
      <c r="H111" s="208" t="s">
        <v>340</v>
      </c>
      <c r="I111" s="208">
        <v>9.19716631E9</v>
      </c>
      <c r="J111" s="42"/>
      <c r="K111" s="43"/>
      <c r="L111" s="43"/>
      <c r="M111" s="43"/>
      <c r="N111" s="43">
        <f t="shared" si="3"/>
        <v>0</v>
      </c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376" t="s">
        <v>842</v>
      </c>
      <c r="C112" s="376" t="s">
        <v>4563</v>
      </c>
      <c r="D112" s="376" t="s">
        <v>4564</v>
      </c>
      <c r="E112" s="133" t="s">
        <v>338</v>
      </c>
      <c r="F112" s="134">
        <v>26.0</v>
      </c>
      <c r="G112" s="134" t="s">
        <v>339</v>
      </c>
      <c r="H112" s="134" t="s">
        <v>340</v>
      </c>
      <c r="I112" s="208">
        <v>9.751169165E9</v>
      </c>
      <c r="J112" s="42"/>
      <c r="K112" s="43"/>
      <c r="L112" s="43"/>
      <c r="M112" s="43"/>
      <c r="N112" s="43">
        <f t="shared" si="3"/>
        <v>0</v>
      </c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376" t="s">
        <v>2346</v>
      </c>
      <c r="C113" s="376" t="s">
        <v>4565</v>
      </c>
      <c r="D113" s="376" t="s">
        <v>4390</v>
      </c>
      <c r="E113" s="133" t="s">
        <v>338</v>
      </c>
      <c r="F113" s="208">
        <v>26.0</v>
      </c>
      <c r="G113" s="208" t="s">
        <v>339</v>
      </c>
      <c r="H113" s="208" t="s">
        <v>340</v>
      </c>
      <c r="I113" s="208">
        <v>9.463086245E9</v>
      </c>
      <c r="J113" s="42"/>
      <c r="K113" s="43"/>
      <c r="L113" s="43"/>
      <c r="M113" s="43"/>
      <c r="N113" s="43">
        <f t="shared" si="3"/>
        <v>0</v>
      </c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376" t="s">
        <v>4566</v>
      </c>
      <c r="C114" s="376" t="s">
        <v>2193</v>
      </c>
      <c r="D114" s="376" t="s">
        <v>4462</v>
      </c>
      <c r="E114" s="133" t="s">
        <v>338</v>
      </c>
      <c r="F114" s="208">
        <v>48.0</v>
      </c>
      <c r="G114" s="208" t="s">
        <v>339</v>
      </c>
      <c r="H114" s="208" t="s">
        <v>833</v>
      </c>
      <c r="I114" s="208">
        <v>9.978962876E9</v>
      </c>
      <c r="J114" s="54">
        <v>15.0</v>
      </c>
      <c r="K114" s="55">
        <v>12.0</v>
      </c>
      <c r="L114" s="55">
        <v>0.0</v>
      </c>
      <c r="M114" s="55">
        <v>3.0</v>
      </c>
      <c r="N114" s="43">
        <f t="shared" si="3"/>
        <v>3</v>
      </c>
      <c r="O114" s="55">
        <v>17.0</v>
      </c>
      <c r="P114" s="55">
        <v>0.0</v>
      </c>
      <c r="Q114" s="55">
        <v>20.0</v>
      </c>
      <c r="R114" s="43"/>
      <c r="S114" s="55" t="s">
        <v>88</v>
      </c>
      <c r="T114" s="43"/>
      <c r="U114" s="43"/>
      <c r="V114" s="43"/>
      <c r="W114" s="56" t="s">
        <v>46</v>
      </c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>
        <f t="shared" si="3"/>
        <v>0</v>
      </c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>
        <f t="shared" si="3"/>
        <v>0</v>
      </c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>
        <f t="shared" si="3"/>
        <v>0</v>
      </c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>
        <f t="shared" si="3"/>
        <v>0</v>
      </c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>
        <f t="shared" si="3"/>
        <v>0</v>
      </c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>
        <f t="shared" si="3"/>
        <v>0</v>
      </c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>
        <f t="shared" si="3"/>
        <v>0</v>
      </c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>
        <f t="shared" si="3"/>
        <v>0</v>
      </c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>
        <f t="shared" si="3"/>
        <v>0</v>
      </c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>
        <f t="shared" si="3"/>
        <v>0</v>
      </c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>
        <f t="shared" si="3"/>
        <v>0</v>
      </c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>
        <f t="shared" si="3"/>
        <v>0</v>
      </c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>
        <f t="shared" si="3"/>
        <v>0</v>
      </c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>
        <f t="shared" si="3"/>
        <v>0</v>
      </c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>
        <f t="shared" si="3"/>
        <v>0</v>
      </c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>
        <f t="shared" si="3"/>
        <v>0</v>
      </c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>
        <f t="shared" si="3"/>
        <v>0</v>
      </c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>
        <f t="shared" si="3"/>
        <v>0</v>
      </c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>
        <f t="shared" si="3"/>
        <v>0</v>
      </c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>
        <f t="shared" si="3"/>
        <v>0</v>
      </c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>
        <f t="shared" si="3"/>
        <v>0</v>
      </c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>
        <f t="shared" si="3"/>
        <v>0</v>
      </c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>
        <f t="shared" si="3"/>
        <v>0</v>
      </c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>
        <f t="shared" si="3"/>
        <v>0</v>
      </c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>
        <f t="shared" si="3"/>
        <v>0</v>
      </c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>
        <f t="shared" si="3"/>
        <v>0</v>
      </c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>
        <f t="shared" si="3"/>
        <v>0</v>
      </c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>
        <f t="shared" si="3"/>
        <v>0</v>
      </c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>
        <f t="shared" si="3"/>
        <v>0</v>
      </c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>
        <f t="shared" si="3"/>
        <v>0</v>
      </c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>
        <f t="shared" si="3"/>
        <v>0</v>
      </c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>
        <f t="shared" si="3"/>
        <v>0</v>
      </c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>
        <f t="shared" si="3"/>
        <v>0</v>
      </c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>
        <f t="shared" si="3"/>
        <v>0</v>
      </c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>
        <f t="shared" si="3"/>
        <v>0</v>
      </c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>
        <f t="shared" si="3"/>
        <v>0</v>
      </c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>
        <f t="shared" si="3"/>
        <v>0</v>
      </c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>
        <f t="shared" si="3"/>
        <v>0</v>
      </c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>
        <f t="shared" si="3"/>
        <v>0</v>
      </c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>
        <f t="shared" si="3"/>
        <v>0</v>
      </c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5">SUM(J7:J156)</f>
        <v>1995</v>
      </c>
      <c r="K157" s="123">
        <f t="shared" si="5"/>
        <v>1675</v>
      </c>
      <c r="L157" s="123">
        <f t="shared" si="5"/>
        <v>21</v>
      </c>
      <c r="M157" s="123">
        <f t="shared" si="5"/>
        <v>124</v>
      </c>
      <c r="N157" s="123">
        <f t="shared" si="5"/>
        <v>145</v>
      </c>
      <c r="O157" s="123">
        <f t="shared" si="5"/>
        <v>429</v>
      </c>
      <c r="P157" s="123">
        <f t="shared" si="5"/>
        <v>178</v>
      </c>
      <c r="Q157" s="123">
        <f t="shared" si="5"/>
        <v>740</v>
      </c>
      <c r="R157" s="124"/>
      <c r="S157" s="124"/>
      <c r="T157" s="125"/>
      <c r="U157" s="145" t="s">
        <v>330</v>
      </c>
      <c r="V157" s="5"/>
      <c r="W157" s="126">
        <f>countif(W7:W156,"YES")</f>
        <v>77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 t="s">
        <v>331</v>
      </c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0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5.13"/>
    <col customWidth="1" min="3" max="3" width="19.13"/>
    <col customWidth="1" min="4" max="4" width="17.5"/>
    <col customWidth="1" min="5" max="5" width="15.63"/>
    <col customWidth="1" min="6" max="6" width="8.63"/>
    <col customWidth="1" min="7" max="7" width="10.88"/>
    <col customWidth="1" min="8" max="8" width="14.13"/>
    <col customWidth="1" min="9" max="9" width="19.25"/>
    <col customWidth="1" min="10" max="10" width="8.63"/>
    <col customWidth="1" min="11" max="11" width="10.88"/>
    <col customWidth="1" min="12" max="12" width="12.38"/>
    <col customWidth="1" min="13" max="13" width="12.5"/>
    <col customWidth="1" min="14" max="21" width="8.63"/>
    <col customWidth="1" min="22" max="22" width="15.38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228" t="s">
        <v>4567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6.5" customHeight="1">
      <c r="A3" s="6" t="s">
        <v>3</v>
      </c>
      <c r="B3" s="5"/>
      <c r="C3" s="228" t="s">
        <v>4568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228" t="s">
        <v>4569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99" t="s">
        <v>4270</v>
      </c>
      <c r="C7" s="37" t="s">
        <v>4570</v>
      </c>
      <c r="D7" s="37" t="s">
        <v>4110</v>
      </c>
      <c r="E7" s="133" t="s">
        <v>338</v>
      </c>
      <c r="F7" s="134">
        <v>42.0</v>
      </c>
      <c r="G7" s="134" t="s">
        <v>584</v>
      </c>
      <c r="H7" s="134" t="s">
        <v>4571</v>
      </c>
      <c r="I7" s="134" t="s">
        <v>4572</v>
      </c>
      <c r="J7" s="42"/>
      <c r="K7" s="43"/>
      <c r="L7" s="43"/>
      <c r="M7" s="43"/>
      <c r="N7" s="43">
        <f t="shared" ref="N7:N28" si="1">sum(L7,M7)</f>
        <v>0</v>
      </c>
      <c r="O7" s="43"/>
      <c r="P7" s="43"/>
      <c r="Q7" s="43">
        <f t="shared" ref="Q7:Q28" si="2">sum(N7,O7,P7)</f>
        <v>0</v>
      </c>
      <c r="R7" s="43"/>
      <c r="S7" s="43"/>
      <c r="T7" s="43"/>
      <c r="U7" s="43"/>
      <c r="V7" s="43"/>
      <c r="W7" s="44"/>
      <c r="Z7" s="34"/>
      <c r="AA7" s="45" t="s">
        <v>36</v>
      </c>
      <c r="AB7" s="18"/>
      <c r="AC7" s="5"/>
      <c r="AD7" s="46">
        <f>COUNTIF(G7:G157, "Male")</f>
        <v>7</v>
      </c>
    </row>
    <row r="8" ht="13.5" customHeight="1">
      <c r="A8" s="28">
        <v>2.0</v>
      </c>
      <c r="B8" s="37" t="s">
        <v>4573</v>
      </c>
      <c r="C8" s="400" t="s">
        <v>4574</v>
      </c>
      <c r="D8" s="37" t="s">
        <v>4575</v>
      </c>
      <c r="E8" s="133" t="s">
        <v>338</v>
      </c>
      <c r="F8" s="134">
        <v>48.0</v>
      </c>
      <c r="G8" s="134" t="s">
        <v>476</v>
      </c>
      <c r="H8" s="134" t="s">
        <v>2658</v>
      </c>
      <c r="I8" s="134" t="s">
        <v>4576</v>
      </c>
      <c r="J8" s="54">
        <v>28.0</v>
      </c>
      <c r="K8" s="55">
        <v>26.0</v>
      </c>
      <c r="L8" s="55">
        <v>0.0</v>
      </c>
      <c r="M8" s="55">
        <v>0.0</v>
      </c>
      <c r="N8" s="43">
        <f t="shared" si="1"/>
        <v>0</v>
      </c>
      <c r="O8" s="55">
        <v>4.0</v>
      </c>
      <c r="P8" s="55">
        <v>2.0</v>
      </c>
      <c r="Q8" s="43">
        <f t="shared" si="2"/>
        <v>6</v>
      </c>
      <c r="R8" s="43"/>
      <c r="S8" s="43"/>
      <c r="T8" s="55" t="s">
        <v>140</v>
      </c>
      <c r="U8" s="43"/>
      <c r="V8" s="55" t="s">
        <v>457</v>
      </c>
      <c r="W8" s="56" t="s">
        <v>46</v>
      </c>
      <c r="Z8" s="34"/>
      <c r="AA8" s="45" t="s">
        <v>41</v>
      </c>
      <c r="AB8" s="18"/>
      <c r="AC8" s="5"/>
      <c r="AD8" s="46">
        <f>COUNTIF(G7:G157, "Female")</f>
        <v>17</v>
      </c>
    </row>
    <row r="9" ht="13.5" customHeight="1">
      <c r="A9" s="28">
        <v>3.0</v>
      </c>
      <c r="B9" s="37" t="s">
        <v>4577</v>
      </c>
      <c r="C9" s="400" t="s">
        <v>4578</v>
      </c>
      <c r="D9" s="37" t="s">
        <v>4579</v>
      </c>
      <c r="E9" s="133" t="s">
        <v>338</v>
      </c>
      <c r="F9" s="134">
        <v>29.0</v>
      </c>
      <c r="G9" s="134" t="s">
        <v>584</v>
      </c>
      <c r="H9" s="134" t="s">
        <v>2672</v>
      </c>
      <c r="I9" s="134" t="s">
        <v>4580</v>
      </c>
      <c r="J9" s="54">
        <v>28.0</v>
      </c>
      <c r="K9" s="55">
        <v>22.0</v>
      </c>
      <c r="L9" s="55">
        <v>0.0</v>
      </c>
      <c r="M9" s="55">
        <v>0.0</v>
      </c>
      <c r="N9" s="43">
        <f t="shared" si="1"/>
        <v>0</v>
      </c>
      <c r="O9" s="55">
        <v>0.0</v>
      </c>
      <c r="P9" s="55">
        <v>6.0</v>
      </c>
      <c r="Q9" s="43">
        <f t="shared" si="2"/>
        <v>6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COUNTIF(E8:E157, "National")</f>
        <v>23</v>
      </c>
    </row>
    <row r="10" ht="13.5" customHeight="1">
      <c r="A10" s="28">
        <v>4.0</v>
      </c>
      <c r="B10" s="37" t="s">
        <v>4203</v>
      </c>
      <c r="C10" s="400" t="s">
        <v>796</v>
      </c>
      <c r="D10" s="37" t="s">
        <v>4581</v>
      </c>
      <c r="E10" s="133" t="s">
        <v>338</v>
      </c>
      <c r="F10" s="134">
        <v>27.0</v>
      </c>
      <c r="G10" s="134" t="s">
        <v>476</v>
      </c>
      <c r="H10" s="134" t="s">
        <v>2672</v>
      </c>
      <c r="I10" s="134" t="s">
        <v>4582</v>
      </c>
      <c r="J10" s="54">
        <v>30.0</v>
      </c>
      <c r="K10" s="55">
        <v>26.0</v>
      </c>
      <c r="L10" s="55">
        <v>1.0</v>
      </c>
      <c r="M10" s="55">
        <v>2.0</v>
      </c>
      <c r="N10" s="43">
        <f t="shared" si="1"/>
        <v>3</v>
      </c>
      <c r="O10" s="55">
        <v>2.0</v>
      </c>
      <c r="P10" s="55">
        <v>7.0</v>
      </c>
      <c r="Q10" s="43">
        <f t="shared" si="2"/>
        <v>12</v>
      </c>
      <c r="R10" s="43"/>
      <c r="S10" s="55" t="s">
        <v>277</v>
      </c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COUNTIF(E7:E157, "Local School Board")</f>
        <v>0</v>
      </c>
    </row>
    <row r="11" ht="13.5" customHeight="1">
      <c r="A11" s="28">
        <v>5.0</v>
      </c>
      <c r="B11" s="37" t="s">
        <v>4583</v>
      </c>
      <c r="C11" s="400" t="s">
        <v>4584</v>
      </c>
      <c r="D11" s="37" t="s">
        <v>536</v>
      </c>
      <c r="E11" s="133" t="s">
        <v>338</v>
      </c>
      <c r="F11" s="134">
        <v>29.0</v>
      </c>
      <c r="G11" s="134" t="s">
        <v>584</v>
      </c>
      <c r="H11" s="134" t="s">
        <v>2672</v>
      </c>
      <c r="I11" s="134" t="s">
        <v>4585</v>
      </c>
      <c r="J11" s="54">
        <v>28.0</v>
      </c>
      <c r="K11" s="55">
        <v>19.0</v>
      </c>
      <c r="L11" s="55">
        <v>2.0</v>
      </c>
      <c r="M11" s="55">
        <v>7.0</v>
      </c>
      <c r="N11" s="43">
        <f t="shared" si="1"/>
        <v>9</v>
      </c>
      <c r="O11" s="55">
        <v>4.0</v>
      </c>
      <c r="P11" s="55">
        <v>0.0</v>
      </c>
      <c r="Q11" s="43">
        <f t="shared" si="2"/>
        <v>13</v>
      </c>
      <c r="R11" s="43"/>
      <c r="S11" s="43"/>
      <c r="T11" s="43"/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24</v>
      </c>
    </row>
    <row r="12" ht="13.5" customHeight="1">
      <c r="A12" s="28">
        <v>6.0</v>
      </c>
      <c r="B12" s="37" t="s">
        <v>4586</v>
      </c>
      <c r="C12" s="400" t="s">
        <v>4587</v>
      </c>
      <c r="D12" s="37" t="s">
        <v>4588</v>
      </c>
      <c r="E12" s="133" t="s">
        <v>338</v>
      </c>
      <c r="F12" s="134">
        <v>50.0</v>
      </c>
      <c r="G12" s="134" t="s">
        <v>584</v>
      </c>
      <c r="H12" s="134" t="s">
        <v>4589</v>
      </c>
      <c r="I12" s="134" t="s">
        <v>4590</v>
      </c>
      <c r="J12" s="54">
        <v>12.0</v>
      </c>
      <c r="K12" s="55">
        <v>12.0</v>
      </c>
      <c r="L12" s="55">
        <v>0.0</v>
      </c>
      <c r="M12" s="55">
        <v>0.0</v>
      </c>
      <c r="N12" s="43">
        <f t="shared" si="1"/>
        <v>0</v>
      </c>
      <c r="O12" s="55">
        <v>20.0</v>
      </c>
      <c r="P12" s="55">
        <v>0.0</v>
      </c>
      <c r="Q12" s="43">
        <f t="shared" si="2"/>
        <v>20</v>
      </c>
      <c r="R12" s="43"/>
      <c r="S12" s="55" t="s">
        <v>97</v>
      </c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23</v>
      </c>
    </row>
    <row r="13" ht="13.5" customHeight="1">
      <c r="A13" s="28">
        <v>7.0</v>
      </c>
      <c r="B13" s="37" t="s">
        <v>4591</v>
      </c>
      <c r="C13" s="400" t="s">
        <v>4592</v>
      </c>
      <c r="D13" s="37" t="s">
        <v>4593</v>
      </c>
      <c r="E13" s="133" t="s">
        <v>338</v>
      </c>
      <c r="F13" s="134">
        <v>51.0</v>
      </c>
      <c r="G13" s="134" t="s">
        <v>584</v>
      </c>
      <c r="H13" s="134" t="s">
        <v>2658</v>
      </c>
      <c r="I13" s="134" t="s">
        <v>4594</v>
      </c>
      <c r="J13" s="54">
        <v>30.0</v>
      </c>
      <c r="K13" s="55">
        <v>27.0</v>
      </c>
      <c r="L13" s="55">
        <v>1.0</v>
      </c>
      <c r="M13" s="55">
        <v>0.0</v>
      </c>
      <c r="N13" s="43">
        <f t="shared" si="1"/>
        <v>1</v>
      </c>
      <c r="O13" s="55">
        <v>2.0</v>
      </c>
      <c r="P13" s="55">
        <v>2.0</v>
      </c>
      <c r="Q13" s="43">
        <f t="shared" si="2"/>
        <v>5</v>
      </c>
      <c r="R13" s="43"/>
      <c r="S13" s="43"/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37" t="s">
        <v>4595</v>
      </c>
      <c r="C14" s="400" t="s">
        <v>4596</v>
      </c>
      <c r="D14" s="37" t="s">
        <v>4597</v>
      </c>
      <c r="E14" s="133" t="s">
        <v>338</v>
      </c>
      <c r="F14" s="134">
        <v>52.0</v>
      </c>
      <c r="G14" s="134" t="s">
        <v>476</v>
      </c>
      <c r="H14" s="134" t="s">
        <v>2658</v>
      </c>
      <c r="I14" s="134" t="s">
        <v>4598</v>
      </c>
      <c r="J14" s="54">
        <v>24.0</v>
      </c>
      <c r="K14" s="55">
        <v>16.0</v>
      </c>
      <c r="L14" s="55">
        <v>0.0</v>
      </c>
      <c r="M14" s="55">
        <v>5.0</v>
      </c>
      <c r="N14" s="43">
        <f t="shared" si="1"/>
        <v>5</v>
      </c>
      <c r="O14" s="55">
        <v>8.0</v>
      </c>
      <c r="P14" s="55">
        <v>3.0</v>
      </c>
      <c r="Q14" s="43">
        <f t="shared" si="2"/>
        <v>16</v>
      </c>
      <c r="R14" s="43"/>
      <c r="S14" s="55" t="s">
        <v>88</v>
      </c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37" t="s">
        <v>4599</v>
      </c>
      <c r="C15" s="400" t="s">
        <v>613</v>
      </c>
      <c r="D15" s="37" t="s">
        <v>4600</v>
      </c>
      <c r="E15" s="133" t="s">
        <v>338</v>
      </c>
      <c r="F15" s="134">
        <v>28.0</v>
      </c>
      <c r="G15" s="134" t="s">
        <v>476</v>
      </c>
      <c r="H15" s="134" t="s">
        <v>2672</v>
      </c>
      <c r="I15" s="134" t="s">
        <v>4601</v>
      </c>
      <c r="J15" s="54">
        <v>30.0</v>
      </c>
      <c r="K15" s="55">
        <v>26.0</v>
      </c>
      <c r="L15" s="55">
        <v>0.0</v>
      </c>
      <c r="M15" s="55">
        <v>4.0</v>
      </c>
      <c r="N15" s="43">
        <f t="shared" si="1"/>
        <v>4</v>
      </c>
      <c r="O15" s="55">
        <v>2.0</v>
      </c>
      <c r="P15" s="55">
        <v>0.0</v>
      </c>
      <c r="Q15" s="43">
        <f t="shared" si="2"/>
        <v>6</v>
      </c>
      <c r="R15" s="43"/>
      <c r="S15" s="55" t="s">
        <v>277</v>
      </c>
      <c r="T15" s="43"/>
      <c r="U15" s="43"/>
      <c r="V15" s="43"/>
      <c r="W15" s="56" t="s">
        <v>46</v>
      </c>
      <c r="Z15" s="34"/>
      <c r="AA15" s="61" t="s">
        <v>74</v>
      </c>
      <c r="AB15" s="66">
        <f>COUNTIF(S7:S157, "CD")</f>
        <v>0</v>
      </c>
      <c r="AC15" s="34"/>
      <c r="AD15" s="34"/>
    </row>
    <row r="16" ht="13.5" customHeight="1">
      <c r="A16" s="28">
        <v>10.0</v>
      </c>
      <c r="B16" s="37" t="s">
        <v>4602</v>
      </c>
      <c r="C16" s="400" t="s">
        <v>3148</v>
      </c>
      <c r="D16" s="37" t="s">
        <v>4603</v>
      </c>
      <c r="E16" s="133" t="s">
        <v>338</v>
      </c>
      <c r="F16" s="134">
        <v>26.0</v>
      </c>
      <c r="G16" s="134" t="s">
        <v>476</v>
      </c>
      <c r="H16" s="134" t="s">
        <v>2672</v>
      </c>
      <c r="I16" s="134" t="s">
        <v>4604</v>
      </c>
      <c r="J16" s="54">
        <v>27.0</v>
      </c>
      <c r="K16" s="55">
        <v>17.0</v>
      </c>
      <c r="L16" s="55">
        <v>0.0</v>
      </c>
      <c r="M16" s="55">
        <v>0.0</v>
      </c>
      <c r="N16" s="43">
        <f t="shared" si="1"/>
        <v>0</v>
      </c>
      <c r="O16" s="55">
        <v>2.0</v>
      </c>
      <c r="P16" s="55">
        <v>10.0</v>
      </c>
      <c r="Q16" s="43">
        <f t="shared" si="2"/>
        <v>12</v>
      </c>
      <c r="R16" s="43"/>
      <c r="S16" s="55" t="s">
        <v>277</v>
      </c>
      <c r="T16" s="43"/>
      <c r="U16" s="43" t="s">
        <v>116</v>
      </c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37" t="s">
        <v>760</v>
      </c>
      <c r="C17" s="400" t="s">
        <v>4605</v>
      </c>
      <c r="D17" s="37" t="s">
        <v>4606</v>
      </c>
      <c r="E17" s="133" t="s">
        <v>338</v>
      </c>
      <c r="F17" s="134">
        <v>32.0</v>
      </c>
      <c r="G17" s="134" t="s">
        <v>476</v>
      </c>
      <c r="H17" s="134" t="s">
        <v>2672</v>
      </c>
      <c r="I17" s="134" t="s">
        <v>4607</v>
      </c>
      <c r="J17" s="54">
        <v>19.0</v>
      </c>
      <c r="K17" s="55">
        <v>13.0</v>
      </c>
      <c r="L17" s="55">
        <v>1.0</v>
      </c>
      <c r="M17" s="55">
        <v>5.0</v>
      </c>
      <c r="N17" s="43">
        <f t="shared" si="1"/>
        <v>6</v>
      </c>
      <c r="O17" s="55">
        <v>13.0</v>
      </c>
      <c r="P17" s="55">
        <v>0.0</v>
      </c>
      <c r="Q17" s="43">
        <f t="shared" si="2"/>
        <v>19</v>
      </c>
      <c r="R17" s="43"/>
      <c r="S17" s="55" t="s">
        <v>88</v>
      </c>
      <c r="T17" s="55" t="s">
        <v>140</v>
      </c>
      <c r="U17" s="43"/>
      <c r="V17" s="55" t="s">
        <v>457</v>
      </c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37" t="s">
        <v>4608</v>
      </c>
      <c r="C18" s="400" t="s">
        <v>4609</v>
      </c>
      <c r="D18" s="37" t="s">
        <v>4610</v>
      </c>
      <c r="E18" s="133" t="s">
        <v>338</v>
      </c>
      <c r="F18" s="134">
        <v>42.0</v>
      </c>
      <c r="G18" s="134" t="s">
        <v>476</v>
      </c>
      <c r="H18" s="134" t="s">
        <v>2672</v>
      </c>
      <c r="I18" s="134" t="s">
        <v>4611</v>
      </c>
      <c r="J18" s="54">
        <v>29.0</v>
      </c>
      <c r="K18" s="55">
        <v>22.0</v>
      </c>
      <c r="L18" s="55">
        <v>0.0</v>
      </c>
      <c r="M18" s="55">
        <v>7.0</v>
      </c>
      <c r="N18" s="43">
        <f t="shared" si="1"/>
        <v>7</v>
      </c>
      <c r="O18" s="55">
        <v>3.0</v>
      </c>
      <c r="P18" s="55">
        <v>0.0</v>
      </c>
      <c r="Q18" s="43">
        <f t="shared" si="2"/>
        <v>10</v>
      </c>
      <c r="R18" s="43"/>
      <c r="S18" s="43"/>
      <c r="T18" s="43"/>
      <c r="U18" s="43"/>
      <c r="V18" s="43"/>
      <c r="W18" s="56" t="s">
        <v>46</v>
      </c>
      <c r="Z18" s="401" t="s">
        <v>30</v>
      </c>
      <c r="AA18" s="61" t="s">
        <v>88</v>
      </c>
      <c r="AB18" s="66">
        <f>COUNTIF(S7:S157, "RPDU")</f>
        <v>2</v>
      </c>
      <c r="AC18" s="34"/>
      <c r="AD18" s="34"/>
    </row>
    <row r="19" ht="13.5" customHeight="1">
      <c r="A19" s="28">
        <v>13.0</v>
      </c>
      <c r="B19" s="37" t="s">
        <v>4612</v>
      </c>
      <c r="C19" s="400" t="s">
        <v>4613</v>
      </c>
      <c r="D19" s="37" t="s">
        <v>4614</v>
      </c>
      <c r="E19" s="133" t="s">
        <v>338</v>
      </c>
      <c r="F19" s="134">
        <v>26.0</v>
      </c>
      <c r="G19" s="134" t="s">
        <v>476</v>
      </c>
      <c r="H19" s="134" t="s">
        <v>2672</v>
      </c>
      <c r="I19" s="134" t="s">
        <v>4615</v>
      </c>
      <c r="J19" s="54">
        <v>29.0</v>
      </c>
      <c r="K19" s="55">
        <v>26.0</v>
      </c>
      <c r="L19" s="55">
        <v>0.0</v>
      </c>
      <c r="M19" s="55">
        <v>0.0</v>
      </c>
      <c r="N19" s="43">
        <f t="shared" si="1"/>
        <v>0</v>
      </c>
      <c r="O19" s="55">
        <v>3.0</v>
      </c>
      <c r="P19" s="55">
        <v>4.0</v>
      </c>
      <c r="Q19" s="43">
        <f t="shared" si="2"/>
        <v>7</v>
      </c>
      <c r="R19" s="43"/>
      <c r="S19" s="55" t="s">
        <v>277</v>
      </c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37" t="s">
        <v>4616</v>
      </c>
      <c r="C20" s="400" t="s">
        <v>4617</v>
      </c>
      <c r="D20" s="37" t="s">
        <v>4618</v>
      </c>
      <c r="E20" s="133" t="s">
        <v>338</v>
      </c>
      <c r="G20" s="134" t="s">
        <v>476</v>
      </c>
      <c r="H20" s="134" t="s">
        <v>2672</v>
      </c>
      <c r="I20" s="134" t="s">
        <v>4619</v>
      </c>
      <c r="J20" s="54">
        <v>25.0</v>
      </c>
      <c r="K20" s="55">
        <v>19.0</v>
      </c>
      <c r="L20" s="55">
        <v>0.0</v>
      </c>
      <c r="M20" s="55">
        <v>1.0</v>
      </c>
      <c r="N20" s="43">
        <f t="shared" si="1"/>
        <v>1</v>
      </c>
      <c r="O20" s="55">
        <v>7.0</v>
      </c>
      <c r="P20" s="55">
        <v>5.0</v>
      </c>
      <c r="Q20" s="43">
        <f t="shared" si="2"/>
        <v>13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37" t="s">
        <v>4620</v>
      </c>
      <c r="C21" s="400" t="s">
        <v>4621</v>
      </c>
      <c r="D21" s="37" t="s">
        <v>4622</v>
      </c>
      <c r="E21" s="133" t="s">
        <v>338</v>
      </c>
      <c r="F21" s="134">
        <v>31.0</v>
      </c>
      <c r="G21" s="134" t="s">
        <v>476</v>
      </c>
      <c r="H21" s="134" t="s">
        <v>2658</v>
      </c>
      <c r="I21" s="134" t="s">
        <v>4623</v>
      </c>
      <c r="J21" s="54">
        <v>31.0</v>
      </c>
      <c r="K21" s="55">
        <v>26.0</v>
      </c>
      <c r="L21" s="55">
        <v>0.0</v>
      </c>
      <c r="M21" s="55">
        <v>1.0</v>
      </c>
      <c r="N21" s="43">
        <f t="shared" si="1"/>
        <v>1</v>
      </c>
      <c r="O21" s="55">
        <v>1.0</v>
      </c>
      <c r="P21" s="55">
        <v>5.0</v>
      </c>
      <c r="Q21" s="43">
        <f t="shared" si="2"/>
        <v>7</v>
      </c>
      <c r="R21" s="43"/>
      <c r="S21" s="55" t="s">
        <v>277</v>
      </c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37" t="s">
        <v>4624</v>
      </c>
      <c r="C22" s="400" t="s">
        <v>4625</v>
      </c>
      <c r="D22" s="37" t="s">
        <v>4626</v>
      </c>
      <c r="E22" s="133" t="s">
        <v>338</v>
      </c>
      <c r="F22" s="134">
        <v>43.0</v>
      </c>
      <c r="G22" s="134" t="s">
        <v>476</v>
      </c>
      <c r="H22" s="134" t="s">
        <v>2672</v>
      </c>
      <c r="I22" s="134" t="s">
        <v>4627</v>
      </c>
      <c r="J22" s="54">
        <v>27.0</v>
      </c>
      <c r="K22" s="55">
        <v>22.0</v>
      </c>
      <c r="L22" s="55">
        <v>0.0</v>
      </c>
      <c r="M22" s="55">
        <v>0.0</v>
      </c>
      <c r="N22" s="43">
        <f t="shared" si="1"/>
        <v>0</v>
      </c>
      <c r="O22" s="55">
        <v>3.0</v>
      </c>
      <c r="P22" s="55">
        <v>5.0</v>
      </c>
      <c r="Q22" s="43">
        <f t="shared" si="2"/>
        <v>8</v>
      </c>
      <c r="R22" s="43"/>
      <c r="S22" s="43"/>
      <c r="T22" s="43"/>
      <c r="U22" s="43"/>
      <c r="V22" s="43"/>
      <c r="W22" s="56" t="s">
        <v>46</v>
      </c>
      <c r="Z22" s="34"/>
      <c r="AA22" s="61" t="s">
        <v>105</v>
      </c>
      <c r="AB22" s="66">
        <f>COUNTIF(U7:U157, "FPD")</f>
        <v>0</v>
      </c>
      <c r="AC22" s="34"/>
      <c r="AD22" s="34"/>
    </row>
    <row r="23" ht="13.5" customHeight="1">
      <c r="A23" s="28">
        <v>17.0</v>
      </c>
      <c r="B23" s="37" t="s">
        <v>4628</v>
      </c>
      <c r="C23" s="400" t="s">
        <v>4629</v>
      </c>
      <c r="D23" s="37" t="s">
        <v>799</v>
      </c>
      <c r="E23" s="133" t="s">
        <v>338</v>
      </c>
      <c r="F23" s="134">
        <v>28.0</v>
      </c>
      <c r="G23" s="134" t="s">
        <v>476</v>
      </c>
      <c r="H23" s="134" t="s">
        <v>2672</v>
      </c>
      <c r="I23" s="134" t="s">
        <v>4630</v>
      </c>
      <c r="J23" s="54">
        <v>28.0</v>
      </c>
      <c r="K23" s="55">
        <v>24.0</v>
      </c>
      <c r="L23" s="55">
        <v>0.0</v>
      </c>
      <c r="M23" s="55">
        <v>1.0</v>
      </c>
      <c r="N23" s="43">
        <f t="shared" si="1"/>
        <v>1</v>
      </c>
      <c r="O23" s="55">
        <v>2.0</v>
      </c>
      <c r="P23" s="55">
        <v>3.0</v>
      </c>
      <c r="Q23" s="43">
        <f t="shared" si="2"/>
        <v>6</v>
      </c>
      <c r="R23" s="43"/>
      <c r="S23" s="55" t="s">
        <v>277</v>
      </c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7</v>
      </c>
      <c r="AC23" s="34"/>
      <c r="AD23" s="34"/>
    </row>
    <row r="24" ht="13.5" customHeight="1">
      <c r="A24" s="28">
        <v>18.0</v>
      </c>
      <c r="B24" s="37" t="s">
        <v>623</v>
      </c>
      <c r="C24" s="400" t="s">
        <v>4631</v>
      </c>
      <c r="D24" s="37" t="s">
        <v>4155</v>
      </c>
      <c r="E24" s="133" t="s">
        <v>338</v>
      </c>
      <c r="F24" s="134">
        <v>36.0</v>
      </c>
      <c r="G24" s="134" t="s">
        <v>476</v>
      </c>
      <c r="H24" s="134" t="s">
        <v>2658</v>
      </c>
      <c r="I24" s="134" t="s">
        <v>4632</v>
      </c>
      <c r="J24" s="54">
        <v>27.0</v>
      </c>
      <c r="K24" s="55">
        <v>21.0</v>
      </c>
      <c r="L24" s="55">
        <v>0.0</v>
      </c>
      <c r="M24" s="55">
        <v>0.0</v>
      </c>
      <c r="N24" s="43">
        <f t="shared" si="1"/>
        <v>0</v>
      </c>
      <c r="O24" s="55">
        <v>4.0</v>
      </c>
      <c r="P24" s="55">
        <v>6.0</v>
      </c>
      <c r="Q24" s="43">
        <f t="shared" si="2"/>
        <v>10</v>
      </c>
      <c r="R24" s="43"/>
      <c r="S24" s="55" t="s">
        <v>277</v>
      </c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37" t="s">
        <v>2343</v>
      </c>
      <c r="C25" s="400" t="s">
        <v>4633</v>
      </c>
      <c r="D25" s="37" t="s">
        <v>4634</v>
      </c>
      <c r="E25" s="133" t="s">
        <v>338</v>
      </c>
      <c r="F25" s="134">
        <v>43.0</v>
      </c>
      <c r="G25" s="134" t="s">
        <v>584</v>
      </c>
      <c r="H25" s="134" t="s">
        <v>2658</v>
      </c>
      <c r="I25" s="134" t="s">
        <v>4635</v>
      </c>
      <c r="J25" s="54">
        <v>28.0</v>
      </c>
      <c r="K25" s="55">
        <v>27.0</v>
      </c>
      <c r="L25" s="55">
        <v>0.0</v>
      </c>
      <c r="M25" s="55">
        <v>0.0</v>
      </c>
      <c r="N25" s="43">
        <f t="shared" si="1"/>
        <v>0</v>
      </c>
      <c r="O25" s="55">
        <v>4.0</v>
      </c>
      <c r="P25" s="55">
        <v>1.0</v>
      </c>
      <c r="Q25" s="43">
        <f t="shared" si="2"/>
        <v>5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37" t="s">
        <v>4636</v>
      </c>
      <c r="C26" s="400" t="s">
        <v>4637</v>
      </c>
      <c r="D26" s="37" t="s">
        <v>4638</v>
      </c>
      <c r="E26" s="133" t="s">
        <v>338</v>
      </c>
      <c r="F26" s="134">
        <v>25.0</v>
      </c>
      <c r="G26" s="134" t="s">
        <v>476</v>
      </c>
      <c r="H26" s="134" t="s">
        <v>2672</v>
      </c>
      <c r="I26" s="134" t="s">
        <v>4639</v>
      </c>
      <c r="J26" s="54">
        <v>30.0</v>
      </c>
      <c r="K26" s="55">
        <v>28.0</v>
      </c>
      <c r="L26" s="55">
        <v>0.0</v>
      </c>
      <c r="M26" s="55">
        <v>2.0</v>
      </c>
      <c r="N26" s="43">
        <f t="shared" si="1"/>
        <v>2</v>
      </c>
      <c r="O26" s="55">
        <v>2.0</v>
      </c>
      <c r="P26" s="55">
        <v>0.0</v>
      </c>
      <c r="Q26" s="43">
        <f t="shared" si="2"/>
        <v>4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37" t="s">
        <v>4640</v>
      </c>
      <c r="C27" s="400" t="s">
        <v>4641</v>
      </c>
      <c r="D27" s="37" t="s">
        <v>4642</v>
      </c>
      <c r="E27" s="133" t="s">
        <v>338</v>
      </c>
      <c r="F27" s="134">
        <v>25.0</v>
      </c>
      <c r="G27" s="134" t="s">
        <v>476</v>
      </c>
      <c r="H27" s="134" t="s">
        <v>2672</v>
      </c>
      <c r="I27" s="134" t="s">
        <v>4643</v>
      </c>
      <c r="J27" s="54">
        <v>28.0</v>
      </c>
      <c r="K27" s="55">
        <v>22.0</v>
      </c>
      <c r="L27" s="55">
        <v>0.0</v>
      </c>
      <c r="M27" s="55">
        <v>0.0</v>
      </c>
      <c r="N27" s="43">
        <f t="shared" si="1"/>
        <v>0</v>
      </c>
      <c r="O27" s="55">
        <v>0.0</v>
      </c>
      <c r="P27" s="55">
        <v>6.0</v>
      </c>
      <c r="Q27" s="43">
        <f t="shared" si="2"/>
        <v>6</v>
      </c>
      <c r="R27" s="43"/>
      <c r="S27" s="43"/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158" t="s">
        <v>4644</v>
      </c>
      <c r="C28" s="400" t="s">
        <v>4645</v>
      </c>
      <c r="D28" s="158" t="s">
        <v>4588</v>
      </c>
      <c r="E28" s="133" t="s">
        <v>338</v>
      </c>
      <c r="F28" s="134">
        <v>41.0</v>
      </c>
      <c r="G28" s="134" t="s">
        <v>476</v>
      </c>
      <c r="H28" s="134" t="s">
        <v>2672</v>
      </c>
      <c r="I28" s="134" t="s">
        <v>4646</v>
      </c>
      <c r="J28" s="54">
        <v>22.0</v>
      </c>
      <c r="K28" s="55">
        <v>12.0</v>
      </c>
      <c r="L28" s="55">
        <v>0.0</v>
      </c>
      <c r="M28" s="55">
        <v>8.0</v>
      </c>
      <c r="N28" s="43">
        <f t="shared" si="1"/>
        <v>8</v>
      </c>
      <c r="O28" s="55">
        <v>10.0</v>
      </c>
      <c r="P28" s="55">
        <v>2.0</v>
      </c>
      <c r="Q28" s="43">
        <f t="shared" si="2"/>
        <v>20</v>
      </c>
      <c r="R28" s="43"/>
      <c r="S28" s="43"/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37" t="s">
        <v>4647</v>
      </c>
      <c r="C29" s="400" t="s">
        <v>4648</v>
      </c>
      <c r="D29" s="37" t="s">
        <v>4649</v>
      </c>
      <c r="E29" s="133" t="s">
        <v>338</v>
      </c>
      <c r="F29" s="134">
        <v>25.0</v>
      </c>
      <c r="G29" s="134" t="s">
        <v>584</v>
      </c>
      <c r="H29" s="134" t="s">
        <v>4650</v>
      </c>
      <c r="I29" s="134" t="s">
        <v>4651</v>
      </c>
      <c r="J29" s="54">
        <v>28.0</v>
      </c>
      <c r="K29" s="55">
        <v>28.0</v>
      </c>
      <c r="L29" s="55">
        <v>0.0</v>
      </c>
      <c r="M29" s="55">
        <v>0.0</v>
      </c>
      <c r="N29" s="43">
        <v>0.0</v>
      </c>
      <c r="O29" s="55">
        <v>4.0</v>
      </c>
      <c r="P29" s="55">
        <v>0.0</v>
      </c>
      <c r="Q29" s="43">
        <v>0.0</v>
      </c>
      <c r="R29" s="43"/>
      <c r="S29" s="43"/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37" t="s">
        <v>4652</v>
      </c>
      <c r="C30" s="400" t="s">
        <v>4653</v>
      </c>
      <c r="D30" s="37" t="s">
        <v>4224</v>
      </c>
      <c r="E30" s="133" t="s">
        <v>338</v>
      </c>
      <c r="F30" s="134">
        <v>36.0</v>
      </c>
      <c r="G30" s="134" t="s">
        <v>476</v>
      </c>
      <c r="H30" s="134" t="s">
        <v>641</v>
      </c>
      <c r="I30" s="134" t="s">
        <v>4654</v>
      </c>
      <c r="J30" s="54">
        <v>32.0</v>
      </c>
      <c r="K30" s="55">
        <v>31.0</v>
      </c>
      <c r="L30" s="55">
        <v>0.0</v>
      </c>
      <c r="M30" s="55">
        <v>0.0</v>
      </c>
      <c r="N30" s="43"/>
      <c r="O30" s="55">
        <v>0.0</v>
      </c>
      <c r="P30" s="55">
        <v>1.0</v>
      </c>
      <c r="Q30" s="43"/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203"/>
      <c r="C31" s="106"/>
      <c r="D31" s="106"/>
      <c r="E31" s="109"/>
      <c r="F31" s="53"/>
      <c r="G31" s="82"/>
      <c r="H31" s="53"/>
      <c r="I31" s="53"/>
      <c r="J31" s="42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  <c r="Z31" s="78"/>
      <c r="AA31" s="78"/>
      <c r="AB31" s="78"/>
      <c r="AC31" s="78"/>
      <c r="AD31" s="78"/>
    </row>
    <row r="32" ht="13.5" customHeight="1">
      <c r="A32" s="28">
        <v>26.0</v>
      </c>
      <c r="B32" s="203"/>
      <c r="C32" s="112"/>
      <c r="D32" s="112"/>
      <c r="E32" s="53"/>
      <c r="F32" s="53"/>
      <c r="G32" s="53"/>
      <c r="H32" s="90"/>
      <c r="I32" s="79"/>
      <c r="J32" s="42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4"/>
      <c r="Z32" s="61" t="s">
        <v>139</v>
      </c>
      <c r="AA32" s="61" t="s">
        <v>140</v>
      </c>
      <c r="AB32" s="66">
        <f>COUNTIF(T7:T157, "G")</f>
        <v>2</v>
      </c>
      <c r="AC32" s="34"/>
      <c r="AD32" s="34"/>
    </row>
    <row r="33" ht="13.5" customHeight="1">
      <c r="A33" s="28">
        <v>27.0</v>
      </c>
      <c r="B33" s="203"/>
      <c r="C33" s="106"/>
      <c r="D33" s="106"/>
      <c r="E33" s="53"/>
      <c r="F33" s="53"/>
      <c r="G33" s="53"/>
      <c r="H33" s="206"/>
      <c r="I33" s="80"/>
      <c r="J33" s="42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4"/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03"/>
      <c r="C34" s="106"/>
      <c r="D34" s="106"/>
      <c r="E34" s="53"/>
      <c r="F34" s="53"/>
      <c r="G34" s="82"/>
      <c r="H34" s="53"/>
      <c r="I34" s="53"/>
      <c r="J34" s="42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4"/>
      <c r="Z34" s="61"/>
      <c r="AA34" s="61"/>
      <c r="AB34" s="66"/>
      <c r="AC34" s="34"/>
      <c r="AD34" s="34"/>
    </row>
    <row r="35" ht="13.5" customHeight="1">
      <c r="A35" s="28">
        <v>29.0</v>
      </c>
      <c r="B35" s="203"/>
      <c r="C35" s="106"/>
      <c r="D35" s="106"/>
      <c r="E35" s="53"/>
      <c r="F35" s="53"/>
      <c r="G35" s="82"/>
      <c r="H35" s="53"/>
      <c r="I35" s="53"/>
      <c r="J35" s="81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4"/>
      <c r="Z35" s="61"/>
      <c r="AA35" s="61"/>
      <c r="AB35" s="66"/>
      <c r="AC35" s="34"/>
      <c r="AD35" s="34"/>
    </row>
    <row r="36" ht="13.5" customHeight="1">
      <c r="A36" s="28">
        <v>30.0</v>
      </c>
      <c r="B36" s="106"/>
      <c r="C36" s="106"/>
      <c r="D36" s="106"/>
      <c r="E36" s="53"/>
      <c r="F36" s="53"/>
      <c r="G36" s="82"/>
      <c r="H36" s="53"/>
      <c r="I36" s="82"/>
      <c r="J36" s="8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4"/>
      <c r="Z36" s="61"/>
      <c r="AA36" s="61"/>
      <c r="AB36" s="66"/>
      <c r="AC36" s="34"/>
      <c r="AD36" s="34"/>
    </row>
    <row r="37" ht="13.5" customHeight="1">
      <c r="A37" s="28">
        <v>31.0</v>
      </c>
      <c r="B37" s="106"/>
      <c r="C37" s="106"/>
      <c r="D37" s="106"/>
      <c r="E37" s="53"/>
      <c r="F37" s="53"/>
      <c r="G37" s="82"/>
      <c r="H37" s="53"/>
      <c r="I37" s="82"/>
      <c r="J37" s="8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4"/>
      <c r="Z37" s="61"/>
      <c r="AA37" s="61"/>
      <c r="AB37" s="66"/>
      <c r="AC37" s="34"/>
      <c r="AD37" s="34"/>
    </row>
    <row r="38" ht="13.5" customHeight="1">
      <c r="A38" s="28">
        <v>32.0</v>
      </c>
      <c r="B38" s="106"/>
      <c r="C38" s="106"/>
      <c r="D38" s="106"/>
      <c r="E38" s="53"/>
      <c r="F38" s="53"/>
      <c r="G38" s="82"/>
      <c r="H38" s="53"/>
      <c r="I38" s="82"/>
      <c r="J38" s="8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106"/>
      <c r="C39" s="106"/>
      <c r="D39" s="106"/>
      <c r="E39" s="53"/>
      <c r="F39" s="53"/>
      <c r="G39" s="82"/>
      <c r="H39" s="53"/>
      <c r="I39" s="88"/>
      <c r="J39" s="8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  <c r="Z39" s="61"/>
      <c r="AA39" s="61"/>
      <c r="AB39" s="66"/>
      <c r="AC39" s="34"/>
      <c r="AD39" s="34"/>
    </row>
    <row r="40" ht="13.5" customHeight="1">
      <c r="A40" s="28">
        <v>34.0</v>
      </c>
      <c r="B40" s="106"/>
      <c r="C40" s="106"/>
      <c r="D40" s="106"/>
      <c r="E40" s="53"/>
      <c r="F40" s="53"/>
      <c r="G40" s="82"/>
      <c r="H40" s="53"/>
      <c r="I40" s="88"/>
      <c r="J40" s="8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4"/>
      <c r="Z40" s="61"/>
      <c r="AA40" s="61"/>
      <c r="AB40" s="66"/>
      <c r="AC40" s="34"/>
      <c r="AD40" s="34"/>
    </row>
    <row r="41" ht="13.5" customHeight="1">
      <c r="A41" s="28">
        <v>35.0</v>
      </c>
      <c r="B41" s="107"/>
      <c r="C41" s="107"/>
      <c r="D41" s="107"/>
      <c r="E41" s="53"/>
      <c r="F41" s="53"/>
      <c r="G41" s="82"/>
      <c r="H41" s="53"/>
      <c r="I41" s="89"/>
      <c r="J41" s="8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106"/>
      <c r="C42" s="106"/>
      <c r="D42" s="106"/>
      <c r="E42" s="109"/>
      <c r="F42" s="53"/>
      <c r="G42" s="82"/>
      <c r="H42" s="53"/>
      <c r="I42" s="89"/>
      <c r="J42" s="8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203"/>
      <c r="C43" s="203"/>
      <c r="D43" s="203"/>
      <c r="E43" s="109"/>
      <c r="F43" s="53"/>
      <c r="G43" s="82"/>
      <c r="H43" s="53"/>
      <c r="I43" s="82"/>
      <c r="J43" s="8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06"/>
      <c r="C44" s="106"/>
      <c r="D44" s="106"/>
      <c r="E44" s="109"/>
      <c r="F44" s="53"/>
      <c r="G44" s="82"/>
      <c r="H44" s="53"/>
      <c r="I44" s="82"/>
      <c r="J44" s="8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3">SUM(J7:J156)</f>
        <v>620</v>
      </c>
      <c r="K157" s="123">
        <f t="shared" si="3"/>
        <v>512</v>
      </c>
      <c r="L157" s="123">
        <f t="shared" si="3"/>
        <v>5</v>
      </c>
      <c r="M157" s="123">
        <f t="shared" si="3"/>
        <v>43</v>
      </c>
      <c r="N157" s="123">
        <f t="shared" si="3"/>
        <v>48</v>
      </c>
      <c r="O157" s="123">
        <f t="shared" si="3"/>
        <v>100</v>
      </c>
      <c r="P157" s="123">
        <f t="shared" si="3"/>
        <v>68</v>
      </c>
      <c r="Q157" s="123">
        <f t="shared" si="3"/>
        <v>211</v>
      </c>
      <c r="R157" s="124"/>
      <c r="S157" s="124"/>
      <c r="T157" s="125"/>
      <c r="U157" s="145" t="s">
        <v>330</v>
      </c>
      <c r="V157" s="5"/>
      <c r="W157" s="126">
        <f>countif(W7:W65,"YES")</f>
        <v>23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 t="s">
        <v>331</v>
      </c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0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6.25"/>
    <col customWidth="1" min="3" max="3" width="18.38"/>
    <col customWidth="1" min="4" max="4" width="16.25"/>
    <col customWidth="1" min="5" max="5" width="14.75"/>
    <col customWidth="1" min="6" max="6" width="6.75"/>
    <col customWidth="1" min="7" max="7" width="12.38"/>
    <col customWidth="1" min="8" max="8" width="16.88"/>
    <col customWidth="1" min="9" max="9" width="15.75"/>
    <col customWidth="1" min="10" max="10" width="11.38"/>
    <col customWidth="1" min="11" max="11" width="10.75"/>
    <col customWidth="1" min="12" max="12" width="11.25"/>
    <col customWidth="1" min="13" max="13" width="12.0"/>
    <col customWidth="1" min="14" max="14" width="6.0"/>
    <col customWidth="1" min="15" max="15" width="5.63"/>
    <col customWidth="1" min="16" max="16" width="6.13"/>
    <col customWidth="1" min="17" max="21" width="8.63"/>
    <col customWidth="1" min="22" max="22" width="14.75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 t="s">
        <v>630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7.25" customHeight="1">
      <c r="A2" s="6" t="s">
        <v>1</v>
      </c>
      <c r="B2" s="5"/>
      <c r="C2" s="402" t="s">
        <v>4655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34.5" customHeight="1">
      <c r="A3" s="6" t="s">
        <v>3</v>
      </c>
      <c r="B3" s="5"/>
      <c r="C3" s="402" t="s">
        <v>4656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403" t="s">
        <v>4657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4658</v>
      </c>
      <c r="C7" s="37" t="s">
        <v>4659</v>
      </c>
      <c r="D7" s="37" t="s">
        <v>4660</v>
      </c>
      <c r="E7" s="133" t="s">
        <v>338</v>
      </c>
      <c r="F7" s="134">
        <v>37.0</v>
      </c>
      <c r="G7" s="134" t="s">
        <v>339</v>
      </c>
      <c r="H7" s="134" t="s">
        <v>440</v>
      </c>
      <c r="I7" s="134">
        <v>9.774812262E9</v>
      </c>
      <c r="J7" s="54">
        <v>29.0</v>
      </c>
      <c r="K7" s="55">
        <v>21.0</v>
      </c>
      <c r="L7" s="55">
        <v>0.0</v>
      </c>
      <c r="M7" s="55">
        <v>0.0</v>
      </c>
      <c r="N7" s="43">
        <f t="shared" ref="N7:N43" si="1">sum(L7,M7)</f>
        <v>0</v>
      </c>
      <c r="O7" s="55">
        <v>3.0</v>
      </c>
      <c r="P7" s="55">
        <v>8.0</v>
      </c>
      <c r="Q7" s="43">
        <f t="shared" ref="Q7:Q43" si="2">sum(N7,O7,P7)</f>
        <v>11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436</v>
      </c>
      <c r="C8" s="37" t="s">
        <v>4661</v>
      </c>
      <c r="D8" s="37" t="s">
        <v>271</v>
      </c>
      <c r="E8" s="133" t="s">
        <v>338</v>
      </c>
      <c r="F8" s="134">
        <v>26.0</v>
      </c>
      <c r="G8" s="134" t="s">
        <v>339</v>
      </c>
      <c r="H8" s="134" t="s">
        <v>87</v>
      </c>
      <c r="I8" s="163" t="s">
        <v>4662</v>
      </c>
      <c r="J8" s="54">
        <v>29.0</v>
      </c>
      <c r="K8" s="55">
        <v>23.0</v>
      </c>
      <c r="L8" s="55">
        <v>0.0</v>
      </c>
      <c r="M8" s="55">
        <v>3.0</v>
      </c>
      <c r="N8" s="43">
        <f t="shared" si="1"/>
        <v>3</v>
      </c>
      <c r="O8" s="55">
        <v>3.0</v>
      </c>
      <c r="P8" s="55">
        <v>3.0</v>
      </c>
      <c r="Q8" s="43">
        <f t="shared" si="2"/>
        <v>9</v>
      </c>
      <c r="R8" s="43"/>
      <c r="S8" s="43"/>
      <c r="T8" s="43"/>
      <c r="U8" s="43" t="s">
        <v>116</v>
      </c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135" t="s">
        <v>1162</v>
      </c>
      <c r="C9" s="37" t="s">
        <v>4663</v>
      </c>
      <c r="D9" s="37" t="s">
        <v>32</v>
      </c>
      <c r="E9" s="133" t="s">
        <v>338</v>
      </c>
      <c r="F9" s="134">
        <v>29.0</v>
      </c>
      <c r="G9" s="134" t="s">
        <v>339</v>
      </c>
      <c r="H9" s="134" t="s">
        <v>839</v>
      </c>
      <c r="I9" s="134">
        <v>9.471040984E9</v>
      </c>
      <c r="J9" s="54">
        <v>29.0</v>
      </c>
      <c r="K9" s="55">
        <v>22.0</v>
      </c>
      <c r="L9" s="55">
        <v>0.0</v>
      </c>
      <c r="M9" s="55">
        <v>1.0</v>
      </c>
      <c r="N9" s="43">
        <f t="shared" si="1"/>
        <v>1</v>
      </c>
      <c r="O9" s="55">
        <v>0.0</v>
      </c>
      <c r="P9" s="55">
        <v>6.0</v>
      </c>
      <c r="Q9" s="43">
        <f t="shared" si="2"/>
        <v>7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135" t="s">
        <v>4664</v>
      </c>
      <c r="C10" s="37" t="s">
        <v>2501</v>
      </c>
      <c r="D10" s="37" t="s">
        <v>2402</v>
      </c>
      <c r="E10" s="133" t="s">
        <v>338</v>
      </c>
      <c r="F10" s="134">
        <v>43.0</v>
      </c>
      <c r="G10" s="134" t="s">
        <v>339</v>
      </c>
      <c r="H10" s="134" t="s">
        <v>340</v>
      </c>
      <c r="I10" s="134">
        <v>9.618025293E9</v>
      </c>
      <c r="J10" s="54">
        <v>21.0</v>
      </c>
      <c r="K10" s="55">
        <v>14.0</v>
      </c>
      <c r="L10" s="55">
        <v>1.0</v>
      </c>
      <c r="M10" s="55">
        <v>2.0</v>
      </c>
      <c r="N10" s="43">
        <f t="shared" si="1"/>
        <v>3</v>
      </c>
      <c r="O10" s="55">
        <v>11.0</v>
      </c>
      <c r="P10" s="55">
        <v>4.0</v>
      </c>
      <c r="Q10" s="43">
        <f t="shared" si="2"/>
        <v>18</v>
      </c>
      <c r="R10" s="43"/>
      <c r="S10" s="55" t="s">
        <v>88</v>
      </c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135" t="s">
        <v>4665</v>
      </c>
      <c r="C11" s="37" t="s">
        <v>4666</v>
      </c>
      <c r="D11" s="37" t="s">
        <v>4667</v>
      </c>
      <c r="E11" s="133" t="s">
        <v>338</v>
      </c>
      <c r="F11" s="134">
        <v>31.0</v>
      </c>
      <c r="G11" s="134" t="s">
        <v>339</v>
      </c>
      <c r="H11" s="134" t="s">
        <v>340</v>
      </c>
      <c r="I11" s="134">
        <v>9.171338382E9</v>
      </c>
      <c r="J11" s="54">
        <v>25.0</v>
      </c>
      <c r="K11" s="55">
        <v>21.0</v>
      </c>
      <c r="L11" s="55">
        <v>0.0</v>
      </c>
      <c r="M11" s="55">
        <v>3.0</v>
      </c>
      <c r="N11" s="43">
        <f t="shared" si="1"/>
        <v>3</v>
      </c>
      <c r="O11" s="55">
        <v>7.0</v>
      </c>
      <c r="P11" s="55">
        <v>1.0</v>
      </c>
      <c r="Q11" s="43">
        <f t="shared" si="2"/>
        <v>11</v>
      </c>
      <c r="R11" s="43"/>
      <c r="S11" s="55" t="s">
        <v>277</v>
      </c>
      <c r="T11" s="43" t="s">
        <v>116</v>
      </c>
      <c r="U11" s="43"/>
      <c r="V11" s="43"/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136" t="s">
        <v>4668</v>
      </c>
      <c r="C12" s="37" t="s">
        <v>4669</v>
      </c>
      <c r="D12" s="37" t="s">
        <v>4670</v>
      </c>
      <c r="E12" s="133" t="s">
        <v>338</v>
      </c>
      <c r="F12" s="134">
        <v>26.0</v>
      </c>
      <c r="G12" s="134" t="s">
        <v>339</v>
      </c>
      <c r="H12" s="134" t="s">
        <v>340</v>
      </c>
      <c r="I12" s="134">
        <v>9.942485954E9</v>
      </c>
      <c r="J12" s="42"/>
      <c r="K12" s="43"/>
      <c r="L12" s="43"/>
      <c r="M12" s="43"/>
      <c r="N12" s="43">
        <f t="shared" si="1"/>
        <v>0</v>
      </c>
      <c r="O12" s="43"/>
      <c r="P12" s="43"/>
      <c r="Q12" s="43">
        <f t="shared" si="2"/>
        <v>0</v>
      </c>
      <c r="R12" s="43"/>
      <c r="S12" s="43"/>
      <c r="T12" s="43"/>
      <c r="U12" s="43"/>
      <c r="V12" s="43"/>
      <c r="W12" s="44"/>
      <c r="Z12" s="34"/>
      <c r="AA12" s="60" t="s">
        <v>62</v>
      </c>
      <c r="AB12" s="58"/>
      <c r="AC12" s="58"/>
      <c r="AD12" s="46">
        <f>W157</f>
        <v>24</v>
      </c>
    </row>
    <row r="13" ht="13.5" customHeight="1">
      <c r="A13" s="28">
        <v>7.0</v>
      </c>
      <c r="B13" s="137" t="s">
        <v>4671</v>
      </c>
      <c r="C13" s="37" t="s">
        <v>4672</v>
      </c>
      <c r="D13" s="37" t="s">
        <v>297</v>
      </c>
      <c r="E13" s="133" t="s">
        <v>338</v>
      </c>
      <c r="F13" s="134">
        <v>30.0</v>
      </c>
      <c r="G13" s="134" t="s">
        <v>339</v>
      </c>
      <c r="H13" s="134" t="s">
        <v>340</v>
      </c>
      <c r="I13" s="134">
        <v>9.48201638E9</v>
      </c>
      <c r="J13" s="54">
        <v>25.0</v>
      </c>
      <c r="K13" s="55">
        <v>23.0</v>
      </c>
      <c r="L13" s="55">
        <v>1.0</v>
      </c>
      <c r="M13" s="55">
        <v>0.0</v>
      </c>
      <c r="N13" s="43">
        <f t="shared" si="1"/>
        <v>1</v>
      </c>
      <c r="O13" s="55">
        <v>7.0</v>
      </c>
      <c r="P13" s="55">
        <v>1.0</v>
      </c>
      <c r="Q13" s="43">
        <f t="shared" si="2"/>
        <v>9</v>
      </c>
      <c r="R13" s="43"/>
      <c r="S13" s="43" t="s">
        <v>116</v>
      </c>
      <c r="T13" s="43"/>
      <c r="U13" s="43"/>
      <c r="V13" s="43"/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135" t="s">
        <v>4673</v>
      </c>
      <c r="C14" s="37" t="s">
        <v>4674</v>
      </c>
      <c r="D14" s="37" t="s">
        <v>2921</v>
      </c>
      <c r="E14" s="133" t="s">
        <v>338</v>
      </c>
      <c r="F14" s="134">
        <v>30.0</v>
      </c>
      <c r="G14" s="134" t="s">
        <v>339</v>
      </c>
      <c r="H14" s="134" t="s">
        <v>340</v>
      </c>
      <c r="I14" s="134">
        <v>9.350113028E9</v>
      </c>
      <c r="J14" s="54">
        <v>27.0</v>
      </c>
      <c r="K14" s="55">
        <v>24.0</v>
      </c>
      <c r="L14" s="55">
        <v>0.0</v>
      </c>
      <c r="M14" s="55">
        <v>0.0</v>
      </c>
      <c r="N14" s="43">
        <f t="shared" si="1"/>
        <v>0</v>
      </c>
      <c r="O14" s="55">
        <v>2.0</v>
      </c>
      <c r="P14" s="55">
        <v>3.0</v>
      </c>
      <c r="Q14" s="43">
        <f t="shared" si="2"/>
        <v>5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135" t="s">
        <v>4675</v>
      </c>
      <c r="C15" s="37" t="s">
        <v>4676</v>
      </c>
      <c r="D15" s="37" t="s">
        <v>4677</v>
      </c>
      <c r="E15" s="133" t="s">
        <v>338</v>
      </c>
      <c r="F15" s="134">
        <v>30.0</v>
      </c>
      <c r="G15" s="134" t="s">
        <v>339</v>
      </c>
      <c r="H15" s="134" t="s">
        <v>340</v>
      </c>
      <c r="I15" s="134">
        <v>9.550924749E9</v>
      </c>
      <c r="J15" s="54">
        <v>30.0</v>
      </c>
      <c r="K15" s="55">
        <v>26.0</v>
      </c>
      <c r="L15" s="55">
        <v>0.0</v>
      </c>
      <c r="M15" s="55">
        <v>0.0</v>
      </c>
      <c r="N15" s="43">
        <f t="shared" si="1"/>
        <v>0</v>
      </c>
      <c r="O15" s="55">
        <v>2.0</v>
      </c>
      <c r="P15" s="55">
        <v>4.0</v>
      </c>
      <c r="Q15" s="43">
        <f t="shared" si="2"/>
        <v>6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1</v>
      </c>
      <c r="AC15" s="62"/>
      <c r="AD15" s="62"/>
    </row>
    <row r="16" ht="13.5" customHeight="1">
      <c r="A16" s="28">
        <v>10.0</v>
      </c>
      <c r="B16" s="135" t="s">
        <v>250</v>
      </c>
      <c r="C16" s="37" t="s">
        <v>4678</v>
      </c>
      <c r="D16" s="37" t="s">
        <v>4679</v>
      </c>
      <c r="E16" s="133" t="s">
        <v>338</v>
      </c>
      <c r="F16" s="134">
        <v>33.0</v>
      </c>
      <c r="G16" s="134" t="s">
        <v>385</v>
      </c>
      <c r="H16" s="134" t="s">
        <v>340</v>
      </c>
      <c r="I16" s="134">
        <v>9.66335545E9</v>
      </c>
      <c r="J16" s="42"/>
      <c r="K16" s="43"/>
      <c r="L16" s="43"/>
      <c r="M16" s="43"/>
      <c r="N16" s="43">
        <f t="shared" si="1"/>
        <v>0</v>
      </c>
      <c r="O16" s="43"/>
      <c r="P16" s="43"/>
      <c r="Q16" s="43">
        <f t="shared" si="2"/>
        <v>0</v>
      </c>
      <c r="R16" s="43"/>
      <c r="S16" s="43"/>
      <c r="T16" s="43"/>
      <c r="U16" s="43"/>
      <c r="V16" s="43"/>
      <c r="W16" s="44"/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135" t="s">
        <v>4680</v>
      </c>
      <c r="C17" s="37" t="s">
        <v>4681</v>
      </c>
      <c r="D17" s="37" t="s">
        <v>1405</v>
      </c>
      <c r="E17" s="133" t="s">
        <v>338</v>
      </c>
      <c r="F17" s="134">
        <v>25.0</v>
      </c>
      <c r="G17" s="134" t="s">
        <v>385</v>
      </c>
      <c r="H17" s="134" t="s">
        <v>340</v>
      </c>
      <c r="I17" s="134">
        <v>9.469800691E9</v>
      </c>
      <c r="J17" s="54">
        <v>31.0</v>
      </c>
      <c r="K17" s="55">
        <v>30.0</v>
      </c>
      <c r="L17" s="55">
        <v>0.0</v>
      </c>
      <c r="M17" s="55">
        <v>1.0</v>
      </c>
      <c r="N17" s="43">
        <f t="shared" si="1"/>
        <v>1</v>
      </c>
      <c r="O17" s="55">
        <v>1.0</v>
      </c>
      <c r="P17" s="55">
        <v>0.0</v>
      </c>
      <c r="Q17" s="43">
        <f t="shared" si="2"/>
        <v>2</v>
      </c>
      <c r="R17" s="43"/>
      <c r="S17" s="55" t="s">
        <v>277</v>
      </c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139" t="s">
        <v>4682</v>
      </c>
      <c r="C18" s="37" t="s">
        <v>4440</v>
      </c>
      <c r="D18" s="37" t="s">
        <v>4683</v>
      </c>
      <c r="E18" s="133" t="s">
        <v>338</v>
      </c>
      <c r="F18" s="134">
        <v>31.0</v>
      </c>
      <c r="G18" s="134" t="s">
        <v>339</v>
      </c>
      <c r="H18" s="134" t="s">
        <v>340</v>
      </c>
      <c r="I18" s="134">
        <v>9.335066433E9</v>
      </c>
      <c r="J18" s="54">
        <v>27.0</v>
      </c>
      <c r="K18" s="55">
        <v>26.0</v>
      </c>
      <c r="L18" s="55">
        <v>0.0</v>
      </c>
      <c r="M18" s="55">
        <v>0.0</v>
      </c>
      <c r="N18" s="43">
        <f t="shared" si="1"/>
        <v>0</v>
      </c>
      <c r="O18" s="55">
        <v>5.0</v>
      </c>
      <c r="P18" s="55">
        <v>1.0</v>
      </c>
      <c r="Q18" s="43">
        <f t="shared" si="2"/>
        <v>6</v>
      </c>
      <c r="R18" s="43"/>
      <c r="S18" s="43"/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2</v>
      </c>
      <c r="AC18" s="34"/>
      <c r="AD18" s="34"/>
    </row>
    <row r="19" ht="13.5" customHeight="1">
      <c r="A19" s="28">
        <v>13.0</v>
      </c>
      <c r="B19" s="140" t="s">
        <v>4684</v>
      </c>
      <c r="C19" s="37" t="s">
        <v>4685</v>
      </c>
      <c r="D19" s="37" t="s">
        <v>4686</v>
      </c>
      <c r="E19" s="133" t="s">
        <v>338</v>
      </c>
      <c r="F19" s="134">
        <v>47.0</v>
      </c>
      <c r="G19" s="134" t="s">
        <v>385</v>
      </c>
      <c r="H19" s="134" t="s">
        <v>839</v>
      </c>
      <c r="I19" s="134">
        <v>9.25869078E9</v>
      </c>
      <c r="J19" s="54">
        <v>29.0</v>
      </c>
      <c r="K19" s="55">
        <v>26.0</v>
      </c>
      <c r="L19" s="55">
        <v>0.0</v>
      </c>
      <c r="M19" s="55">
        <v>0.0</v>
      </c>
      <c r="N19" s="43">
        <f t="shared" si="1"/>
        <v>0</v>
      </c>
      <c r="O19" s="55">
        <v>3.0</v>
      </c>
      <c r="P19" s="55">
        <v>3.0</v>
      </c>
      <c r="Q19" s="43">
        <f t="shared" si="2"/>
        <v>6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0</v>
      </c>
      <c r="AC19" s="34"/>
      <c r="AD19" s="34"/>
    </row>
    <row r="20" ht="13.5" customHeight="1">
      <c r="A20" s="28">
        <v>14.0</v>
      </c>
      <c r="B20" s="137" t="s">
        <v>4687</v>
      </c>
      <c r="C20" s="37" t="s">
        <v>4688</v>
      </c>
      <c r="D20" s="37" t="s">
        <v>1316</v>
      </c>
      <c r="E20" s="133" t="s">
        <v>338</v>
      </c>
      <c r="F20" s="134">
        <v>34.0</v>
      </c>
      <c r="G20" s="134" t="s">
        <v>385</v>
      </c>
      <c r="H20" s="134" t="s">
        <v>340</v>
      </c>
      <c r="I20" s="134">
        <v>9.567219656E9</v>
      </c>
      <c r="J20" s="54">
        <v>25.0</v>
      </c>
      <c r="K20" s="55">
        <v>19.0</v>
      </c>
      <c r="L20" s="55">
        <v>0.0</v>
      </c>
      <c r="M20" s="55">
        <v>0.0</v>
      </c>
      <c r="N20" s="43">
        <f t="shared" si="1"/>
        <v>0</v>
      </c>
      <c r="O20" s="55">
        <v>7.0</v>
      </c>
      <c r="P20" s="55">
        <v>6.0</v>
      </c>
      <c r="Q20" s="43">
        <f t="shared" si="2"/>
        <v>13</v>
      </c>
      <c r="R20" s="43"/>
      <c r="S20" s="55" t="s">
        <v>277</v>
      </c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1</v>
      </c>
      <c r="AC20" s="34"/>
      <c r="AD20" s="34"/>
    </row>
    <row r="21" ht="13.5" customHeight="1">
      <c r="A21" s="28">
        <v>15.0</v>
      </c>
      <c r="B21" s="135" t="s">
        <v>4689</v>
      </c>
      <c r="C21" s="37" t="s">
        <v>1153</v>
      </c>
      <c r="D21" s="37" t="s">
        <v>4690</v>
      </c>
      <c r="E21" s="133" t="s">
        <v>338</v>
      </c>
      <c r="F21" s="134">
        <v>35.0</v>
      </c>
      <c r="G21" s="134" t="s">
        <v>339</v>
      </c>
      <c r="H21" s="134" t="s">
        <v>340</v>
      </c>
      <c r="I21" s="134">
        <v>9.333494509E9</v>
      </c>
      <c r="J21" s="54">
        <v>29.0</v>
      </c>
      <c r="K21" s="55">
        <v>22.0</v>
      </c>
      <c r="L21" s="55">
        <v>0.0</v>
      </c>
      <c r="M21" s="55">
        <v>4.0</v>
      </c>
      <c r="N21" s="43">
        <f t="shared" si="1"/>
        <v>4</v>
      </c>
      <c r="O21" s="55">
        <v>1.0</v>
      </c>
      <c r="P21" s="55">
        <v>3.0</v>
      </c>
      <c r="Q21" s="43">
        <f t="shared" si="2"/>
        <v>8</v>
      </c>
      <c r="R21" s="43"/>
      <c r="S21" s="43"/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135" t="s">
        <v>3892</v>
      </c>
      <c r="C22" s="37" t="s">
        <v>1293</v>
      </c>
      <c r="D22" s="37" t="s">
        <v>3893</v>
      </c>
      <c r="E22" s="133" t="s">
        <v>338</v>
      </c>
      <c r="F22" s="134">
        <v>40.0</v>
      </c>
      <c r="G22" s="134" t="s">
        <v>339</v>
      </c>
      <c r="H22" s="134" t="s">
        <v>340</v>
      </c>
      <c r="I22" s="134">
        <v>9.296788529E9</v>
      </c>
      <c r="J22" s="54">
        <v>27.0</v>
      </c>
      <c r="K22" s="55">
        <v>24.0</v>
      </c>
      <c r="L22" s="55">
        <v>0.0</v>
      </c>
      <c r="M22" s="55">
        <v>0.0</v>
      </c>
      <c r="N22" s="43">
        <f t="shared" si="1"/>
        <v>0</v>
      </c>
      <c r="O22" s="55">
        <v>5.0</v>
      </c>
      <c r="P22" s="55">
        <v>3.0</v>
      </c>
      <c r="Q22" s="43">
        <f t="shared" si="2"/>
        <v>8</v>
      </c>
      <c r="R22" s="43"/>
      <c r="S22" s="43"/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135" t="s">
        <v>1846</v>
      </c>
      <c r="C23" s="37" t="s">
        <v>3608</v>
      </c>
      <c r="D23" s="37" t="s">
        <v>4691</v>
      </c>
      <c r="E23" s="133" t="s">
        <v>338</v>
      </c>
      <c r="F23" s="134">
        <v>46.0</v>
      </c>
      <c r="G23" s="134" t="s">
        <v>339</v>
      </c>
      <c r="H23" s="134" t="s">
        <v>340</v>
      </c>
      <c r="I23" s="134">
        <v>9.282137E9</v>
      </c>
      <c r="J23" s="42"/>
      <c r="K23" s="43"/>
      <c r="L23" s="43"/>
      <c r="M23" s="43"/>
      <c r="N23" s="43">
        <f t="shared" si="1"/>
        <v>0</v>
      </c>
      <c r="O23" s="43"/>
      <c r="P23" s="43"/>
      <c r="Q23" s="43">
        <f t="shared" si="2"/>
        <v>0</v>
      </c>
      <c r="R23" s="43"/>
      <c r="S23" s="43"/>
      <c r="T23" s="43"/>
      <c r="U23" s="43"/>
      <c r="V23" s="43"/>
      <c r="W23" s="44"/>
      <c r="Z23" s="34"/>
      <c r="AA23" s="61" t="s">
        <v>109</v>
      </c>
      <c r="AB23" s="66">
        <f>COUNTIF(S7:S157, "Ortho")</f>
        <v>5</v>
      </c>
      <c r="AC23" s="34"/>
      <c r="AD23" s="34"/>
    </row>
    <row r="24" ht="13.5" customHeight="1">
      <c r="A24" s="28">
        <v>18.0</v>
      </c>
      <c r="B24" s="135" t="s">
        <v>4692</v>
      </c>
      <c r="C24" s="37" t="s">
        <v>4693</v>
      </c>
      <c r="D24" s="37" t="s">
        <v>4694</v>
      </c>
      <c r="E24" s="133" t="s">
        <v>338</v>
      </c>
      <c r="F24" s="134">
        <v>29.0</v>
      </c>
      <c r="G24" s="134" t="s">
        <v>339</v>
      </c>
      <c r="H24" s="134" t="s">
        <v>340</v>
      </c>
      <c r="I24" s="134">
        <v>9.051240917E9</v>
      </c>
      <c r="J24" s="42"/>
      <c r="K24" s="43"/>
      <c r="L24" s="43"/>
      <c r="M24" s="43"/>
      <c r="N24" s="43">
        <f t="shared" si="1"/>
        <v>0</v>
      </c>
      <c r="O24" s="43"/>
      <c r="P24" s="43"/>
      <c r="Q24" s="43">
        <f t="shared" si="2"/>
        <v>0</v>
      </c>
      <c r="R24" s="43"/>
      <c r="S24" s="43"/>
      <c r="T24" s="43"/>
      <c r="U24" s="43"/>
      <c r="V24" s="43"/>
      <c r="W24" s="44"/>
      <c r="Z24" s="34"/>
      <c r="AA24" s="34"/>
      <c r="AB24" s="34"/>
      <c r="AC24" s="34"/>
      <c r="AD24" s="34"/>
    </row>
    <row r="25" ht="13.5" customHeight="1">
      <c r="A25" s="28">
        <v>19.0</v>
      </c>
      <c r="B25" s="135" t="s">
        <v>2188</v>
      </c>
      <c r="C25" s="37" t="s">
        <v>4695</v>
      </c>
      <c r="D25" s="37" t="s">
        <v>2377</v>
      </c>
      <c r="E25" s="133" t="s">
        <v>338</v>
      </c>
      <c r="F25" s="134">
        <v>34.0</v>
      </c>
      <c r="G25" s="134" t="s">
        <v>339</v>
      </c>
      <c r="H25" s="134" t="s">
        <v>340</v>
      </c>
      <c r="I25" s="134">
        <v>9.605311196E9</v>
      </c>
      <c r="J25" s="54">
        <v>29.0</v>
      </c>
      <c r="K25" s="55">
        <v>21.0</v>
      </c>
      <c r="L25" s="55">
        <v>0.0</v>
      </c>
      <c r="M25" s="55">
        <v>0.0</v>
      </c>
      <c r="N25" s="43">
        <f t="shared" si="1"/>
        <v>0</v>
      </c>
      <c r="O25" s="55">
        <v>3.0</v>
      </c>
      <c r="P25" s="55">
        <v>8.0</v>
      </c>
      <c r="Q25" s="43">
        <f t="shared" si="2"/>
        <v>11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135" t="s">
        <v>4696</v>
      </c>
      <c r="C26" s="37" t="s">
        <v>4697</v>
      </c>
      <c r="D26" s="37" t="s">
        <v>4698</v>
      </c>
      <c r="E26" s="133" t="s">
        <v>338</v>
      </c>
      <c r="F26" s="134">
        <v>26.0</v>
      </c>
      <c r="G26" s="134" t="s">
        <v>339</v>
      </c>
      <c r="H26" s="134" t="s">
        <v>340</v>
      </c>
      <c r="I26" s="134">
        <v>9.515857977E9</v>
      </c>
      <c r="J26" s="54">
        <v>28.0</v>
      </c>
      <c r="K26" s="55">
        <v>24.0</v>
      </c>
      <c r="L26" s="55">
        <v>0.0</v>
      </c>
      <c r="M26" s="55">
        <v>0.0</v>
      </c>
      <c r="N26" s="43">
        <f t="shared" si="1"/>
        <v>0</v>
      </c>
      <c r="O26" s="55">
        <v>0.0</v>
      </c>
      <c r="P26" s="55">
        <v>4.0</v>
      </c>
      <c r="Q26" s="43">
        <f t="shared" si="2"/>
        <v>4</v>
      </c>
      <c r="R26" s="43"/>
      <c r="S26" s="55" t="s">
        <v>277</v>
      </c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139" t="s">
        <v>186</v>
      </c>
      <c r="C27" s="37" t="s">
        <v>4699</v>
      </c>
      <c r="D27" s="37" t="s">
        <v>981</v>
      </c>
      <c r="E27" s="133" t="s">
        <v>338</v>
      </c>
      <c r="F27" s="134">
        <v>30.0</v>
      </c>
      <c r="G27" s="134" t="s">
        <v>339</v>
      </c>
      <c r="H27" s="134" t="s">
        <v>833</v>
      </c>
      <c r="I27" s="134">
        <v>9.120967504E9</v>
      </c>
      <c r="J27" s="54">
        <v>26.0</v>
      </c>
      <c r="K27" s="55">
        <v>18.0</v>
      </c>
      <c r="L27" s="55">
        <v>0.0</v>
      </c>
      <c r="M27" s="55">
        <v>6.0</v>
      </c>
      <c r="N27" s="43">
        <f t="shared" si="1"/>
        <v>6</v>
      </c>
      <c r="O27" s="55">
        <v>6.0</v>
      </c>
      <c r="P27" s="55">
        <v>2.0</v>
      </c>
      <c r="Q27" s="43">
        <f t="shared" si="2"/>
        <v>14</v>
      </c>
      <c r="R27" s="43"/>
      <c r="S27" s="55" t="s">
        <v>277</v>
      </c>
      <c r="T27" s="43"/>
      <c r="U27" s="43"/>
      <c r="V27" s="43"/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137" t="s">
        <v>4700</v>
      </c>
      <c r="C28" s="37" t="s">
        <v>4701</v>
      </c>
      <c r="D28" s="37" t="s">
        <v>1424</v>
      </c>
      <c r="E28" s="133" t="s">
        <v>338</v>
      </c>
      <c r="F28" s="134">
        <v>26.0</v>
      </c>
      <c r="G28" s="134" t="s">
        <v>339</v>
      </c>
      <c r="H28" s="134" t="s">
        <v>340</v>
      </c>
      <c r="I28" s="134">
        <v>9.084841063E9</v>
      </c>
      <c r="J28" s="42"/>
      <c r="K28" s="43"/>
      <c r="L28" s="43"/>
      <c r="M28" s="43"/>
      <c r="N28" s="43">
        <f t="shared" si="1"/>
        <v>0</v>
      </c>
      <c r="O28" s="43"/>
      <c r="P28" s="43"/>
      <c r="Q28" s="43">
        <f t="shared" si="2"/>
        <v>0</v>
      </c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135" t="s">
        <v>1424</v>
      </c>
      <c r="C29" s="37" t="s">
        <v>4702</v>
      </c>
      <c r="D29" s="37" t="s">
        <v>2360</v>
      </c>
      <c r="E29" s="133" t="s">
        <v>338</v>
      </c>
      <c r="F29" s="134">
        <v>41.0</v>
      </c>
      <c r="G29" s="134" t="s">
        <v>339</v>
      </c>
      <c r="H29" s="134" t="s">
        <v>839</v>
      </c>
      <c r="I29" s="134">
        <v>9.482540123E9</v>
      </c>
      <c r="J29" s="54">
        <v>32.0</v>
      </c>
      <c r="K29" s="55">
        <v>29.0</v>
      </c>
      <c r="L29" s="55">
        <v>0.0</v>
      </c>
      <c r="M29" s="55">
        <v>3.0</v>
      </c>
      <c r="N29" s="43">
        <f t="shared" si="1"/>
        <v>3</v>
      </c>
      <c r="O29" s="55">
        <v>0.0</v>
      </c>
      <c r="P29" s="55">
        <v>0.0</v>
      </c>
      <c r="Q29" s="43">
        <f t="shared" si="2"/>
        <v>3</v>
      </c>
      <c r="R29" s="43"/>
      <c r="S29" s="43"/>
      <c r="T29" s="43"/>
      <c r="U29" s="43" t="s">
        <v>116</v>
      </c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135" t="s">
        <v>4703</v>
      </c>
      <c r="C30" s="37" t="s">
        <v>1193</v>
      </c>
      <c r="D30" s="37" t="s">
        <v>2602</v>
      </c>
      <c r="E30" s="133" t="s">
        <v>338</v>
      </c>
      <c r="F30" s="134">
        <v>28.0</v>
      </c>
      <c r="G30" s="134" t="s">
        <v>339</v>
      </c>
      <c r="H30" s="134" t="s">
        <v>833</v>
      </c>
      <c r="I30" s="134">
        <v>9.158121233E9</v>
      </c>
      <c r="J30" s="54">
        <v>20.0</v>
      </c>
      <c r="K30" s="55">
        <v>14.0</v>
      </c>
      <c r="L30" s="55">
        <v>0.0</v>
      </c>
      <c r="M30" s="55">
        <v>1.0</v>
      </c>
      <c r="N30" s="43">
        <f t="shared" si="1"/>
        <v>1</v>
      </c>
      <c r="O30" s="55">
        <v>12.0</v>
      </c>
      <c r="P30" s="55">
        <v>5.0</v>
      </c>
      <c r="Q30" s="43">
        <f t="shared" si="2"/>
        <v>18</v>
      </c>
      <c r="R30" s="43"/>
      <c r="S30" s="55" t="s">
        <v>237</v>
      </c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135" t="s">
        <v>4704</v>
      </c>
      <c r="C31" s="37" t="s">
        <v>2403</v>
      </c>
      <c r="D31" s="37" t="s">
        <v>4705</v>
      </c>
      <c r="E31" s="133" t="s">
        <v>338</v>
      </c>
      <c r="F31" s="134">
        <v>35.0</v>
      </c>
      <c r="G31" s="134" t="s">
        <v>339</v>
      </c>
      <c r="H31" s="134" t="s">
        <v>833</v>
      </c>
      <c r="I31" s="134">
        <v>9.383451156E9</v>
      </c>
      <c r="J31" s="54">
        <v>23.0</v>
      </c>
      <c r="K31" s="55">
        <v>20.0</v>
      </c>
      <c r="L31" s="55">
        <v>0.0</v>
      </c>
      <c r="M31" s="55">
        <v>0.0</v>
      </c>
      <c r="N31" s="43">
        <f t="shared" si="1"/>
        <v>0</v>
      </c>
      <c r="O31" s="55">
        <v>9.0</v>
      </c>
      <c r="P31" s="55">
        <v>3.0</v>
      </c>
      <c r="Q31" s="43">
        <f t="shared" si="2"/>
        <v>12</v>
      </c>
      <c r="R31" s="43"/>
      <c r="S31" s="55" t="s">
        <v>88</v>
      </c>
      <c r="T31" s="55" t="s">
        <v>140</v>
      </c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135" t="s">
        <v>4706</v>
      </c>
      <c r="C32" s="37" t="s">
        <v>1105</v>
      </c>
      <c r="D32" s="37" t="s">
        <v>1911</v>
      </c>
      <c r="E32" s="133" t="s">
        <v>338</v>
      </c>
      <c r="F32" s="134">
        <v>26.0</v>
      </c>
      <c r="G32" s="134" t="s">
        <v>385</v>
      </c>
      <c r="H32" s="134" t="s">
        <v>340</v>
      </c>
      <c r="I32" s="134">
        <v>9.936208742E9</v>
      </c>
      <c r="J32" s="54">
        <v>28.0</v>
      </c>
      <c r="K32" s="55">
        <v>27.0</v>
      </c>
      <c r="L32" s="55">
        <v>0.0</v>
      </c>
      <c r="M32" s="55">
        <v>1.0</v>
      </c>
      <c r="N32" s="43">
        <f t="shared" si="1"/>
        <v>1</v>
      </c>
      <c r="O32" s="55">
        <v>0.0</v>
      </c>
      <c r="P32" s="55">
        <v>0.0</v>
      </c>
      <c r="Q32" s="43">
        <f t="shared" si="2"/>
        <v>1</v>
      </c>
      <c r="R32" s="43"/>
      <c r="S32" s="43"/>
      <c r="T32" s="43"/>
      <c r="U32" s="43"/>
      <c r="V32" s="43"/>
      <c r="W32" s="56" t="s">
        <v>46</v>
      </c>
      <c r="Z32" s="61" t="s">
        <v>139</v>
      </c>
      <c r="AA32" s="61" t="s">
        <v>140</v>
      </c>
      <c r="AB32" s="66">
        <f>COUNTIF(T7:T157, "G")</f>
        <v>2</v>
      </c>
      <c r="AC32" s="34"/>
      <c r="AD32" s="34"/>
    </row>
    <row r="33" ht="13.5" customHeight="1">
      <c r="A33" s="28">
        <v>27.0</v>
      </c>
      <c r="B33" s="135" t="s">
        <v>4707</v>
      </c>
      <c r="C33" s="37" t="s">
        <v>4708</v>
      </c>
      <c r="D33" s="37" t="s">
        <v>4709</v>
      </c>
      <c r="E33" s="133" t="s">
        <v>338</v>
      </c>
      <c r="F33" s="134">
        <v>31.0</v>
      </c>
      <c r="G33" s="134" t="s">
        <v>339</v>
      </c>
      <c r="H33" s="134" t="s">
        <v>340</v>
      </c>
      <c r="I33" s="134">
        <v>9.568529704E9</v>
      </c>
      <c r="J33" s="42"/>
      <c r="K33" s="43"/>
      <c r="L33" s="43"/>
      <c r="M33" s="43"/>
      <c r="N33" s="43">
        <f t="shared" si="1"/>
        <v>0</v>
      </c>
      <c r="O33" s="43"/>
      <c r="P33" s="43"/>
      <c r="Q33" s="43">
        <f t="shared" si="2"/>
        <v>0</v>
      </c>
      <c r="R33" s="43"/>
      <c r="S33" s="43"/>
      <c r="T33" s="43"/>
      <c r="U33" s="43"/>
      <c r="V33" s="43"/>
      <c r="W33" s="44"/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139" t="s">
        <v>473</v>
      </c>
      <c r="C34" s="37" t="s">
        <v>4702</v>
      </c>
      <c r="D34" s="37" t="s">
        <v>4710</v>
      </c>
      <c r="E34" s="133" t="s">
        <v>338</v>
      </c>
      <c r="F34" s="134">
        <v>39.0</v>
      </c>
      <c r="G34" s="134" t="s">
        <v>339</v>
      </c>
      <c r="H34" s="134" t="s">
        <v>839</v>
      </c>
      <c r="I34" s="134">
        <v>9.099438927E9</v>
      </c>
      <c r="J34" s="54">
        <v>4.0</v>
      </c>
      <c r="K34" s="55">
        <v>2.0</v>
      </c>
      <c r="L34" s="55">
        <v>1.0</v>
      </c>
      <c r="M34" s="55">
        <v>0.0</v>
      </c>
      <c r="N34" s="43">
        <f t="shared" si="1"/>
        <v>1</v>
      </c>
      <c r="O34" s="55">
        <v>28.0</v>
      </c>
      <c r="P34" s="55">
        <v>1.0</v>
      </c>
      <c r="Q34" s="43">
        <f t="shared" si="2"/>
        <v>30</v>
      </c>
      <c r="R34" s="43"/>
      <c r="S34" s="55" t="s">
        <v>74</v>
      </c>
      <c r="T34" s="43"/>
      <c r="U34" s="43"/>
      <c r="V34" s="43"/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143" t="s">
        <v>477</v>
      </c>
      <c r="C35" s="37" t="s">
        <v>4711</v>
      </c>
      <c r="D35" s="37" t="s">
        <v>886</v>
      </c>
      <c r="E35" s="133" t="s">
        <v>338</v>
      </c>
      <c r="F35" s="134">
        <v>29.0</v>
      </c>
      <c r="G35" s="134" t="s">
        <v>339</v>
      </c>
      <c r="H35" s="134" t="s">
        <v>340</v>
      </c>
      <c r="I35" s="134">
        <v>9.993587454E9</v>
      </c>
      <c r="J35" s="161">
        <v>27.0</v>
      </c>
      <c r="K35" s="55">
        <v>22.0</v>
      </c>
      <c r="L35" s="55">
        <v>0.0</v>
      </c>
      <c r="M35" s="55">
        <v>5.0</v>
      </c>
      <c r="N35" s="43">
        <f t="shared" si="1"/>
        <v>5</v>
      </c>
      <c r="O35" s="55">
        <v>1.0</v>
      </c>
      <c r="P35" s="55">
        <v>0.0</v>
      </c>
      <c r="Q35" s="43">
        <f t="shared" si="2"/>
        <v>6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135" t="s">
        <v>4533</v>
      </c>
      <c r="C36" s="37" t="s">
        <v>4712</v>
      </c>
      <c r="D36" s="37" t="s">
        <v>4713</v>
      </c>
      <c r="E36" s="133" t="s">
        <v>338</v>
      </c>
      <c r="F36" s="134">
        <v>27.0</v>
      </c>
      <c r="G36" s="134" t="s">
        <v>339</v>
      </c>
      <c r="H36" s="134" t="s">
        <v>340</v>
      </c>
      <c r="I36" s="134">
        <v>9.463006906E9</v>
      </c>
      <c r="J36" s="87">
        <v>32.0</v>
      </c>
      <c r="K36" s="55">
        <v>11.0</v>
      </c>
      <c r="L36" s="55">
        <v>10.0</v>
      </c>
      <c r="M36" s="55">
        <v>9.0</v>
      </c>
      <c r="N36" s="43">
        <f t="shared" si="1"/>
        <v>19</v>
      </c>
      <c r="O36" s="55">
        <v>0.0</v>
      </c>
      <c r="P36" s="55">
        <v>2.0</v>
      </c>
      <c r="Q36" s="43">
        <f t="shared" si="2"/>
        <v>21</v>
      </c>
      <c r="R36" s="43"/>
      <c r="S36" s="43"/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135" t="s">
        <v>1518</v>
      </c>
      <c r="C37" s="37" t="s">
        <v>4714</v>
      </c>
      <c r="D37" s="37" t="s">
        <v>4715</v>
      </c>
      <c r="E37" s="133" t="s">
        <v>338</v>
      </c>
      <c r="F37" s="134">
        <v>41.0</v>
      </c>
      <c r="G37" s="134" t="s">
        <v>339</v>
      </c>
      <c r="H37" s="134" t="s">
        <v>833</v>
      </c>
      <c r="I37" s="163" t="s">
        <v>4716</v>
      </c>
      <c r="J37" s="87">
        <v>26.0</v>
      </c>
      <c r="K37" s="55">
        <v>22.0</v>
      </c>
      <c r="L37" s="55">
        <v>0.0</v>
      </c>
      <c r="M37" s="55">
        <v>2.0</v>
      </c>
      <c r="N37" s="43">
        <f t="shared" si="1"/>
        <v>2</v>
      </c>
      <c r="O37" s="55">
        <v>4.0</v>
      </c>
      <c r="P37" s="55">
        <v>2.0</v>
      </c>
      <c r="Q37" s="43">
        <f t="shared" si="2"/>
        <v>8</v>
      </c>
      <c r="R37" s="43"/>
      <c r="S37" s="43"/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4.25" customHeight="1">
      <c r="A38" s="28">
        <v>32.0</v>
      </c>
      <c r="B38" s="135" t="s">
        <v>2050</v>
      </c>
      <c r="C38" s="37" t="s">
        <v>4717</v>
      </c>
      <c r="D38" s="37" t="s">
        <v>4362</v>
      </c>
      <c r="E38" s="133" t="s">
        <v>338</v>
      </c>
      <c r="F38" s="134">
        <v>27.0</v>
      </c>
      <c r="G38" s="134" t="s">
        <v>339</v>
      </c>
      <c r="H38" s="134" t="s">
        <v>340</v>
      </c>
      <c r="I38" s="134">
        <v>9.161438965E9</v>
      </c>
      <c r="J38" s="83"/>
      <c r="K38" s="43"/>
      <c r="L38" s="43"/>
      <c r="M38" s="43"/>
      <c r="N38" s="43">
        <f t="shared" si="1"/>
        <v>0</v>
      </c>
      <c r="O38" s="43"/>
      <c r="P38" s="43"/>
      <c r="Q38" s="43">
        <f t="shared" si="2"/>
        <v>0</v>
      </c>
      <c r="R38" s="43"/>
      <c r="S38" s="43"/>
      <c r="T38" s="43"/>
      <c r="U38" s="43"/>
      <c r="V38" s="43"/>
      <c r="W38" s="44"/>
      <c r="Z38" s="61"/>
      <c r="AA38" s="61"/>
      <c r="AB38" s="66"/>
      <c r="AC38" s="34"/>
      <c r="AD38" s="34"/>
    </row>
    <row r="39" ht="13.5" customHeight="1">
      <c r="A39" s="28">
        <v>33.0</v>
      </c>
      <c r="B39" s="135" t="s">
        <v>1532</v>
      </c>
      <c r="C39" s="37" t="s">
        <v>4718</v>
      </c>
      <c r="D39" s="37" t="s">
        <v>4719</v>
      </c>
      <c r="E39" s="133" t="s">
        <v>338</v>
      </c>
      <c r="F39" s="134">
        <v>30.0</v>
      </c>
      <c r="G39" s="134" t="s">
        <v>339</v>
      </c>
      <c r="H39" s="134" t="s">
        <v>833</v>
      </c>
      <c r="I39" s="134">
        <v>9.156475533E9</v>
      </c>
      <c r="J39" s="87">
        <v>28.0</v>
      </c>
      <c r="K39" s="55">
        <v>22.0</v>
      </c>
      <c r="L39" s="55">
        <v>6.0</v>
      </c>
      <c r="M39" s="55">
        <v>0.0</v>
      </c>
      <c r="N39" s="43">
        <f t="shared" si="1"/>
        <v>6</v>
      </c>
      <c r="O39" s="55">
        <v>4.0</v>
      </c>
      <c r="P39" s="55">
        <v>0.0</v>
      </c>
      <c r="Q39" s="43">
        <f t="shared" si="2"/>
        <v>10</v>
      </c>
      <c r="R39" s="43"/>
      <c r="S39" s="43"/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135" t="s">
        <v>1582</v>
      </c>
      <c r="C40" s="37" t="s">
        <v>4720</v>
      </c>
      <c r="D40" s="37" t="s">
        <v>2805</v>
      </c>
      <c r="E40" s="133" t="s">
        <v>338</v>
      </c>
      <c r="F40" s="134">
        <v>33.0</v>
      </c>
      <c r="G40" s="134" t="s">
        <v>385</v>
      </c>
      <c r="H40" s="134" t="s">
        <v>833</v>
      </c>
      <c r="I40" s="134">
        <v>9.559162881E9</v>
      </c>
      <c r="J40" s="87">
        <v>30.0</v>
      </c>
      <c r="K40" s="55">
        <v>28.0</v>
      </c>
      <c r="L40" s="55">
        <v>2.0</v>
      </c>
      <c r="M40" s="55">
        <v>0.0</v>
      </c>
      <c r="N40" s="43">
        <f t="shared" si="1"/>
        <v>2</v>
      </c>
      <c r="O40" s="55">
        <v>2.0</v>
      </c>
      <c r="P40" s="55">
        <v>0.0</v>
      </c>
      <c r="Q40" s="43">
        <f t="shared" si="2"/>
        <v>4</v>
      </c>
      <c r="R40" s="43"/>
      <c r="S40" s="43"/>
      <c r="T40" s="55" t="s">
        <v>140</v>
      </c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404"/>
      <c r="C41" s="107"/>
      <c r="D41" s="107"/>
      <c r="E41" s="38"/>
      <c r="F41" s="405"/>
      <c r="G41" s="405"/>
      <c r="H41" s="405"/>
      <c r="I41" s="405"/>
      <c r="J41" s="83"/>
      <c r="K41" s="43"/>
      <c r="L41" s="43"/>
      <c r="M41" s="43"/>
      <c r="N41" s="43">
        <f t="shared" si="1"/>
        <v>0</v>
      </c>
      <c r="O41" s="43"/>
      <c r="P41" s="43"/>
      <c r="Q41" s="43">
        <f t="shared" si="2"/>
        <v>0</v>
      </c>
      <c r="R41" s="43"/>
      <c r="S41" s="43"/>
      <c r="T41" s="43"/>
      <c r="U41" s="43"/>
      <c r="V41" s="43"/>
      <c r="W41" s="44"/>
      <c r="Z41" s="61"/>
      <c r="AA41" s="61"/>
      <c r="AB41" s="66"/>
      <c r="AC41" s="34"/>
      <c r="AD41" s="34"/>
    </row>
    <row r="42" ht="13.5" customHeight="1">
      <c r="A42" s="28">
        <v>36.0</v>
      </c>
      <c r="B42" s="106"/>
      <c r="C42" s="106"/>
      <c r="D42" s="106"/>
      <c r="E42" s="38"/>
      <c r="F42" s="405"/>
      <c r="G42" s="405"/>
      <c r="H42" s="405"/>
      <c r="I42" s="405"/>
      <c r="J42" s="83"/>
      <c r="K42" s="43"/>
      <c r="L42" s="43"/>
      <c r="M42" s="43"/>
      <c r="N42" s="43">
        <f t="shared" si="1"/>
        <v>0</v>
      </c>
      <c r="O42" s="43"/>
      <c r="P42" s="43"/>
      <c r="Q42" s="43">
        <f t="shared" si="2"/>
        <v>0</v>
      </c>
      <c r="R42" s="43"/>
      <c r="S42" s="43"/>
      <c r="T42" s="43"/>
      <c r="U42" s="43"/>
      <c r="V42" s="43"/>
      <c r="W42" s="44"/>
      <c r="Z42" s="61"/>
      <c r="AA42" s="61"/>
      <c r="AB42" s="66"/>
      <c r="AC42" s="34"/>
      <c r="AD42" s="34"/>
    </row>
    <row r="43" ht="13.5" customHeight="1">
      <c r="A43" s="28">
        <v>37.0</v>
      </c>
      <c r="B43" s="406"/>
      <c r="C43" s="407"/>
      <c r="D43" s="407"/>
      <c r="E43" s="38"/>
      <c r="F43" s="405"/>
      <c r="G43" s="405"/>
      <c r="H43" s="405"/>
      <c r="I43" s="405"/>
      <c r="J43" s="83"/>
      <c r="K43" s="43"/>
      <c r="L43" s="43"/>
      <c r="M43" s="43"/>
      <c r="N43" s="43">
        <f t="shared" si="1"/>
        <v>0</v>
      </c>
      <c r="O43" s="43"/>
      <c r="P43" s="43"/>
      <c r="Q43" s="43">
        <f t="shared" si="2"/>
        <v>0</v>
      </c>
      <c r="R43" s="43"/>
      <c r="S43" s="43"/>
      <c r="T43" s="43"/>
      <c r="U43" s="43"/>
      <c r="V43" s="43"/>
      <c r="W43" s="44"/>
      <c r="Z43" s="61"/>
      <c r="AA43" s="61"/>
      <c r="AB43" s="66"/>
      <c r="AC43" s="34"/>
      <c r="AD43" s="34"/>
    </row>
    <row r="44" ht="13.5" customHeight="1">
      <c r="A44" s="28">
        <v>38.0</v>
      </c>
      <c r="B44" s="106"/>
      <c r="C44" s="106"/>
      <c r="D44" s="106"/>
      <c r="E44" s="109"/>
      <c r="F44" s="53"/>
      <c r="G44" s="82"/>
      <c r="H44" s="53"/>
      <c r="I44" s="82"/>
      <c r="J44" s="8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Z44" s="61"/>
      <c r="AA44" s="61"/>
      <c r="AB44" s="66"/>
      <c r="AC44" s="34"/>
      <c r="AD44" s="34"/>
    </row>
    <row r="45" ht="13.5" customHeight="1">
      <c r="A45" s="28">
        <v>39.0</v>
      </c>
      <c r="B45" s="112"/>
      <c r="C45" s="112"/>
      <c r="D45" s="112"/>
      <c r="E45" s="53"/>
      <c r="F45" s="53"/>
      <c r="G45" s="53"/>
      <c r="H45" s="53"/>
      <c r="I45" s="90"/>
      <c r="J45" s="8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Z45" s="61"/>
      <c r="AA45" s="61"/>
      <c r="AB45" s="66"/>
      <c r="AC45" s="34"/>
      <c r="AD45" s="34"/>
    </row>
    <row r="46" ht="13.5" customHeight="1">
      <c r="A46" s="28">
        <v>40.0</v>
      </c>
      <c r="B46" s="106"/>
      <c r="C46" s="106"/>
      <c r="D46" s="106"/>
      <c r="E46" s="53"/>
      <c r="F46" s="53"/>
      <c r="G46" s="53"/>
      <c r="H46" s="53"/>
      <c r="I46" s="82"/>
      <c r="J46" s="8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Z46" s="61"/>
      <c r="AA46" s="61"/>
      <c r="AB46" s="66"/>
      <c r="AC46" s="34"/>
      <c r="AD46" s="34"/>
    </row>
    <row r="47" ht="13.5" customHeight="1">
      <c r="A47" s="28">
        <v>41.0</v>
      </c>
      <c r="B47" s="106"/>
      <c r="C47" s="106"/>
      <c r="D47" s="106"/>
      <c r="E47" s="53"/>
      <c r="F47" s="53"/>
      <c r="G47" s="53"/>
      <c r="H47" s="53"/>
      <c r="I47" s="82"/>
      <c r="J47" s="8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Z47" s="61"/>
      <c r="AA47" s="61"/>
      <c r="AB47" s="66"/>
      <c r="AC47" s="34"/>
      <c r="AD47" s="34"/>
    </row>
    <row r="48" ht="13.5" customHeight="1">
      <c r="A48" s="28">
        <v>42.0</v>
      </c>
      <c r="B48" s="106"/>
      <c r="C48" s="106"/>
      <c r="D48" s="106"/>
      <c r="E48" s="53"/>
      <c r="F48" s="53"/>
      <c r="G48" s="53"/>
      <c r="H48" s="53"/>
      <c r="I48" s="82"/>
      <c r="J48" s="8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Z48" s="61"/>
      <c r="AA48" s="61"/>
      <c r="AB48" s="66"/>
      <c r="AC48" s="34"/>
      <c r="AD48" s="34"/>
    </row>
    <row r="49" ht="13.5" customHeight="1">
      <c r="A49" s="28">
        <v>43.0</v>
      </c>
      <c r="B49" s="106"/>
      <c r="C49" s="106"/>
      <c r="D49" s="106"/>
      <c r="E49" s="53"/>
      <c r="F49" s="53"/>
      <c r="G49" s="53"/>
      <c r="H49" s="53"/>
      <c r="I49" s="82"/>
      <c r="J49" s="8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Z49" s="61"/>
      <c r="AA49" s="61"/>
      <c r="AB49" s="66"/>
      <c r="AC49" s="34"/>
      <c r="AD49" s="34"/>
    </row>
    <row r="50" ht="13.5" customHeight="1">
      <c r="A50" s="28">
        <v>44.0</v>
      </c>
      <c r="B50" s="106"/>
      <c r="C50" s="106"/>
      <c r="D50" s="106"/>
      <c r="E50" s="53"/>
      <c r="F50" s="53"/>
      <c r="G50" s="53"/>
      <c r="H50" s="53"/>
      <c r="I50" s="82"/>
      <c r="J50" s="8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Z50" s="61"/>
      <c r="AA50" s="61"/>
      <c r="AB50" s="66"/>
      <c r="AC50" s="34"/>
      <c r="AD50" s="34"/>
    </row>
    <row r="51" ht="13.5" customHeight="1">
      <c r="A51" s="28">
        <v>45.0</v>
      </c>
      <c r="B51" s="106"/>
      <c r="C51" s="106"/>
      <c r="D51" s="106"/>
      <c r="E51" s="53"/>
      <c r="F51" s="53"/>
      <c r="G51" s="53"/>
      <c r="H51" s="53"/>
      <c r="I51" s="82"/>
      <c r="J51" s="8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Z51" s="61"/>
      <c r="AA51" s="61"/>
      <c r="AB51" s="66"/>
      <c r="AC51" s="34"/>
      <c r="AD51" s="34"/>
    </row>
    <row r="52" ht="13.5" customHeight="1">
      <c r="A52" s="28">
        <v>46.0</v>
      </c>
      <c r="B52" s="106"/>
      <c r="C52" s="106"/>
      <c r="D52" s="106"/>
      <c r="E52" s="53"/>
      <c r="F52" s="53"/>
      <c r="G52" s="53"/>
      <c r="H52" s="53"/>
      <c r="I52" s="82"/>
      <c r="J52" s="8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106"/>
      <c r="C53" s="106"/>
      <c r="D53" s="106"/>
      <c r="E53" s="53"/>
      <c r="F53" s="53"/>
      <c r="G53" s="53"/>
      <c r="H53" s="53"/>
      <c r="I53" s="82"/>
      <c r="J53" s="8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Z53" s="61"/>
      <c r="AA53" s="61"/>
      <c r="AB53" s="66"/>
      <c r="AC53" s="34"/>
      <c r="AD53" s="34"/>
    </row>
    <row r="54" ht="13.5" customHeight="1">
      <c r="A54" s="28">
        <v>48.0</v>
      </c>
      <c r="B54" s="106"/>
      <c r="C54" s="106"/>
      <c r="D54" s="106"/>
      <c r="E54" s="53"/>
      <c r="F54" s="53"/>
      <c r="G54" s="53"/>
      <c r="H54" s="53"/>
      <c r="I54" s="82"/>
      <c r="J54" s="8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Z54" s="61"/>
      <c r="AA54" s="61"/>
      <c r="AB54" s="66"/>
      <c r="AC54" s="34"/>
      <c r="AD54" s="34"/>
    </row>
    <row r="55" ht="13.5" customHeight="1">
      <c r="A55" s="28">
        <v>49.0</v>
      </c>
      <c r="B55" s="106"/>
      <c r="C55" s="106"/>
      <c r="D55" s="106"/>
      <c r="E55" s="53"/>
      <c r="F55" s="53"/>
      <c r="G55" s="53"/>
      <c r="H55" s="53"/>
      <c r="I55" s="82"/>
      <c r="J55" s="8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Z55" s="61"/>
      <c r="AA55" s="61"/>
      <c r="AB55" s="66"/>
      <c r="AC55" s="34"/>
      <c r="AD55" s="34"/>
    </row>
    <row r="56" ht="13.5" customHeight="1">
      <c r="A56" s="28">
        <v>50.0</v>
      </c>
      <c r="B56" s="106"/>
      <c r="C56" s="106"/>
      <c r="D56" s="106"/>
      <c r="E56" s="53"/>
      <c r="F56" s="53"/>
      <c r="G56" s="53"/>
      <c r="H56" s="53"/>
      <c r="I56" s="82"/>
      <c r="J56" s="8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Z56" s="61"/>
      <c r="AA56" s="61"/>
      <c r="AB56" s="66"/>
      <c r="AC56" s="34"/>
      <c r="AD56" s="34"/>
    </row>
    <row r="57" ht="13.5" customHeight="1">
      <c r="A57" s="28">
        <v>51.0</v>
      </c>
      <c r="B57" s="106"/>
      <c r="C57" s="106"/>
      <c r="D57" s="106"/>
      <c r="E57" s="53"/>
      <c r="F57" s="53"/>
      <c r="G57" s="53"/>
      <c r="H57" s="53"/>
      <c r="I57" s="82"/>
      <c r="J57" s="8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Z57" s="61"/>
      <c r="AA57" s="61"/>
      <c r="AB57" s="66"/>
      <c r="AC57" s="34"/>
      <c r="AD57" s="34"/>
    </row>
    <row r="58" ht="13.5" customHeight="1">
      <c r="A58" s="28">
        <v>52.0</v>
      </c>
      <c r="B58" s="106"/>
      <c r="C58" s="106"/>
      <c r="D58" s="106"/>
      <c r="E58" s="53"/>
      <c r="F58" s="53"/>
      <c r="G58" s="53"/>
      <c r="H58" s="53"/>
      <c r="I58" s="82"/>
      <c r="J58" s="8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Z58" s="61"/>
      <c r="AA58" s="61"/>
      <c r="AB58" s="66"/>
      <c r="AC58" s="34"/>
      <c r="AD58" s="34"/>
    </row>
    <row r="59" ht="13.5" customHeight="1">
      <c r="A59" s="28">
        <v>53.0</v>
      </c>
      <c r="B59" s="106"/>
      <c r="C59" s="106"/>
      <c r="D59" s="106"/>
      <c r="E59" s="53"/>
      <c r="F59" s="53"/>
      <c r="G59" s="53"/>
      <c r="H59" s="53"/>
      <c r="I59" s="82"/>
      <c r="J59" s="8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Z59" s="61"/>
      <c r="AA59" s="61"/>
      <c r="AB59" s="66"/>
      <c r="AC59" s="34"/>
      <c r="AD59" s="34"/>
    </row>
    <row r="60" ht="13.5" customHeight="1">
      <c r="A60" s="28">
        <v>54.0</v>
      </c>
      <c r="B60" s="106"/>
      <c r="C60" s="106"/>
      <c r="D60" s="106"/>
      <c r="E60" s="53"/>
      <c r="F60" s="53"/>
      <c r="G60" s="53"/>
      <c r="H60" s="53"/>
      <c r="I60" s="82"/>
      <c r="J60" s="8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Z60" s="61"/>
      <c r="AA60" s="61"/>
      <c r="AB60" s="66"/>
      <c r="AC60" s="34"/>
      <c r="AD60" s="34"/>
    </row>
    <row r="61" ht="13.5" customHeight="1">
      <c r="A61" s="28">
        <v>55.0</v>
      </c>
      <c r="B61" s="106"/>
      <c r="C61" s="106"/>
      <c r="D61" s="106"/>
      <c r="E61" s="53"/>
      <c r="F61" s="53"/>
      <c r="G61" s="53"/>
      <c r="H61" s="53"/>
      <c r="I61" s="82"/>
      <c r="J61" s="8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Z61" s="61"/>
      <c r="AA61" s="61"/>
      <c r="AB61" s="66"/>
      <c r="AC61" s="34"/>
      <c r="AD61" s="34"/>
    </row>
    <row r="62" ht="13.5" customHeight="1">
      <c r="A62" s="28">
        <v>56.0</v>
      </c>
      <c r="B62" s="106"/>
      <c r="C62" s="106"/>
      <c r="D62" s="106"/>
      <c r="E62" s="53"/>
      <c r="F62" s="53"/>
      <c r="G62" s="53"/>
      <c r="H62" s="53"/>
      <c r="I62" s="82"/>
      <c r="J62" s="8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Z62" s="61"/>
      <c r="AA62" s="61"/>
      <c r="AB62" s="66"/>
      <c r="AC62" s="34"/>
      <c r="AD62" s="34"/>
    </row>
    <row r="63" ht="13.5" customHeight="1">
      <c r="A63" s="28">
        <v>57.0</v>
      </c>
      <c r="B63" s="106"/>
      <c r="C63" s="106"/>
      <c r="D63" s="106"/>
      <c r="E63" s="53"/>
      <c r="F63" s="53"/>
      <c r="G63" s="53"/>
      <c r="H63" s="53"/>
      <c r="I63" s="82"/>
      <c r="J63" s="8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Z63" s="61"/>
      <c r="AA63" s="61"/>
      <c r="AB63" s="66"/>
      <c r="AC63" s="34"/>
      <c r="AD63" s="34"/>
    </row>
    <row r="64" ht="13.5" customHeight="1">
      <c r="A64" s="28">
        <v>58.0</v>
      </c>
      <c r="B64" s="106"/>
      <c r="C64" s="106"/>
      <c r="D64" s="106"/>
      <c r="E64" s="53"/>
      <c r="F64" s="53"/>
      <c r="G64" s="53"/>
      <c r="H64" s="53"/>
      <c r="I64" s="82"/>
      <c r="J64" s="8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Z64" s="61"/>
      <c r="AA64" s="61"/>
      <c r="AB64" s="66"/>
      <c r="AC64" s="34"/>
      <c r="AD64" s="34"/>
    </row>
    <row r="65" ht="13.5" customHeight="1">
      <c r="A65" s="28">
        <v>59.0</v>
      </c>
      <c r="B65" s="106"/>
      <c r="C65" s="106"/>
      <c r="D65" s="106"/>
      <c r="E65" s="53"/>
      <c r="F65" s="53"/>
      <c r="G65" s="53"/>
      <c r="H65" s="53"/>
      <c r="I65" s="82"/>
      <c r="J65" s="8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Z65" s="61"/>
      <c r="AA65" s="61"/>
      <c r="AB65" s="66"/>
      <c r="AC65" s="34"/>
      <c r="AD65" s="34"/>
    </row>
    <row r="66" ht="13.5" customHeight="1">
      <c r="A66" s="28">
        <v>60.0</v>
      </c>
      <c r="B66" s="106"/>
      <c r="C66" s="106"/>
      <c r="D66" s="106"/>
      <c r="E66" s="53"/>
      <c r="F66" s="53"/>
      <c r="G66" s="53"/>
      <c r="H66" s="53"/>
      <c r="I66" s="82"/>
      <c r="J66" s="8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Z66" s="61"/>
      <c r="AA66" s="61"/>
      <c r="AB66" s="66"/>
      <c r="AC66" s="34"/>
      <c r="AD66" s="34"/>
    </row>
    <row r="67" ht="13.5" customHeight="1">
      <c r="A67" s="28">
        <v>61.0</v>
      </c>
      <c r="B67" s="106"/>
      <c r="C67" s="106"/>
      <c r="D67" s="106"/>
      <c r="E67" s="53"/>
      <c r="F67" s="53"/>
      <c r="G67" s="53"/>
      <c r="H67" s="53"/>
      <c r="I67" s="82"/>
      <c r="J67" s="8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Z67" s="61"/>
      <c r="AA67" s="61"/>
      <c r="AB67" s="66"/>
      <c r="AC67" s="34"/>
      <c r="AD67" s="34"/>
    </row>
    <row r="68" ht="13.5" customHeight="1">
      <c r="A68" s="28">
        <v>62.0</v>
      </c>
      <c r="B68" s="106"/>
      <c r="C68" s="106"/>
      <c r="D68" s="106"/>
      <c r="E68" s="53"/>
      <c r="F68" s="53"/>
      <c r="G68" s="53"/>
      <c r="H68" s="53"/>
      <c r="I68" s="82"/>
      <c r="J68" s="8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Z68" s="61"/>
      <c r="AA68" s="61"/>
      <c r="AB68" s="66"/>
      <c r="AC68" s="34"/>
      <c r="AD68" s="34"/>
    </row>
    <row r="69" ht="13.5" customHeight="1">
      <c r="A69" s="28">
        <v>63.0</v>
      </c>
      <c r="B69" s="106"/>
      <c r="C69" s="106"/>
      <c r="D69" s="106"/>
      <c r="E69" s="53"/>
      <c r="F69" s="53"/>
      <c r="G69" s="53"/>
      <c r="H69" s="53"/>
      <c r="I69" s="82"/>
      <c r="J69" s="8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106"/>
      <c r="C70" s="106"/>
      <c r="D70" s="106"/>
      <c r="E70" s="53"/>
      <c r="F70" s="53"/>
      <c r="G70" s="53"/>
      <c r="H70" s="53"/>
      <c r="I70" s="82"/>
      <c r="J70" s="8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Z70" s="61"/>
      <c r="AA70" s="61"/>
      <c r="AB70" s="66"/>
      <c r="AC70" s="34"/>
      <c r="AD70" s="34"/>
    </row>
    <row r="71" ht="13.5" customHeight="1">
      <c r="A71" s="28">
        <v>65.0</v>
      </c>
      <c r="B71" s="106"/>
      <c r="C71" s="106"/>
      <c r="D71" s="106"/>
      <c r="E71" s="53"/>
      <c r="F71" s="53"/>
      <c r="G71" s="53"/>
      <c r="H71" s="53"/>
      <c r="I71" s="82"/>
      <c r="J71" s="8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Z71" s="61"/>
      <c r="AA71" s="61"/>
      <c r="AB71" s="66"/>
      <c r="AC71" s="34"/>
      <c r="AD71" s="34"/>
    </row>
    <row r="72" ht="13.5" customHeight="1">
      <c r="A72" s="28">
        <v>66.0</v>
      </c>
      <c r="B72" s="106"/>
      <c r="C72" s="106"/>
      <c r="D72" s="106"/>
      <c r="E72" s="53"/>
      <c r="F72" s="53"/>
      <c r="G72" s="53"/>
      <c r="H72" s="53"/>
      <c r="I72" s="82"/>
      <c r="J72" s="8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Z72" s="61"/>
      <c r="AA72" s="61"/>
      <c r="AB72" s="66"/>
      <c r="AC72" s="34"/>
      <c r="AD72" s="34"/>
    </row>
    <row r="73" ht="13.5" customHeight="1">
      <c r="A73" s="28">
        <v>67.0</v>
      </c>
      <c r="B73" s="106"/>
      <c r="C73" s="106"/>
      <c r="D73" s="106"/>
      <c r="E73" s="53"/>
      <c r="F73" s="53"/>
      <c r="G73" s="53"/>
      <c r="H73" s="53"/>
      <c r="I73" s="82"/>
      <c r="J73" s="8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Z73" s="61"/>
      <c r="AA73" s="61"/>
      <c r="AB73" s="66"/>
      <c r="AC73" s="34"/>
      <c r="AD73" s="34"/>
    </row>
    <row r="74" ht="13.5" customHeight="1">
      <c r="A74" s="28">
        <v>68.0</v>
      </c>
      <c r="B74" s="106"/>
      <c r="C74" s="106"/>
      <c r="D74" s="106"/>
      <c r="E74" s="53"/>
      <c r="F74" s="53"/>
      <c r="G74" s="53"/>
      <c r="H74" s="53"/>
      <c r="I74" s="82"/>
      <c r="J74" s="8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Z74" s="61"/>
      <c r="AA74" s="61"/>
      <c r="AB74" s="66"/>
      <c r="AC74" s="34"/>
      <c r="AD74" s="34"/>
    </row>
    <row r="75" ht="13.5" customHeight="1">
      <c r="A75" s="28">
        <v>69.0</v>
      </c>
      <c r="B75" s="106"/>
      <c r="C75" s="106"/>
      <c r="D75" s="106"/>
      <c r="E75" s="53"/>
      <c r="F75" s="53"/>
      <c r="G75" s="53"/>
      <c r="H75" s="53"/>
      <c r="I75" s="82"/>
      <c r="J75" s="8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Z75" s="61"/>
      <c r="AA75" s="61"/>
      <c r="AB75" s="66"/>
      <c r="AC75" s="34"/>
      <c r="AD75" s="34"/>
    </row>
    <row r="76" ht="13.5" customHeight="1">
      <c r="A76" s="28">
        <v>70.0</v>
      </c>
      <c r="B76" s="106"/>
      <c r="C76" s="106"/>
      <c r="D76" s="106"/>
      <c r="E76" s="53"/>
      <c r="F76" s="53"/>
      <c r="G76" s="53"/>
      <c r="H76" s="53"/>
      <c r="I76" s="53"/>
      <c r="J76" s="42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Z76" s="61"/>
      <c r="AA76" s="61"/>
      <c r="AB76" s="66"/>
      <c r="AC76" s="34"/>
      <c r="AD76" s="34"/>
    </row>
    <row r="77" ht="13.5" customHeight="1">
      <c r="A77" s="28">
        <v>71.0</v>
      </c>
      <c r="B77" s="106"/>
      <c r="C77" s="106"/>
      <c r="D77" s="106"/>
      <c r="E77" s="53"/>
      <c r="F77" s="53"/>
      <c r="G77" s="53"/>
      <c r="H77" s="53"/>
      <c r="I77" s="53"/>
      <c r="J77" s="42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Z77" s="61"/>
      <c r="AA77" s="61"/>
      <c r="AB77" s="66"/>
      <c r="AC77" s="34"/>
      <c r="AD77" s="34"/>
    </row>
    <row r="78" ht="13.5" customHeight="1">
      <c r="A78" s="28">
        <v>72.0</v>
      </c>
      <c r="B78" s="106"/>
      <c r="C78" s="106"/>
      <c r="D78" s="106"/>
      <c r="E78" s="53"/>
      <c r="F78" s="53"/>
      <c r="G78" s="53"/>
      <c r="H78" s="53"/>
      <c r="I78" s="53"/>
      <c r="J78" s="42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Z78" s="61"/>
      <c r="AA78" s="61"/>
      <c r="AB78" s="66"/>
      <c r="AC78" s="34"/>
      <c r="AD78" s="34"/>
    </row>
    <row r="79" ht="13.5" customHeight="1">
      <c r="A79" s="28">
        <v>73.0</v>
      </c>
      <c r="B79" s="106"/>
      <c r="C79" s="106"/>
      <c r="D79" s="106"/>
      <c r="E79" s="53"/>
      <c r="F79" s="53"/>
      <c r="G79" s="53"/>
      <c r="H79" s="53"/>
      <c r="I79" s="53"/>
      <c r="J79" s="42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Z79" s="61"/>
      <c r="AA79" s="61"/>
      <c r="AB79" s="66"/>
      <c r="AC79" s="34"/>
      <c r="AD79" s="34"/>
    </row>
    <row r="80" ht="13.5" customHeight="1">
      <c r="A80" s="28">
        <v>74.0</v>
      </c>
      <c r="B80" s="106"/>
      <c r="C80" s="106"/>
      <c r="D80" s="106"/>
      <c r="E80" s="53"/>
      <c r="F80" s="53"/>
      <c r="G80" s="53"/>
      <c r="H80" s="53"/>
      <c r="I80" s="53"/>
      <c r="J80" s="42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Z80" s="61"/>
      <c r="AA80" s="61"/>
      <c r="AB80" s="66"/>
      <c r="AC80" s="34"/>
      <c r="AD80" s="34"/>
    </row>
    <row r="81" ht="13.5" customHeight="1">
      <c r="A81" s="28">
        <v>75.0</v>
      </c>
      <c r="B81" s="106"/>
      <c r="C81" s="106"/>
      <c r="D81" s="106"/>
      <c r="E81" s="53"/>
      <c r="F81" s="53"/>
      <c r="G81" s="53"/>
      <c r="H81" s="53"/>
      <c r="I81" s="53"/>
      <c r="J81" s="42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Z81" s="61"/>
      <c r="AA81" s="61"/>
      <c r="AB81" s="66"/>
      <c r="AC81" s="34"/>
      <c r="AD81" s="34"/>
    </row>
    <row r="82" ht="13.5" customHeight="1">
      <c r="A82" s="28">
        <v>76.0</v>
      </c>
      <c r="B82" s="106"/>
      <c r="C82" s="106"/>
      <c r="D82" s="106"/>
      <c r="E82" s="53"/>
      <c r="F82" s="53"/>
      <c r="G82" s="53"/>
      <c r="H82" s="53"/>
      <c r="I82" s="53"/>
      <c r="J82" s="42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Z82" s="61"/>
      <c r="AA82" s="61"/>
      <c r="AB82" s="66"/>
      <c r="AC82" s="34"/>
      <c r="AD82" s="34"/>
    </row>
    <row r="83" ht="13.5" customHeight="1">
      <c r="A83" s="28">
        <v>77.0</v>
      </c>
      <c r="B83" s="106"/>
      <c r="C83" s="106"/>
      <c r="D83" s="106"/>
      <c r="E83" s="53"/>
      <c r="F83" s="53"/>
      <c r="G83" s="53"/>
      <c r="H83" s="53"/>
      <c r="I83" s="53"/>
      <c r="J83" s="42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Z83" s="61"/>
      <c r="AA83" s="61"/>
      <c r="AB83" s="66"/>
      <c r="AC83" s="34"/>
      <c r="AD83" s="34"/>
    </row>
    <row r="84" ht="13.5" customHeight="1">
      <c r="A84" s="28">
        <v>78.0</v>
      </c>
      <c r="B84" s="106"/>
      <c r="C84" s="106"/>
      <c r="D84" s="106"/>
      <c r="E84" s="53"/>
      <c r="F84" s="53"/>
      <c r="G84" s="53"/>
      <c r="H84" s="53"/>
      <c r="I84" s="53"/>
      <c r="J84" s="42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Z84" s="61"/>
      <c r="AA84" s="61"/>
      <c r="AB84" s="66"/>
      <c r="AC84" s="34"/>
      <c r="AD84" s="34"/>
    </row>
    <row r="85" ht="13.5" customHeight="1">
      <c r="A85" s="28">
        <v>79.0</v>
      </c>
      <c r="B85" s="106"/>
      <c r="C85" s="106"/>
      <c r="D85" s="106"/>
      <c r="E85" s="53"/>
      <c r="F85" s="53"/>
      <c r="G85" s="53"/>
      <c r="H85" s="53"/>
      <c r="I85" s="53"/>
      <c r="J85" s="4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Z85" s="61"/>
      <c r="AA85" s="61"/>
      <c r="AB85" s="66"/>
      <c r="AC85" s="34"/>
      <c r="AD85" s="34"/>
    </row>
    <row r="86" ht="13.5" customHeight="1">
      <c r="A86" s="28">
        <v>80.0</v>
      </c>
      <c r="B86" s="106"/>
      <c r="C86" s="106"/>
      <c r="D86" s="106"/>
      <c r="E86" s="53"/>
      <c r="F86" s="53"/>
      <c r="G86" s="53"/>
      <c r="H86" s="53"/>
      <c r="I86" s="53"/>
      <c r="J86" s="4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Z86" s="61"/>
      <c r="AA86" s="61"/>
      <c r="AB86" s="66"/>
      <c r="AC86" s="34"/>
      <c r="AD86" s="34"/>
    </row>
    <row r="87" ht="13.5" customHeight="1">
      <c r="A87" s="28">
        <v>81.0</v>
      </c>
      <c r="B87" s="106"/>
      <c r="C87" s="106"/>
      <c r="D87" s="106"/>
      <c r="E87" s="53"/>
      <c r="F87" s="53"/>
      <c r="G87" s="53"/>
      <c r="H87" s="53"/>
      <c r="I87" s="53"/>
      <c r="J87" s="4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106"/>
      <c r="C88" s="106"/>
      <c r="D88" s="106"/>
      <c r="E88" s="53"/>
      <c r="F88" s="53"/>
      <c r="G88" s="53"/>
      <c r="H88" s="53"/>
      <c r="I88" s="105"/>
      <c r="J88" s="4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Z88" s="61"/>
      <c r="AA88" s="61"/>
      <c r="AB88" s="66"/>
      <c r="AC88" s="34"/>
      <c r="AD88" s="34"/>
    </row>
    <row r="89" ht="13.5" customHeight="1">
      <c r="A89" s="28">
        <v>83.0</v>
      </c>
      <c r="B89" s="106"/>
      <c r="C89" s="106"/>
      <c r="D89" s="106"/>
      <c r="E89" s="53"/>
      <c r="F89" s="53"/>
      <c r="G89" s="53"/>
      <c r="H89" s="53"/>
      <c r="I89" s="53"/>
      <c r="J89" s="4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Z89" s="61"/>
      <c r="AA89" s="61"/>
      <c r="AB89" s="66"/>
      <c r="AC89" s="34"/>
      <c r="AD89" s="34"/>
    </row>
    <row r="90" ht="13.5" customHeight="1">
      <c r="A90" s="28">
        <v>84.0</v>
      </c>
      <c r="B90" s="106"/>
      <c r="C90" s="106"/>
      <c r="D90" s="106"/>
      <c r="E90" s="53"/>
      <c r="F90" s="53"/>
      <c r="G90" s="53"/>
      <c r="H90" s="53"/>
      <c r="I90" s="53"/>
      <c r="J90" s="4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106"/>
      <c r="C91" s="106"/>
      <c r="D91" s="106"/>
      <c r="E91" s="53"/>
      <c r="F91" s="53"/>
      <c r="G91" s="53"/>
      <c r="H91" s="53"/>
      <c r="I91" s="53"/>
      <c r="J91" s="42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Z91" s="61"/>
      <c r="AA91" s="61"/>
      <c r="AB91" s="66"/>
      <c r="AC91" s="34"/>
      <c r="AD91" s="34"/>
    </row>
    <row r="92" ht="13.5" customHeight="1">
      <c r="A92" s="28">
        <v>86.0</v>
      </c>
      <c r="B92" s="106"/>
      <c r="C92" s="106"/>
      <c r="D92" s="106"/>
      <c r="E92" s="53"/>
      <c r="F92" s="53"/>
      <c r="G92" s="53"/>
      <c r="H92" s="53"/>
      <c r="I92" s="53"/>
      <c r="J92" s="4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Z92" s="61"/>
      <c r="AA92" s="61"/>
      <c r="AB92" s="66"/>
      <c r="AC92" s="34"/>
      <c r="AD92" s="34"/>
    </row>
    <row r="93" ht="13.5" customHeight="1">
      <c r="A93" s="28">
        <v>87.0</v>
      </c>
      <c r="B93" s="106"/>
      <c r="C93" s="106"/>
      <c r="D93" s="106"/>
      <c r="E93" s="53"/>
      <c r="F93" s="53"/>
      <c r="G93" s="53"/>
      <c r="H93" s="53"/>
      <c r="I93" s="53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Z93" s="61"/>
      <c r="AA93" s="61"/>
      <c r="AB93" s="66"/>
      <c r="AC93" s="34"/>
      <c r="AD93" s="34"/>
    </row>
    <row r="94" ht="13.5" customHeight="1">
      <c r="A94" s="28">
        <v>88.0</v>
      </c>
      <c r="B94" s="106"/>
      <c r="C94" s="106"/>
      <c r="D94" s="106"/>
      <c r="E94" s="53"/>
      <c r="F94" s="53"/>
      <c r="G94" s="53"/>
      <c r="H94" s="53"/>
      <c r="I94" s="53"/>
      <c r="J94" s="42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Z94" s="61"/>
      <c r="AA94" s="61"/>
      <c r="AB94" s="66"/>
      <c r="AC94" s="34"/>
      <c r="AD94" s="34"/>
    </row>
    <row r="95" ht="13.5" customHeight="1">
      <c r="A95" s="28">
        <v>89.0</v>
      </c>
      <c r="B95" s="106"/>
      <c r="C95" s="106"/>
      <c r="D95" s="106"/>
      <c r="E95" s="53"/>
      <c r="F95" s="53"/>
      <c r="G95" s="53"/>
      <c r="H95" s="53"/>
      <c r="I95" s="53"/>
      <c r="J95" s="42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Z95" s="61"/>
      <c r="AA95" s="61"/>
      <c r="AB95" s="66"/>
      <c r="AC95" s="34"/>
      <c r="AD95" s="34"/>
    </row>
    <row r="96" ht="13.5" customHeight="1">
      <c r="A96" s="28">
        <v>90.0</v>
      </c>
      <c r="B96" s="107"/>
      <c r="C96" s="107"/>
      <c r="D96" s="107"/>
      <c r="E96" s="53"/>
      <c r="F96" s="53"/>
      <c r="G96" s="53"/>
      <c r="H96" s="53"/>
      <c r="I96" s="53"/>
      <c r="J96" s="42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Z96" s="61"/>
      <c r="AA96" s="61"/>
      <c r="AB96" s="66"/>
      <c r="AC96" s="34"/>
      <c r="AD96" s="34"/>
    </row>
    <row r="97" ht="13.5" customHeight="1">
      <c r="A97" s="28">
        <v>91.0</v>
      </c>
      <c r="B97" s="108"/>
      <c r="C97" s="108"/>
      <c r="D97" s="108"/>
      <c r="E97" s="109"/>
      <c r="F97" s="110"/>
      <c r="G97" s="53"/>
      <c r="H97" s="53"/>
      <c r="I97" s="111"/>
      <c r="J97" s="42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Z97" s="61"/>
      <c r="AA97" s="61"/>
      <c r="AB97" s="66"/>
      <c r="AC97" s="34"/>
      <c r="AD97" s="34"/>
    </row>
    <row r="98" ht="13.5" customHeight="1">
      <c r="A98" s="28">
        <v>92.0</v>
      </c>
      <c r="B98" s="112"/>
      <c r="C98" s="112"/>
      <c r="D98" s="112"/>
      <c r="E98" s="53"/>
      <c r="F98" s="53"/>
      <c r="G98" s="53"/>
      <c r="H98" s="53"/>
      <c r="I98" s="53"/>
      <c r="J98" s="42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Z98" s="61"/>
      <c r="AA98" s="61"/>
      <c r="AB98" s="66"/>
      <c r="AC98" s="34"/>
      <c r="AD98" s="34"/>
    </row>
    <row r="99" ht="13.5" customHeight="1">
      <c r="A99" s="28">
        <v>93.0</v>
      </c>
      <c r="B99" s="106"/>
      <c r="C99" s="106"/>
      <c r="D99" s="106"/>
      <c r="E99" s="53"/>
      <c r="F99" s="53"/>
      <c r="G99" s="53"/>
      <c r="H99" s="53"/>
      <c r="I99" s="53"/>
      <c r="J99" s="42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Z99" s="61"/>
      <c r="AA99" s="61"/>
      <c r="AB99" s="66"/>
      <c r="AC99" s="34"/>
      <c r="AD99" s="34"/>
    </row>
    <row r="100" ht="13.5" customHeight="1">
      <c r="A100" s="28">
        <v>94.0</v>
      </c>
      <c r="B100" s="106"/>
      <c r="C100" s="106"/>
      <c r="D100" s="106"/>
      <c r="E100" s="53"/>
      <c r="F100" s="53"/>
      <c r="G100" s="53"/>
      <c r="H100" s="53"/>
      <c r="I100" s="53"/>
      <c r="J100" s="42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Z100" s="61"/>
      <c r="AA100" s="61"/>
      <c r="AB100" s="66"/>
      <c r="AC100" s="34"/>
      <c r="AD100" s="34"/>
    </row>
    <row r="101" ht="13.5" customHeight="1">
      <c r="A101" s="28">
        <v>95.0</v>
      </c>
      <c r="B101" s="106"/>
      <c r="C101" s="106"/>
      <c r="D101" s="106"/>
      <c r="E101" s="53"/>
      <c r="F101" s="53"/>
      <c r="G101" s="53"/>
      <c r="H101" s="53"/>
      <c r="I101" s="53"/>
      <c r="J101" s="42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Z101" s="61"/>
      <c r="AA101" s="61"/>
      <c r="AB101" s="66"/>
      <c r="AC101" s="34"/>
      <c r="AD101" s="34"/>
    </row>
    <row r="102" ht="13.5" customHeight="1">
      <c r="A102" s="28">
        <v>96.0</v>
      </c>
      <c r="B102" s="106"/>
      <c r="C102" s="106"/>
      <c r="D102" s="106"/>
      <c r="E102" s="53"/>
      <c r="F102" s="53"/>
      <c r="G102" s="53"/>
      <c r="H102" s="53"/>
      <c r="I102" s="53"/>
      <c r="J102" s="42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106"/>
      <c r="C103" s="106"/>
      <c r="D103" s="106"/>
      <c r="E103" s="53"/>
      <c r="F103" s="53"/>
      <c r="G103" s="53"/>
      <c r="H103" s="53"/>
      <c r="I103" s="53"/>
      <c r="J103" s="4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Z103" s="61"/>
      <c r="AA103" s="61"/>
      <c r="AB103" s="66"/>
      <c r="AC103" s="34"/>
      <c r="AD103" s="34"/>
    </row>
    <row r="104" ht="13.5" customHeight="1">
      <c r="A104" s="28">
        <v>98.0</v>
      </c>
      <c r="B104" s="106"/>
      <c r="C104" s="106"/>
      <c r="D104" s="106"/>
      <c r="E104" s="53"/>
      <c r="F104" s="53"/>
      <c r="G104" s="53"/>
      <c r="H104" s="53"/>
      <c r="I104" s="53"/>
      <c r="J104" s="42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Z104" s="61"/>
      <c r="AA104" s="61"/>
      <c r="AB104" s="66"/>
      <c r="AC104" s="34"/>
      <c r="AD104" s="34"/>
    </row>
    <row r="105" ht="13.5" customHeight="1">
      <c r="A105" s="28">
        <v>99.0</v>
      </c>
      <c r="B105" s="106"/>
      <c r="C105" s="106"/>
      <c r="D105" s="106"/>
      <c r="E105" s="53"/>
      <c r="F105" s="53"/>
      <c r="G105" s="53"/>
      <c r="H105" s="53"/>
      <c r="I105" s="53"/>
      <c r="J105" s="42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Z105" s="61"/>
      <c r="AA105" s="61"/>
      <c r="AB105" s="66"/>
      <c r="AC105" s="34"/>
      <c r="AD105" s="34"/>
    </row>
    <row r="106" ht="13.5" customHeight="1">
      <c r="A106" s="28">
        <v>100.0</v>
      </c>
      <c r="B106" s="106"/>
      <c r="C106" s="106"/>
      <c r="D106" s="106"/>
      <c r="E106" s="53"/>
      <c r="F106" s="53"/>
      <c r="G106" s="53"/>
      <c r="H106" s="53"/>
      <c r="I106" s="53"/>
      <c r="J106" s="42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Z106" s="61"/>
      <c r="AA106" s="61"/>
      <c r="AB106" s="66"/>
      <c r="AC106" s="34"/>
      <c r="AD106" s="34"/>
    </row>
    <row r="107" ht="13.5" customHeight="1">
      <c r="A107" s="28">
        <v>101.0</v>
      </c>
      <c r="B107" s="106"/>
      <c r="C107" s="106"/>
      <c r="D107" s="106"/>
      <c r="E107" s="53"/>
      <c r="F107" s="53"/>
      <c r="G107" s="53"/>
      <c r="H107" s="53"/>
      <c r="I107" s="53"/>
      <c r="J107" s="42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Z107" s="61"/>
      <c r="AA107" s="61"/>
      <c r="AB107" s="66"/>
      <c r="AC107" s="34"/>
      <c r="AD107" s="34"/>
    </row>
    <row r="108" ht="13.5" customHeight="1">
      <c r="A108" s="28">
        <v>102.0</v>
      </c>
      <c r="B108" s="106"/>
      <c r="C108" s="106"/>
      <c r="D108" s="106"/>
      <c r="E108" s="53"/>
      <c r="F108" s="53"/>
      <c r="G108" s="53"/>
      <c r="H108" s="53"/>
      <c r="I108" s="53"/>
      <c r="J108" s="42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106"/>
      <c r="C109" s="106"/>
      <c r="D109" s="106"/>
      <c r="E109" s="53"/>
      <c r="F109" s="53"/>
      <c r="G109" s="53"/>
      <c r="H109" s="53"/>
      <c r="I109" s="53"/>
      <c r="J109" s="4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Z109" s="61"/>
      <c r="AA109" s="61"/>
      <c r="AB109" s="66"/>
      <c r="AC109" s="34"/>
      <c r="AD109" s="34"/>
    </row>
    <row r="110" ht="13.5" customHeight="1">
      <c r="A110" s="28">
        <v>104.0</v>
      </c>
      <c r="B110" s="106"/>
      <c r="C110" s="106"/>
      <c r="D110" s="106"/>
      <c r="E110" s="53"/>
      <c r="F110" s="53"/>
      <c r="G110" s="53"/>
      <c r="H110" s="53"/>
      <c r="I110" s="53"/>
      <c r="J110" s="42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Z110" s="61"/>
      <c r="AA110" s="61"/>
      <c r="AB110" s="66"/>
      <c r="AC110" s="34"/>
      <c r="AD110" s="34"/>
    </row>
    <row r="111" ht="13.5" customHeight="1">
      <c r="A111" s="28">
        <v>105.0</v>
      </c>
      <c r="B111" s="106"/>
      <c r="C111" s="106"/>
      <c r="D111" s="106"/>
      <c r="E111" s="53"/>
      <c r="F111" s="53"/>
      <c r="G111" s="53"/>
      <c r="H111" s="53"/>
      <c r="I111" s="53"/>
      <c r="J111" s="4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Z111" s="61"/>
      <c r="AA111" s="61"/>
      <c r="AB111" s="66"/>
      <c r="AC111" s="34"/>
      <c r="AD111" s="34"/>
    </row>
    <row r="112" ht="13.5" customHeight="1">
      <c r="A112" s="28">
        <v>106.0</v>
      </c>
      <c r="B112" s="106"/>
      <c r="C112" s="106"/>
      <c r="D112" s="106"/>
      <c r="E112" s="53"/>
      <c r="F112" s="53"/>
      <c r="G112" s="53"/>
      <c r="H112" s="53"/>
      <c r="I112" s="53"/>
      <c r="J112" s="4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Z112" s="61"/>
      <c r="AA112" s="61"/>
      <c r="AB112" s="66"/>
      <c r="AC112" s="34"/>
      <c r="AD112" s="34"/>
    </row>
    <row r="113" ht="13.5" customHeight="1">
      <c r="A113" s="28">
        <v>107.0</v>
      </c>
      <c r="B113" s="106"/>
      <c r="C113" s="106"/>
      <c r="D113" s="106"/>
      <c r="E113" s="53"/>
      <c r="F113" s="53"/>
      <c r="G113" s="53"/>
      <c r="H113" s="53"/>
      <c r="I113" s="53"/>
      <c r="J113" s="42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Z113" s="61"/>
      <c r="AA113" s="61"/>
      <c r="AB113" s="66"/>
      <c r="AC113" s="34"/>
      <c r="AD113" s="34"/>
    </row>
    <row r="114" ht="13.5" customHeight="1">
      <c r="A114" s="28">
        <v>108.0</v>
      </c>
      <c r="B114" s="106"/>
      <c r="C114" s="106"/>
      <c r="D114" s="106"/>
      <c r="E114" s="53"/>
      <c r="F114" s="53"/>
      <c r="G114" s="53"/>
      <c r="H114" s="53"/>
      <c r="I114" s="53"/>
      <c r="J114" s="4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Z114" s="61"/>
      <c r="AA114" s="61"/>
      <c r="AB114" s="66"/>
      <c r="AC114" s="34"/>
      <c r="AD114" s="34"/>
    </row>
    <row r="115" ht="13.5" customHeight="1">
      <c r="A115" s="28">
        <v>109.0</v>
      </c>
      <c r="B115" s="106"/>
      <c r="C115" s="106"/>
      <c r="D115" s="106"/>
      <c r="E115" s="53"/>
      <c r="F115" s="53"/>
      <c r="G115" s="53"/>
      <c r="H115" s="53"/>
      <c r="I115" s="53"/>
      <c r="J115" s="4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Z115" s="61"/>
      <c r="AA115" s="61"/>
      <c r="AB115" s="66"/>
      <c r="AC115" s="34"/>
      <c r="AD115" s="34"/>
    </row>
    <row r="116" ht="13.5" customHeight="1">
      <c r="A116" s="28">
        <v>110.0</v>
      </c>
      <c r="B116" s="106"/>
      <c r="C116" s="106"/>
      <c r="D116" s="106"/>
      <c r="E116" s="53"/>
      <c r="F116" s="53"/>
      <c r="G116" s="53"/>
      <c r="H116" s="53"/>
      <c r="I116" s="53"/>
      <c r="J116" s="4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Z116" s="61"/>
      <c r="AA116" s="61"/>
      <c r="AB116" s="66"/>
      <c r="AC116" s="34"/>
      <c r="AD116" s="34"/>
    </row>
    <row r="117" ht="13.5" customHeight="1">
      <c r="A117" s="28">
        <v>111.0</v>
      </c>
      <c r="B117" s="106"/>
      <c r="C117" s="106"/>
      <c r="D117" s="106"/>
      <c r="E117" s="53"/>
      <c r="F117" s="53"/>
      <c r="G117" s="53"/>
      <c r="H117" s="53"/>
      <c r="I117" s="53"/>
      <c r="J117" s="42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Z117" s="61"/>
      <c r="AA117" s="61"/>
      <c r="AB117" s="66"/>
      <c r="AC117" s="34"/>
      <c r="AD117" s="34"/>
    </row>
    <row r="118" ht="13.5" customHeight="1">
      <c r="A118" s="28">
        <v>112.0</v>
      </c>
      <c r="B118" s="106"/>
      <c r="C118" s="106"/>
      <c r="D118" s="106"/>
      <c r="E118" s="53"/>
      <c r="F118" s="53"/>
      <c r="G118" s="53"/>
      <c r="H118" s="53"/>
      <c r="I118" s="53"/>
      <c r="J118" s="42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Z118" s="61"/>
      <c r="AA118" s="61"/>
      <c r="AB118" s="66"/>
      <c r="AC118" s="34"/>
      <c r="AD118" s="34"/>
    </row>
    <row r="119" ht="13.5" customHeight="1">
      <c r="A119" s="28">
        <v>113.0</v>
      </c>
      <c r="B119" s="106"/>
      <c r="C119" s="106"/>
      <c r="D119" s="106"/>
      <c r="E119" s="53"/>
      <c r="F119" s="53"/>
      <c r="G119" s="53"/>
      <c r="H119" s="53"/>
      <c r="I119" s="53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106"/>
      <c r="C120" s="106"/>
      <c r="D120" s="106"/>
      <c r="E120" s="53"/>
      <c r="F120" s="53"/>
      <c r="G120" s="53"/>
      <c r="H120" s="53"/>
      <c r="I120" s="53"/>
      <c r="J120" s="42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Z120" s="61"/>
      <c r="AA120" s="61"/>
      <c r="AB120" s="66"/>
      <c r="AC120" s="34"/>
      <c r="AD120" s="34"/>
    </row>
    <row r="121" ht="13.5" customHeight="1">
      <c r="A121" s="28">
        <v>115.0</v>
      </c>
      <c r="B121" s="106"/>
      <c r="C121" s="106"/>
      <c r="D121" s="106"/>
      <c r="E121" s="53"/>
      <c r="F121" s="53"/>
      <c r="G121" s="53"/>
      <c r="H121" s="53"/>
      <c r="I121" s="53"/>
      <c r="J121" s="42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Z121" s="61"/>
      <c r="AA121" s="61"/>
      <c r="AB121" s="66"/>
      <c r="AC121" s="34"/>
      <c r="AD121" s="34"/>
    </row>
    <row r="122" ht="13.5" customHeight="1">
      <c r="A122" s="28">
        <v>116.0</v>
      </c>
      <c r="B122" s="106"/>
      <c r="C122" s="106"/>
      <c r="D122" s="106"/>
      <c r="E122" s="53"/>
      <c r="F122" s="53"/>
      <c r="G122" s="53"/>
      <c r="H122" s="53"/>
      <c r="I122" s="53"/>
      <c r="J122" s="42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Z122" s="61"/>
      <c r="AA122" s="61"/>
      <c r="AB122" s="66"/>
      <c r="AC122" s="34"/>
      <c r="AD122" s="34"/>
    </row>
    <row r="123" ht="13.5" customHeight="1">
      <c r="A123" s="28">
        <v>117.0</v>
      </c>
      <c r="B123" s="106"/>
      <c r="C123" s="106"/>
      <c r="D123" s="106"/>
      <c r="E123" s="53"/>
      <c r="F123" s="53"/>
      <c r="G123" s="53"/>
      <c r="H123" s="53"/>
      <c r="I123" s="53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106"/>
      <c r="C124" s="106"/>
      <c r="D124" s="106"/>
      <c r="E124" s="53"/>
      <c r="F124" s="53"/>
      <c r="G124" s="53"/>
      <c r="H124" s="53"/>
      <c r="I124" s="53"/>
      <c r="J124" s="42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Z124" s="61"/>
      <c r="AA124" s="61"/>
      <c r="AB124" s="66"/>
      <c r="AC124" s="34"/>
      <c r="AD124" s="34"/>
    </row>
    <row r="125" ht="13.5" customHeight="1">
      <c r="A125" s="28">
        <v>119.0</v>
      </c>
      <c r="B125" s="106"/>
      <c r="C125" s="106"/>
      <c r="D125" s="106"/>
      <c r="E125" s="53"/>
      <c r="F125" s="53"/>
      <c r="G125" s="53"/>
      <c r="H125" s="53"/>
      <c r="I125" s="53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Z125" s="61"/>
      <c r="AA125" s="61"/>
      <c r="AB125" s="66"/>
      <c r="AC125" s="34"/>
      <c r="AD125" s="34"/>
    </row>
    <row r="126" ht="13.5" customHeight="1">
      <c r="A126" s="28">
        <v>120.0</v>
      </c>
      <c r="B126" s="106"/>
      <c r="C126" s="106"/>
      <c r="D126" s="106"/>
      <c r="E126" s="53"/>
      <c r="F126" s="53"/>
      <c r="G126" s="53"/>
      <c r="H126" s="53"/>
      <c r="I126" s="53"/>
      <c r="J126" s="42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Z126" s="61"/>
      <c r="AA126" s="61"/>
      <c r="AB126" s="66"/>
      <c r="AC126" s="34"/>
      <c r="AD126" s="34"/>
    </row>
    <row r="127" ht="13.5" customHeight="1">
      <c r="A127" s="28">
        <v>121.0</v>
      </c>
      <c r="B127" s="106"/>
      <c r="C127" s="106"/>
      <c r="D127" s="106"/>
      <c r="E127" s="53"/>
      <c r="F127" s="53"/>
      <c r="G127" s="53"/>
      <c r="H127" s="53"/>
      <c r="I127" s="53"/>
      <c r="J127" s="42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Z127" s="61"/>
      <c r="AA127" s="61"/>
      <c r="AB127" s="66"/>
      <c r="AC127" s="34"/>
      <c r="AD127" s="34"/>
    </row>
    <row r="128" ht="13.5" customHeight="1">
      <c r="A128" s="28">
        <v>122.0</v>
      </c>
      <c r="B128" s="106"/>
      <c r="C128" s="106"/>
      <c r="D128" s="106"/>
      <c r="E128" s="53"/>
      <c r="F128" s="53"/>
      <c r="G128" s="53"/>
      <c r="H128" s="53"/>
      <c r="I128" s="53"/>
      <c r="J128" s="42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Z128" s="61"/>
      <c r="AA128" s="61"/>
      <c r="AB128" s="66"/>
      <c r="AC128" s="34"/>
      <c r="AD128" s="34"/>
    </row>
    <row r="129" ht="13.5" customHeight="1">
      <c r="A129" s="28">
        <v>123.0</v>
      </c>
      <c r="B129" s="106"/>
      <c r="C129" s="106"/>
      <c r="D129" s="106"/>
      <c r="E129" s="53"/>
      <c r="F129" s="53"/>
      <c r="G129" s="53"/>
      <c r="H129" s="53"/>
      <c r="I129" s="53"/>
      <c r="J129" s="42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106"/>
      <c r="C130" s="106"/>
      <c r="D130" s="106"/>
      <c r="E130" s="53"/>
      <c r="F130" s="53"/>
      <c r="G130" s="53"/>
      <c r="H130" s="53"/>
      <c r="I130" s="53"/>
      <c r="J130" s="42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Z130" s="61"/>
      <c r="AA130" s="61"/>
      <c r="AB130" s="66"/>
      <c r="AC130" s="34"/>
      <c r="AD130" s="34"/>
    </row>
    <row r="131" ht="13.5" customHeight="1">
      <c r="A131" s="28">
        <v>125.0</v>
      </c>
      <c r="B131" s="106"/>
      <c r="C131" s="106"/>
      <c r="D131" s="106"/>
      <c r="E131" s="53"/>
      <c r="F131" s="53"/>
      <c r="G131" s="53"/>
      <c r="H131" s="53"/>
      <c r="I131" s="53"/>
      <c r="J131" s="42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Z131" s="61"/>
      <c r="AA131" s="61"/>
      <c r="AB131" s="66"/>
      <c r="AC131" s="34"/>
      <c r="AD131" s="34"/>
    </row>
    <row r="132" ht="13.5" customHeight="1">
      <c r="A132" s="28">
        <v>126.0</v>
      </c>
      <c r="B132" s="107"/>
      <c r="C132" s="107"/>
      <c r="D132" s="107"/>
      <c r="E132" s="109"/>
      <c r="F132" s="53"/>
      <c r="G132" s="80"/>
      <c r="H132" s="53"/>
      <c r="I132" s="53"/>
      <c r="J132" s="42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Z132" s="61"/>
      <c r="AA132" s="61"/>
      <c r="AB132" s="66"/>
      <c r="AC132" s="34"/>
      <c r="AD132" s="34"/>
    </row>
    <row r="133" ht="13.5" customHeight="1">
      <c r="A133" s="28">
        <v>127.0</v>
      </c>
      <c r="B133" s="108"/>
      <c r="C133" s="108"/>
      <c r="D133" s="108"/>
      <c r="E133" s="113"/>
      <c r="F133" s="110"/>
      <c r="G133" s="53"/>
      <c r="H133" s="80"/>
      <c r="I133" s="111"/>
      <c r="J133" s="42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Z133" s="61"/>
      <c r="AA133" s="61"/>
      <c r="AB133" s="66"/>
      <c r="AC133" s="34"/>
      <c r="AD133" s="34"/>
    </row>
    <row r="134" ht="13.5" customHeight="1">
      <c r="A134" s="28">
        <v>128.0</v>
      </c>
      <c r="B134" s="108"/>
      <c r="C134" s="108"/>
      <c r="D134" s="108"/>
      <c r="E134" s="113"/>
      <c r="F134" s="50"/>
      <c r="G134" s="53"/>
      <c r="H134" s="53"/>
      <c r="I134" s="50"/>
      <c r="J134" s="42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Z134" s="61"/>
      <c r="AA134" s="61"/>
      <c r="AB134" s="66"/>
      <c r="AC134" s="34"/>
      <c r="AD134" s="34"/>
    </row>
    <row r="135" ht="13.5" customHeight="1">
      <c r="A135" s="28">
        <v>129.0</v>
      </c>
      <c r="B135" s="108"/>
      <c r="C135" s="108"/>
      <c r="D135" s="108"/>
      <c r="E135" s="113"/>
      <c r="F135" s="50"/>
      <c r="G135" s="53"/>
      <c r="H135" s="53"/>
      <c r="I135" s="50"/>
      <c r="J135" s="42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Z135" s="61"/>
      <c r="AA135" s="61"/>
      <c r="AB135" s="66"/>
      <c r="AC135" s="34"/>
      <c r="AD135" s="34"/>
    </row>
    <row r="136" ht="13.5" customHeight="1">
      <c r="A136" s="28">
        <v>130.0</v>
      </c>
      <c r="B136" s="108"/>
      <c r="C136" s="108"/>
      <c r="D136" s="108"/>
      <c r="E136" s="113"/>
      <c r="F136" s="50"/>
      <c r="G136" s="53"/>
      <c r="H136" s="53"/>
      <c r="I136" s="50"/>
      <c r="J136" s="42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Z136" s="61"/>
      <c r="AA136" s="61"/>
      <c r="AB136" s="66"/>
      <c r="AC136" s="34"/>
      <c r="AD136" s="34"/>
    </row>
    <row r="137" ht="13.5" customHeight="1">
      <c r="A137" s="28">
        <v>131.0</v>
      </c>
      <c r="B137" s="106"/>
      <c r="C137" s="106"/>
      <c r="D137" s="106"/>
      <c r="E137" s="113"/>
      <c r="F137" s="50"/>
      <c r="G137" s="53"/>
      <c r="H137" s="53"/>
      <c r="I137" s="50"/>
      <c r="J137" s="42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Z137" s="61"/>
      <c r="AA137" s="61"/>
      <c r="AB137" s="66"/>
      <c r="AC137" s="34"/>
      <c r="AD137" s="34"/>
    </row>
    <row r="138" ht="13.5" customHeight="1">
      <c r="A138" s="28">
        <v>132.0</v>
      </c>
      <c r="B138" s="106"/>
      <c r="C138" s="106"/>
      <c r="D138" s="106"/>
      <c r="E138" s="113"/>
      <c r="F138" s="53"/>
      <c r="G138" s="53"/>
      <c r="H138" s="53"/>
      <c r="I138" s="53"/>
      <c r="J138" s="42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Z138" s="61"/>
      <c r="AA138" s="61"/>
      <c r="AB138" s="66"/>
      <c r="AC138" s="34"/>
      <c r="AD138" s="34"/>
    </row>
    <row r="139" ht="13.5" customHeight="1">
      <c r="A139" s="28">
        <v>133.0</v>
      </c>
      <c r="B139" s="114"/>
      <c r="C139" s="108"/>
      <c r="D139" s="108"/>
      <c r="E139" s="113"/>
      <c r="F139" s="53"/>
      <c r="G139" s="53"/>
      <c r="H139" s="53"/>
      <c r="I139" s="53"/>
      <c r="J139" s="42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Z139" s="61"/>
      <c r="AA139" s="61"/>
      <c r="AB139" s="66"/>
      <c r="AC139" s="34"/>
      <c r="AD139" s="34"/>
    </row>
    <row r="140" ht="13.5" customHeight="1">
      <c r="A140" s="28">
        <v>134.0</v>
      </c>
      <c r="B140" s="106"/>
      <c r="C140" s="106"/>
      <c r="D140" s="106"/>
      <c r="E140" s="109"/>
      <c r="F140" s="53"/>
      <c r="G140" s="79"/>
      <c r="H140" s="53"/>
      <c r="I140" s="53"/>
      <c r="J140" s="42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Z140" s="61"/>
      <c r="AA140" s="61"/>
      <c r="AB140" s="66"/>
      <c r="AC140" s="34"/>
      <c r="AD140" s="34"/>
    </row>
    <row r="141" ht="13.5" customHeight="1">
      <c r="A141" s="28">
        <v>135.0</v>
      </c>
      <c r="B141" s="106"/>
      <c r="C141" s="106"/>
      <c r="D141" s="106"/>
      <c r="E141" s="109"/>
      <c r="F141" s="79"/>
      <c r="G141" s="53"/>
      <c r="H141" s="79"/>
      <c r="I141" s="79"/>
      <c r="J141" s="42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Z141" s="61"/>
      <c r="AA141" s="61"/>
      <c r="AB141" s="66"/>
      <c r="AC141" s="34"/>
      <c r="AD141" s="34"/>
    </row>
    <row r="142" ht="13.5" customHeight="1">
      <c r="A142" s="28">
        <v>136.0</v>
      </c>
      <c r="B142" s="106"/>
      <c r="C142" s="106"/>
      <c r="D142" s="106"/>
      <c r="E142" s="109"/>
      <c r="F142" s="53"/>
      <c r="G142" s="53"/>
      <c r="H142" s="53"/>
      <c r="I142" s="53"/>
      <c r="J142" s="42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Z142" s="61"/>
      <c r="AA142" s="61"/>
      <c r="AB142" s="66"/>
      <c r="AC142" s="34"/>
      <c r="AD142" s="34"/>
    </row>
    <row r="143" ht="13.5" customHeight="1">
      <c r="A143" s="28">
        <v>137.0</v>
      </c>
      <c r="B143" s="106"/>
      <c r="C143" s="106"/>
      <c r="D143" s="106"/>
      <c r="E143" s="109"/>
      <c r="F143" s="53"/>
      <c r="G143" s="53"/>
      <c r="H143" s="53"/>
      <c r="I143" s="53"/>
      <c r="J143" s="42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Z143" s="61"/>
      <c r="AA143" s="61"/>
      <c r="AB143" s="66"/>
      <c r="AC143" s="34"/>
      <c r="AD143" s="34"/>
    </row>
    <row r="144" ht="13.5" customHeight="1">
      <c r="A144" s="28">
        <v>138.0</v>
      </c>
      <c r="B144" s="106"/>
      <c r="C144" s="106"/>
      <c r="D144" s="106"/>
      <c r="E144" s="53"/>
      <c r="F144" s="53"/>
      <c r="G144" s="53"/>
      <c r="H144" s="53"/>
      <c r="I144" s="53"/>
      <c r="J144" s="42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Z144" s="61"/>
      <c r="AA144" s="61"/>
      <c r="AB144" s="66"/>
      <c r="AC144" s="34"/>
      <c r="AD144" s="34"/>
    </row>
    <row r="145" ht="13.5" customHeight="1">
      <c r="A145" s="28">
        <v>139.0</v>
      </c>
      <c r="B145" s="112"/>
      <c r="C145" s="112"/>
      <c r="D145" s="112"/>
      <c r="E145" s="53"/>
      <c r="F145" s="53"/>
      <c r="G145" s="53"/>
      <c r="H145" s="53"/>
      <c r="I145" s="53"/>
      <c r="J145" s="42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Z145" s="61"/>
      <c r="AA145" s="61"/>
      <c r="AB145" s="66"/>
      <c r="AC145" s="34"/>
      <c r="AD145" s="34"/>
    </row>
    <row r="146" ht="13.5" customHeight="1">
      <c r="A146" s="28">
        <v>140.0</v>
      </c>
      <c r="B146" s="106"/>
      <c r="C146" s="106"/>
      <c r="D146" s="106"/>
      <c r="E146" s="53"/>
      <c r="F146" s="53"/>
      <c r="G146" s="53"/>
      <c r="H146" s="53"/>
      <c r="I146" s="53"/>
      <c r="J146" s="42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Z146" s="61"/>
      <c r="AA146" s="61"/>
      <c r="AB146" s="66"/>
      <c r="AC146" s="34"/>
      <c r="AD146" s="34"/>
    </row>
    <row r="147" ht="13.5" customHeight="1">
      <c r="A147" s="28">
        <v>141.0</v>
      </c>
      <c r="B147" s="106"/>
      <c r="C147" s="106"/>
      <c r="D147" s="106"/>
      <c r="E147" s="53"/>
      <c r="F147" s="53"/>
      <c r="G147" s="53"/>
      <c r="H147" s="53"/>
      <c r="I147" s="53"/>
      <c r="J147" s="42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Z147" s="61"/>
      <c r="AA147" s="61"/>
      <c r="AB147" s="66"/>
      <c r="AC147" s="34"/>
      <c r="AD147" s="34"/>
    </row>
    <row r="148" ht="13.5" customHeight="1">
      <c r="A148" s="28">
        <v>142.0</v>
      </c>
      <c r="B148" s="106"/>
      <c r="C148" s="106"/>
      <c r="D148" s="106"/>
      <c r="E148" s="53"/>
      <c r="F148" s="53"/>
      <c r="G148" s="53"/>
      <c r="H148" s="53"/>
      <c r="I148" s="53"/>
      <c r="J148" s="42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Z148" s="61"/>
      <c r="AA148" s="61"/>
      <c r="AB148" s="66"/>
      <c r="AC148" s="34"/>
      <c r="AD148" s="34"/>
    </row>
    <row r="149" ht="13.5" customHeight="1">
      <c r="A149" s="28">
        <v>143.0</v>
      </c>
      <c r="B149" s="106"/>
      <c r="C149" s="106"/>
      <c r="D149" s="106"/>
      <c r="E149" s="53"/>
      <c r="F149" s="53"/>
      <c r="G149" s="53"/>
      <c r="H149" s="53"/>
      <c r="I149" s="53"/>
      <c r="J149" s="42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Z149" s="61"/>
      <c r="AA149" s="61"/>
      <c r="AB149" s="66"/>
      <c r="AC149" s="34"/>
      <c r="AD149" s="34"/>
    </row>
    <row r="150" ht="13.5" customHeight="1">
      <c r="A150" s="28">
        <v>144.0</v>
      </c>
      <c r="B150" s="107"/>
      <c r="C150" s="107"/>
      <c r="D150" s="107"/>
      <c r="E150" s="53"/>
      <c r="F150" s="53"/>
      <c r="G150" s="53"/>
      <c r="H150" s="53"/>
      <c r="I150" s="53"/>
      <c r="J150" s="42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Z150" s="61"/>
      <c r="AA150" s="61"/>
      <c r="AB150" s="66"/>
      <c r="AC150" s="34"/>
      <c r="AD150" s="34"/>
    </row>
    <row r="151" ht="13.5" customHeight="1">
      <c r="A151" s="28">
        <v>145.0</v>
      </c>
      <c r="B151" s="106"/>
      <c r="C151" s="106"/>
      <c r="D151" s="106"/>
      <c r="E151" s="109"/>
      <c r="F151" s="53"/>
      <c r="G151" s="53"/>
      <c r="H151" s="53"/>
      <c r="I151" s="53"/>
      <c r="J151" s="42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115"/>
      <c r="C152" s="115"/>
      <c r="D152" s="115"/>
      <c r="E152" s="109"/>
      <c r="F152" s="53"/>
      <c r="G152" s="53"/>
      <c r="H152" s="53"/>
      <c r="I152" s="53"/>
      <c r="J152" s="42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Z152" s="61"/>
      <c r="AA152" s="61"/>
      <c r="AB152" s="66"/>
      <c r="AC152" s="34"/>
      <c r="AD152" s="34"/>
    </row>
    <row r="153" ht="13.5" customHeight="1">
      <c r="A153" s="28">
        <v>147.0</v>
      </c>
      <c r="B153" s="112"/>
      <c r="C153" s="112"/>
      <c r="D153" s="112"/>
      <c r="E153" s="53"/>
      <c r="F153" s="53"/>
      <c r="G153" s="53"/>
      <c r="H153" s="53"/>
      <c r="I153" s="53"/>
      <c r="J153" s="42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117"/>
      <c r="F154" s="117"/>
      <c r="G154" s="117"/>
      <c r="H154" s="117"/>
      <c r="I154" s="117"/>
      <c r="J154" s="42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3">SUM(J7:J156)</f>
        <v>716</v>
      </c>
      <c r="K157" s="123">
        <f t="shared" si="3"/>
        <v>581</v>
      </c>
      <c r="L157" s="123">
        <f t="shared" si="3"/>
        <v>21</v>
      </c>
      <c r="M157" s="123">
        <f t="shared" si="3"/>
        <v>41</v>
      </c>
      <c r="N157" s="123">
        <f t="shared" si="3"/>
        <v>62</v>
      </c>
      <c r="O157" s="123">
        <f t="shared" si="3"/>
        <v>126</v>
      </c>
      <c r="P157" s="123">
        <f t="shared" si="3"/>
        <v>73</v>
      </c>
      <c r="Q157" s="123">
        <f t="shared" si="3"/>
        <v>261</v>
      </c>
      <c r="R157" s="124"/>
      <c r="S157" s="124"/>
      <c r="T157" s="125"/>
      <c r="U157" s="145" t="s">
        <v>330</v>
      </c>
      <c r="V157" s="5"/>
      <c r="W157" s="126">
        <f>countif(W7:W36,"YES")</f>
        <v>24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 t="s">
        <v>331</v>
      </c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0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6.25"/>
    <col customWidth="1" min="3" max="3" width="20.38"/>
    <col customWidth="1" min="4" max="4" width="16.0"/>
    <col customWidth="1" min="5" max="5" width="14.13"/>
    <col customWidth="1" min="6" max="6" width="8.63"/>
    <col customWidth="1" min="7" max="7" width="10.88"/>
    <col customWidth="1" min="8" max="8" width="15.88"/>
    <col customWidth="1" min="9" max="9" width="16.13"/>
    <col customWidth="1" min="10" max="10" width="13.63"/>
    <col customWidth="1" min="11" max="11" width="12.5"/>
    <col customWidth="1" min="12" max="12" width="12.25"/>
    <col customWidth="1" min="13" max="13" width="12.0"/>
    <col customWidth="1" min="14" max="18" width="8.63"/>
    <col customWidth="1" min="19" max="19" width="15.88"/>
    <col customWidth="1" min="20" max="20" width="15.25"/>
    <col customWidth="1" min="21" max="21" width="8.0"/>
    <col customWidth="1" min="22" max="22" width="18.13"/>
    <col customWidth="1" min="23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6.5" customHeight="1">
      <c r="A2" s="6" t="s">
        <v>1</v>
      </c>
      <c r="B2" s="5"/>
      <c r="C2" s="7" t="s">
        <v>4721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33.0" customHeight="1">
      <c r="A3" s="6" t="s">
        <v>3</v>
      </c>
      <c r="B3" s="5"/>
      <c r="C3" s="7" t="s">
        <v>4722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7" t="s">
        <v>4723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48.0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1121</v>
      </c>
      <c r="C7" s="37" t="s">
        <v>4724</v>
      </c>
      <c r="D7" s="37" t="s">
        <v>3721</v>
      </c>
      <c r="E7" s="133" t="s">
        <v>338</v>
      </c>
      <c r="F7" s="142"/>
      <c r="G7" s="142"/>
      <c r="H7" s="142"/>
      <c r="I7" s="142"/>
      <c r="J7" s="54">
        <v>23.0</v>
      </c>
      <c r="K7" s="55">
        <v>19.0</v>
      </c>
      <c r="L7" s="55">
        <v>0.0</v>
      </c>
      <c r="M7" s="55">
        <v>4.0</v>
      </c>
      <c r="N7" s="43">
        <f t="shared" ref="N7:N75" si="1">sum(L7:M7)</f>
        <v>4</v>
      </c>
      <c r="O7" s="55">
        <v>5.0</v>
      </c>
      <c r="P7" s="55">
        <v>0.0</v>
      </c>
      <c r="Q7" s="43">
        <f t="shared" ref="Q7:Q75" si="2">(N7+O7+P7)</f>
        <v>9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4725</v>
      </c>
      <c r="C8" s="37" t="s">
        <v>4726</v>
      </c>
      <c r="D8" s="37" t="s">
        <v>4727</v>
      </c>
      <c r="E8" s="133" t="s">
        <v>338</v>
      </c>
      <c r="F8" s="134">
        <v>58.0</v>
      </c>
      <c r="G8" s="134" t="s">
        <v>339</v>
      </c>
      <c r="H8" s="134" t="s">
        <v>4728</v>
      </c>
      <c r="I8" s="134">
        <v>9.985676547E9</v>
      </c>
      <c r="J8" s="54">
        <v>27.0</v>
      </c>
      <c r="K8" s="55">
        <v>23.0</v>
      </c>
      <c r="L8" s="55">
        <v>0.0</v>
      </c>
      <c r="M8" s="55">
        <v>0.0</v>
      </c>
      <c r="N8" s="43">
        <f t="shared" si="1"/>
        <v>0</v>
      </c>
      <c r="O8" s="55">
        <v>5.0</v>
      </c>
      <c r="P8" s="55">
        <v>3.0</v>
      </c>
      <c r="Q8" s="43">
        <f t="shared" si="2"/>
        <v>8</v>
      </c>
      <c r="R8" s="43"/>
      <c r="S8" s="43"/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151" t="s">
        <v>4729</v>
      </c>
      <c r="C9" s="37" t="s">
        <v>1533</v>
      </c>
      <c r="D9" s="37" t="s">
        <v>4730</v>
      </c>
      <c r="E9" s="133" t="s">
        <v>338</v>
      </c>
      <c r="F9" s="134">
        <v>47.0</v>
      </c>
      <c r="G9" s="134" t="s">
        <v>339</v>
      </c>
      <c r="H9" s="134" t="s">
        <v>4728</v>
      </c>
      <c r="I9" s="134">
        <v>9.178547956E9</v>
      </c>
      <c r="J9" s="54">
        <v>31.0</v>
      </c>
      <c r="K9" s="55">
        <v>27.0</v>
      </c>
      <c r="L9" s="55">
        <v>0.0</v>
      </c>
      <c r="M9" s="55">
        <v>0.0</v>
      </c>
      <c r="N9" s="43">
        <f t="shared" si="1"/>
        <v>0</v>
      </c>
      <c r="O9" s="55">
        <v>1.0</v>
      </c>
      <c r="P9" s="55">
        <v>4.0</v>
      </c>
      <c r="Q9" s="43">
        <f t="shared" si="2"/>
        <v>5</v>
      </c>
      <c r="R9" s="43"/>
      <c r="S9" s="43"/>
      <c r="T9" s="43"/>
      <c r="U9" s="43"/>
      <c r="V9" s="43"/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151" t="s">
        <v>4731</v>
      </c>
      <c r="C10" s="37" t="s">
        <v>33</v>
      </c>
      <c r="D10" s="37" t="s">
        <v>1735</v>
      </c>
      <c r="E10" s="133" t="s">
        <v>338</v>
      </c>
      <c r="F10" s="134">
        <v>51.0</v>
      </c>
      <c r="G10" s="134" t="s">
        <v>385</v>
      </c>
      <c r="H10" s="134" t="s">
        <v>2337</v>
      </c>
      <c r="I10" s="134">
        <v>9.476252116E9</v>
      </c>
      <c r="J10" s="54">
        <v>20.0</v>
      </c>
      <c r="K10" s="55">
        <v>12.0</v>
      </c>
      <c r="L10" s="55">
        <v>1.0</v>
      </c>
      <c r="M10" s="55">
        <v>3.0</v>
      </c>
      <c r="N10" s="43">
        <f t="shared" si="1"/>
        <v>4</v>
      </c>
      <c r="O10" s="55">
        <v>12.0</v>
      </c>
      <c r="P10" s="55">
        <v>4.0</v>
      </c>
      <c r="Q10" s="43">
        <f t="shared" si="2"/>
        <v>20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151" t="s">
        <v>1154</v>
      </c>
      <c r="C11" s="37" t="s">
        <v>4732</v>
      </c>
      <c r="D11" s="37" t="s">
        <v>4733</v>
      </c>
      <c r="E11" s="133" t="s">
        <v>338</v>
      </c>
      <c r="F11" s="134">
        <v>56.0</v>
      </c>
      <c r="G11" s="134" t="s">
        <v>339</v>
      </c>
      <c r="H11" s="134" t="s">
        <v>2337</v>
      </c>
      <c r="I11" s="134">
        <v>9.195779575E9</v>
      </c>
      <c r="J11" s="54">
        <v>18.0</v>
      </c>
      <c r="K11" s="55">
        <v>12.0</v>
      </c>
      <c r="L11" s="55">
        <v>0.0</v>
      </c>
      <c r="M11" s="55">
        <v>6.0</v>
      </c>
      <c r="N11" s="43">
        <f t="shared" si="1"/>
        <v>6</v>
      </c>
      <c r="O11" s="55">
        <v>14.0</v>
      </c>
      <c r="P11" s="55">
        <v>0.0</v>
      </c>
      <c r="Q11" s="43">
        <f t="shared" si="2"/>
        <v>20</v>
      </c>
      <c r="R11" s="43"/>
      <c r="S11" s="43"/>
      <c r="T11" s="43"/>
      <c r="U11" s="43"/>
      <c r="V11" s="43"/>
      <c r="W11" s="44"/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154" t="s">
        <v>4392</v>
      </c>
      <c r="C12" s="37" t="s">
        <v>1244</v>
      </c>
      <c r="D12" s="37" t="s">
        <v>4734</v>
      </c>
      <c r="E12" s="133" t="s">
        <v>338</v>
      </c>
      <c r="F12" s="134">
        <v>48.0</v>
      </c>
      <c r="G12" s="134" t="s">
        <v>385</v>
      </c>
      <c r="H12" s="134" t="s">
        <v>4735</v>
      </c>
      <c r="I12" s="134">
        <v>9.062576329E9</v>
      </c>
      <c r="J12" s="42"/>
      <c r="K12" s="43"/>
      <c r="L12" s="43"/>
      <c r="M12" s="43"/>
      <c r="N12" s="43">
        <f t="shared" si="1"/>
        <v>0</v>
      </c>
      <c r="O12" s="43"/>
      <c r="P12" s="43"/>
      <c r="Q12" s="43">
        <f t="shared" si="2"/>
        <v>0</v>
      </c>
      <c r="R12" s="43"/>
      <c r="S12" s="43"/>
      <c r="T12" s="43"/>
      <c r="U12" s="43"/>
      <c r="V12" s="43"/>
      <c r="W12" s="44"/>
      <c r="Z12" s="34"/>
      <c r="AA12" s="60" t="s">
        <v>62</v>
      </c>
      <c r="AB12" s="58"/>
      <c r="AC12" s="58"/>
      <c r="AD12" s="46">
        <f>W173</f>
        <v>150</v>
      </c>
    </row>
    <row r="13" ht="13.5" customHeight="1">
      <c r="A13" s="28">
        <v>7.0</v>
      </c>
      <c r="B13" s="155" t="s">
        <v>4736</v>
      </c>
      <c r="C13" s="37" t="s">
        <v>4737</v>
      </c>
      <c r="D13" s="37" t="s">
        <v>492</v>
      </c>
      <c r="E13" s="133" t="s">
        <v>338</v>
      </c>
      <c r="F13" s="134">
        <v>53.0</v>
      </c>
      <c r="G13" s="134" t="s">
        <v>339</v>
      </c>
      <c r="H13" s="134" t="s">
        <v>4738</v>
      </c>
      <c r="I13" s="134">
        <v>9.983794881E9</v>
      </c>
      <c r="J13" s="54">
        <v>22.0</v>
      </c>
      <c r="K13" s="55">
        <v>21.0</v>
      </c>
      <c r="L13" s="55">
        <v>0.0</v>
      </c>
      <c r="M13" s="55">
        <v>0.0</v>
      </c>
      <c r="N13" s="43">
        <f t="shared" si="1"/>
        <v>0</v>
      </c>
      <c r="O13" s="55">
        <v>8.0</v>
      </c>
      <c r="P13" s="55">
        <v>1.0</v>
      </c>
      <c r="Q13" s="43">
        <f t="shared" si="2"/>
        <v>9</v>
      </c>
      <c r="R13" s="43"/>
      <c r="S13" s="43"/>
      <c r="T13" s="43"/>
      <c r="U13" s="43"/>
      <c r="V13" s="55" t="s">
        <v>648</v>
      </c>
      <c r="W13" s="56" t="s">
        <v>46</v>
      </c>
      <c r="Z13" s="34"/>
      <c r="AA13" s="34"/>
      <c r="AB13" s="34"/>
      <c r="AC13" s="34"/>
      <c r="AD13" s="34"/>
    </row>
    <row r="14" ht="13.5" customHeight="1">
      <c r="A14" s="28">
        <v>8.0</v>
      </c>
      <c r="B14" s="151" t="s">
        <v>4739</v>
      </c>
      <c r="C14" s="37" t="s">
        <v>4740</v>
      </c>
      <c r="D14" s="99"/>
      <c r="E14" s="133" t="s">
        <v>338</v>
      </c>
      <c r="F14" s="408">
        <v>39.0</v>
      </c>
      <c r="G14" s="408" t="s">
        <v>584</v>
      </c>
      <c r="H14" s="408" t="s">
        <v>4741</v>
      </c>
      <c r="I14" s="142"/>
      <c r="J14" s="54">
        <v>26.0</v>
      </c>
      <c r="K14" s="55">
        <v>25.0</v>
      </c>
      <c r="L14" s="55">
        <v>0.0</v>
      </c>
      <c r="M14" s="55">
        <v>0.0</v>
      </c>
      <c r="N14" s="43">
        <f t="shared" si="1"/>
        <v>0</v>
      </c>
      <c r="O14" s="55">
        <v>6.0</v>
      </c>
      <c r="P14" s="55">
        <v>1.0</v>
      </c>
      <c r="Q14" s="43">
        <f t="shared" si="2"/>
        <v>7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151" t="s">
        <v>4742</v>
      </c>
      <c r="C15" s="37" t="s">
        <v>4743</v>
      </c>
      <c r="D15" s="37" t="s">
        <v>4744</v>
      </c>
      <c r="E15" s="133" t="s">
        <v>338</v>
      </c>
      <c r="F15" s="134">
        <v>41.0</v>
      </c>
      <c r="G15" s="134" t="s">
        <v>339</v>
      </c>
      <c r="H15" s="134" t="s">
        <v>663</v>
      </c>
      <c r="I15" s="134">
        <v>9.073076564E9</v>
      </c>
      <c r="J15" s="54">
        <v>28.0</v>
      </c>
      <c r="K15" s="55">
        <v>23.0</v>
      </c>
      <c r="L15" s="55">
        <v>0.0</v>
      </c>
      <c r="M15" s="55">
        <v>0.0</v>
      </c>
      <c r="N15" s="43">
        <f t="shared" si="1"/>
        <v>0</v>
      </c>
      <c r="O15" s="55">
        <v>4.0</v>
      </c>
      <c r="P15" s="55">
        <v>5.0</v>
      </c>
      <c r="Q15" s="43">
        <f t="shared" si="2"/>
        <v>9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1</v>
      </c>
      <c r="AC15" s="62"/>
      <c r="AD15" s="62"/>
    </row>
    <row r="16" ht="13.5" customHeight="1">
      <c r="A16" s="28">
        <v>10.0</v>
      </c>
      <c r="B16" s="151" t="s">
        <v>4745</v>
      </c>
      <c r="C16" s="37" t="s">
        <v>4746</v>
      </c>
      <c r="D16" s="37" t="s">
        <v>4747</v>
      </c>
      <c r="E16" s="133" t="s">
        <v>338</v>
      </c>
      <c r="F16" s="134">
        <v>44.0</v>
      </c>
      <c r="G16" s="134" t="s">
        <v>476</v>
      </c>
      <c r="H16" s="134" t="s">
        <v>663</v>
      </c>
      <c r="I16" s="134">
        <v>9.657228621E9</v>
      </c>
      <c r="J16" s="54">
        <v>25.0</v>
      </c>
      <c r="K16" s="55">
        <v>23.0</v>
      </c>
      <c r="L16" s="55">
        <v>0.0</v>
      </c>
      <c r="M16" s="55">
        <v>1.0</v>
      </c>
      <c r="N16" s="43">
        <f t="shared" si="1"/>
        <v>1</v>
      </c>
      <c r="O16" s="55">
        <v>7.0</v>
      </c>
      <c r="P16" s="55">
        <v>1.0</v>
      </c>
      <c r="Q16" s="43">
        <f t="shared" si="2"/>
        <v>9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21.0" customHeight="1">
      <c r="A17" s="28">
        <v>11.0</v>
      </c>
      <c r="B17" s="151" t="s">
        <v>2605</v>
      </c>
      <c r="C17" s="37" t="s">
        <v>4748</v>
      </c>
      <c r="D17" s="37" t="s">
        <v>492</v>
      </c>
      <c r="E17" s="133" t="s">
        <v>338</v>
      </c>
      <c r="F17" s="134">
        <v>42.0</v>
      </c>
      <c r="G17" s="134" t="s">
        <v>476</v>
      </c>
      <c r="H17" s="134" t="s">
        <v>663</v>
      </c>
      <c r="I17" s="134">
        <v>9.95866907E9</v>
      </c>
      <c r="J17" s="54">
        <v>27.0</v>
      </c>
      <c r="K17" s="55">
        <v>20.0</v>
      </c>
      <c r="L17" s="55">
        <v>0.0</v>
      </c>
      <c r="M17" s="55">
        <v>1.0</v>
      </c>
      <c r="N17" s="43">
        <f t="shared" si="1"/>
        <v>1</v>
      </c>
      <c r="O17" s="55">
        <v>3.0</v>
      </c>
      <c r="P17" s="55">
        <v>7.0</v>
      </c>
      <c r="Q17" s="43">
        <f t="shared" si="2"/>
        <v>11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8.0" customHeight="1">
      <c r="A18" s="28">
        <v>12.0</v>
      </c>
      <c r="B18" s="156" t="s">
        <v>3670</v>
      </c>
      <c r="C18" s="37" t="s">
        <v>4749</v>
      </c>
      <c r="D18" s="37" t="s">
        <v>1154</v>
      </c>
      <c r="E18" s="133" t="s">
        <v>338</v>
      </c>
      <c r="F18" s="134">
        <v>40.0</v>
      </c>
      <c r="G18" s="134" t="s">
        <v>385</v>
      </c>
      <c r="H18" s="134" t="s">
        <v>435</v>
      </c>
      <c r="I18" s="134">
        <v>9.755276143E9</v>
      </c>
      <c r="J18" s="54">
        <v>18.0</v>
      </c>
      <c r="K18" s="55">
        <v>11.0</v>
      </c>
      <c r="L18" s="55">
        <v>0.0</v>
      </c>
      <c r="M18" s="55">
        <v>0.0</v>
      </c>
      <c r="N18" s="43">
        <f t="shared" si="1"/>
        <v>0</v>
      </c>
      <c r="O18" s="55">
        <v>14.0</v>
      </c>
      <c r="P18" s="55">
        <v>6.0</v>
      </c>
      <c r="Q18" s="43">
        <f t="shared" si="2"/>
        <v>20</v>
      </c>
      <c r="R18" s="43"/>
      <c r="S18" s="43"/>
      <c r="T18" s="43"/>
      <c r="U18" s="43"/>
      <c r="V18" s="55" t="s">
        <v>1827</v>
      </c>
      <c r="W18" s="56" t="s">
        <v>46</v>
      </c>
      <c r="Z18" s="34"/>
      <c r="AA18" s="61" t="s">
        <v>88</v>
      </c>
      <c r="AB18" s="66">
        <f>COUNTIF(S7:S157, "RPDU")</f>
        <v>0</v>
      </c>
      <c r="AC18" s="34"/>
      <c r="AD18" s="34"/>
    </row>
    <row r="19" ht="13.5" customHeight="1">
      <c r="A19" s="28">
        <v>13.0</v>
      </c>
      <c r="B19" s="229" t="s">
        <v>3670</v>
      </c>
      <c r="C19" s="37" t="s">
        <v>4750</v>
      </c>
      <c r="D19" s="37" t="s">
        <v>4751</v>
      </c>
      <c r="E19" s="133" t="s">
        <v>338</v>
      </c>
      <c r="F19" s="134">
        <v>32.0</v>
      </c>
      <c r="G19" s="134" t="s">
        <v>339</v>
      </c>
      <c r="H19" s="134" t="s">
        <v>833</v>
      </c>
      <c r="I19" s="134">
        <v>9.309442678E9</v>
      </c>
      <c r="J19" s="54">
        <v>25.0</v>
      </c>
      <c r="K19" s="55">
        <v>22.0</v>
      </c>
      <c r="L19" s="55">
        <v>0.0</v>
      </c>
      <c r="M19" s="55">
        <v>3.0</v>
      </c>
      <c r="N19" s="43">
        <f t="shared" si="1"/>
        <v>3</v>
      </c>
      <c r="O19" s="55">
        <v>4.0</v>
      </c>
      <c r="P19" s="55">
        <v>0.0</v>
      </c>
      <c r="Q19" s="43">
        <f t="shared" si="2"/>
        <v>7</v>
      </c>
      <c r="R19" s="43"/>
      <c r="S19" s="43"/>
      <c r="T19" s="43"/>
      <c r="U19" s="43"/>
      <c r="V19" s="43"/>
      <c r="W19" s="56" t="s">
        <v>46</v>
      </c>
      <c r="Z19" s="34"/>
      <c r="AA19" s="61" t="s">
        <v>93</v>
      </c>
      <c r="AB19" s="66">
        <f>COUNTIF(S7:S157, "RPDL")</f>
        <v>1</v>
      </c>
      <c r="AC19" s="34"/>
      <c r="AD19" s="34"/>
    </row>
    <row r="20" ht="13.5" customHeight="1">
      <c r="A20" s="28">
        <v>14.0</v>
      </c>
      <c r="B20" s="155" t="s">
        <v>4752</v>
      </c>
      <c r="C20" s="37" t="s">
        <v>4753</v>
      </c>
      <c r="D20" s="37" t="s">
        <v>4421</v>
      </c>
      <c r="E20" s="133" t="s">
        <v>338</v>
      </c>
      <c r="F20" s="134">
        <v>37.0</v>
      </c>
      <c r="G20" s="134" t="s">
        <v>385</v>
      </c>
      <c r="H20" s="134" t="s">
        <v>340</v>
      </c>
      <c r="I20" s="134">
        <v>9.955252893E9</v>
      </c>
      <c r="J20" s="54">
        <v>27.0</v>
      </c>
      <c r="K20" s="55">
        <v>22.0</v>
      </c>
      <c r="L20" s="55">
        <v>1.0</v>
      </c>
      <c r="M20" s="55">
        <v>3.0</v>
      </c>
      <c r="N20" s="43">
        <f t="shared" si="1"/>
        <v>4</v>
      </c>
      <c r="O20" s="55">
        <v>5.0</v>
      </c>
      <c r="P20" s="55">
        <v>1.0</v>
      </c>
      <c r="Q20" s="43">
        <f t="shared" si="2"/>
        <v>10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0</v>
      </c>
      <c r="AC20" s="34"/>
      <c r="AD20" s="34"/>
    </row>
    <row r="21" ht="13.5" customHeight="1">
      <c r="A21" s="28">
        <v>15.0</v>
      </c>
      <c r="B21" s="151" t="s">
        <v>4754</v>
      </c>
      <c r="C21" s="37" t="s">
        <v>4755</v>
      </c>
      <c r="D21" s="37" t="s">
        <v>4756</v>
      </c>
      <c r="E21" s="133" t="s">
        <v>338</v>
      </c>
      <c r="F21" s="134">
        <v>37.0</v>
      </c>
      <c r="G21" s="134" t="s">
        <v>339</v>
      </c>
      <c r="H21" s="134" t="s">
        <v>435</v>
      </c>
      <c r="I21" s="134">
        <v>9.178700325E9</v>
      </c>
      <c r="J21" s="54">
        <v>28.0</v>
      </c>
      <c r="K21" s="55">
        <v>22.0</v>
      </c>
      <c r="L21" s="55">
        <v>1.0</v>
      </c>
      <c r="M21" s="55">
        <v>4.0</v>
      </c>
      <c r="N21" s="43">
        <f t="shared" si="1"/>
        <v>5</v>
      </c>
      <c r="O21" s="55">
        <v>4.0</v>
      </c>
      <c r="P21" s="55">
        <v>1.0</v>
      </c>
      <c r="Q21" s="43">
        <f t="shared" si="2"/>
        <v>10</v>
      </c>
      <c r="R21" s="43"/>
      <c r="S21" s="43"/>
      <c r="T21" s="43"/>
      <c r="U21" s="43"/>
      <c r="V21" s="55" t="s">
        <v>4757</v>
      </c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151" t="s">
        <v>2408</v>
      </c>
      <c r="C22" s="37" t="s">
        <v>4758</v>
      </c>
      <c r="D22" s="37" t="s">
        <v>886</v>
      </c>
      <c r="E22" s="133" t="s">
        <v>338</v>
      </c>
      <c r="F22" s="134">
        <v>36.0</v>
      </c>
      <c r="G22" s="134" t="s">
        <v>584</v>
      </c>
      <c r="H22" s="134" t="s">
        <v>646</v>
      </c>
      <c r="I22" s="134">
        <v>9.605311353E9</v>
      </c>
      <c r="J22" s="54">
        <v>30.0</v>
      </c>
      <c r="K22" s="55">
        <v>29.0</v>
      </c>
      <c r="L22" s="55">
        <v>0.0</v>
      </c>
      <c r="M22" s="55">
        <v>0.0</v>
      </c>
      <c r="N22" s="43">
        <f t="shared" si="1"/>
        <v>0</v>
      </c>
      <c r="O22" s="55">
        <v>2.0</v>
      </c>
      <c r="P22" s="55">
        <v>1.0</v>
      </c>
      <c r="Q22" s="43">
        <f t="shared" si="2"/>
        <v>3</v>
      </c>
      <c r="R22" s="43"/>
      <c r="S22" s="43"/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151" t="s">
        <v>2954</v>
      </c>
      <c r="C23" s="37" t="s">
        <v>4759</v>
      </c>
      <c r="D23" s="37" t="s">
        <v>2954</v>
      </c>
      <c r="E23" s="133" t="s">
        <v>338</v>
      </c>
      <c r="F23" s="134">
        <v>43.0</v>
      </c>
      <c r="G23" s="134" t="s">
        <v>339</v>
      </c>
      <c r="H23" s="134" t="s">
        <v>2672</v>
      </c>
      <c r="I23" s="134">
        <v>9.955592566E9</v>
      </c>
      <c r="J23" s="54">
        <v>26.0</v>
      </c>
      <c r="K23" s="55">
        <v>23.0</v>
      </c>
      <c r="L23" s="55">
        <v>0.0</v>
      </c>
      <c r="M23" s="55">
        <v>0.0</v>
      </c>
      <c r="N23" s="43">
        <f t="shared" si="1"/>
        <v>0</v>
      </c>
      <c r="O23" s="55">
        <v>6.0</v>
      </c>
      <c r="P23" s="55">
        <v>3.0</v>
      </c>
      <c r="Q23" s="43">
        <f t="shared" si="2"/>
        <v>9</v>
      </c>
      <c r="R23" s="43"/>
      <c r="S23" s="43"/>
      <c r="T23" s="43"/>
      <c r="U23" s="43"/>
      <c r="V23" s="43"/>
      <c r="W23" s="56" t="s">
        <v>46</v>
      </c>
      <c r="Z23" s="34"/>
      <c r="AA23" s="61" t="s">
        <v>109</v>
      </c>
      <c r="AB23" s="66">
        <f>COUNTIF(S7:S157, "Ortho")</f>
        <v>1</v>
      </c>
      <c r="AC23" s="34"/>
      <c r="AD23" s="34"/>
    </row>
    <row r="24" ht="13.5" customHeight="1">
      <c r="A24" s="28">
        <v>18.0</v>
      </c>
      <c r="B24" s="151" t="s">
        <v>4760</v>
      </c>
      <c r="C24" s="37" t="s">
        <v>4761</v>
      </c>
      <c r="D24" s="99"/>
      <c r="E24" s="133" t="s">
        <v>338</v>
      </c>
      <c r="F24" s="134">
        <v>48.0</v>
      </c>
      <c r="G24" s="134" t="s">
        <v>339</v>
      </c>
      <c r="H24" s="134" t="s">
        <v>3143</v>
      </c>
      <c r="I24" s="134">
        <v>9.194278109E9</v>
      </c>
      <c r="J24" s="54">
        <v>31.0</v>
      </c>
      <c r="K24" s="55">
        <v>31.0</v>
      </c>
      <c r="L24" s="55">
        <v>0.0</v>
      </c>
      <c r="M24" s="55">
        <v>0.0</v>
      </c>
      <c r="N24" s="43">
        <f t="shared" si="1"/>
        <v>0</v>
      </c>
      <c r="O24" s="55">
        <v>1.0</v>
      </c>
      <c r="P24" s="55">
        <v>0.0</v>
      </c>
      <c r="Q24" s="43">
        <f t="shared" si="2"/>
        <v>1</v>
      </c>
      <c r="R24" s="43"/>
      <c r="S24" s="43"/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28">
        <v>19.0</v>
      </c>
      <c r="B25" s="151" t="s">
        <v>4762</v>
      </c>
      <c r="C25" s="37" t="s">
        <v>4763</v>
      </c>
      <c r="D25" s="37" t="s">
        <v>1733</v>
      </c>
      <c r="E25" s="133" t="s">
        <v>338</v>
      </c>
      <c r="F25" s="134">
        <v>41.0</v>
      </c>
      <c r="G25" s="134" t="s">
        <v>339</v>
      </c>
      <c r="H25" s="134" t="s">
        <v>2672</v>
      </c>
      <c r="I25" s="134">
        <v>9.296849616E9</v>
      </c>
      <c r="J25" s="54">
        <v>31.0</v>
      </c>
      <c r="K25" s="55">
        <v>27.0</v>
      </c>
      <c r="L25" s="55">
        <v>0.0</v>
      </c>
      <c r="M25" s="55">
        <v>2.0</v>
      </c>
      <c r="N25" s="43">
        <f t="shared" si="1"/>
        <v>2</v>
      </c>
      <c r="O25" s="55">
        <v>1.0</v>
      </c>
      <c r="P25" s="55">
        <v>2.0</v>
      </c>
      <c r="Q25" s="43">
        <f t="shared" si="2"/>
        <v>5</v>
      </c>
      <c r="R25" s="43"/>
      <c r="S25" s="43"/>
      <c r="T25" s="43"/>
      <c r="U25" s="43"/>
      <c r="V25" s="43"/>
      <c r="W25" s="56" t="s">
        <v>46</v>
      </c>
      <c r="Z25" s="34"/>
      <c r="AA25" s="34"/>
      <c r="AB25" s="34"/>
      <c r="AC25" s="34"/>
      <c r="AD25" s="34"/>
    </row>
    <row r="26" ht="13.5" customHeight="1">
      <c r="A26" s="28">
        <v>20.0</v>
      </c>
      <c r="B26" s="151" t="s">
        <v>3702</v>
      </c>
      <c r="C26" s="37" t="s">
        <v>4764</v>
      </c>
      <c r="D26" s="37" t="s">
        <v>4765</v>
      </c>
      <c r="E26" s="133" t="s">
        <v>338</v>
      </c>
      <c r="F26" s="134">
        <v>47.0</v>
      </c>
      <c r="G26" s="134" t="s">
        <v>339</v>
      </c>
      <c r="H26" s="134" t="s">
        <v>404</v>
      </c>
      <c r="I26" s="134">
        <v>9.322187171E9</v>
      </c>
      <c r="J26" s="54">
        <v>29.0</v>
      </c>
      <c r="K26" s="55">
        <v>23.0</v>
      </c>
      <c r="L26" s="55">
        <v>0.0</v>
      </c>
      <c r="M26" s="55">
        <v>0.0</v>
      </c>
      <c r="N26" s="43">
        <f t="shared" si="1"/>
        <v>0</v>
      </c>
      <c r="O26" s="55">
        <v>3.0</v>
      </c>
      <c r="P26" s="55">
        <v>6.0</v>
      </c>
      <c r="Q26" s="43">
        <f t="shared" si="2"/>
        <v>9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156" t="s">
        <v>4766</v>
      </c>
      <c r="C27" s="37" t="s">
        <v>1692</v>
      </c>
      <c r="D27" s="37" t="s">
        <v>250</v>
      </c>
      <c r="E27" s="133" t="s">
        <v>338</v>
      </c>
      <c r="F27" s="134">
        <v>28.0</v>
      </c>
      <c r="G27" s="134" t="s">
        <v>339</v>
      </c>
      <c r="H27" s="134" t="s">
        <v>349</v>
      </c>
      <c r="I27" s="134">
        <v>9.178749815E9</v>
      </c>
      <c r="J27" s="54">
        <v>28.0</v>
      </c>
      <c r="K27" s="55">
        <v>26.0</v>
      </c>
      <c r="L27" s="55">
        <v>0.0</v>
      </c>
      <c r="M27" s="55">
        <v>0.0</v>
      </c>
      <c r="N27" s="43">
        <f t="shared" si="1"/>
        <v>0</v>
      </c>
      <c r="O27" s="55">
        <v>0.0</v>
      </c>
      <c r="P27" s="55">
        <v>2.0</v>
      </c>
      <c r="Q27" s="43">
        <f t="shared" si="2"/>
        <v>2</v>
      </c>
      <c r="R27" s="43"/>
      <c r="S27" s="43"/>
      <c r="T27" s="43"/>
      <c r="U27" s="43"/>
      <c r="V27" s="55" t="s">
        <v>692</v>
      </c>
      <c r="W27" s="56" t="s">
        <v>46</v>
      </c>
      <c r="Z27" s="34"/>
      <c r="AA27" s="34"/>
      <c r="AB27" s="34"/>
      <c r="AC27" s="34"/>
      <c r="AD27" s="34"/>
    </row>
    <row r="28" ht="13.5" customHeight="1">
      <c r="A28" s="28">
        <v>22.0</v>
      </c>
      <c r="B28" s="155" t="s">
        <v>4767</v>
      </c>
      <c r="C28" s="37" t="s">
        <v>4768</v>
      </c>
      <c r="D28" s="37" t="s">
        <v>4769</v>
      </c>
      <c r="E28" s="133" t="s">
        <v>338</v>
      </c>
      <c r="F28" s="134">
        <v>36.0</v>
      </c>
      <c r="G28" s="134" t="s">
        <v>385</v>
      </c>
      <c r="H28" s="134" t="s">
        <v>435</v>
      </c>
      <c r="I28" s="134">
        <v>9.501909888E9</v>
      </c>
      <c r="J28" s="42"/>
      <c r="K28" s="43"/>
      <c r="L28" s="43"/>
      <c r="M28" s="43"/>
      <c r="N28" s="43">
        <f t="shared" si="1"/>
        <v>0</v>
      </c>
      <c r="O28" s="43"/>
      <c r="P28" s="43"/>
      <c r="Q28" s="43">
        <f t="shared" si="2"/>
        <v>0</v>
      </c>
      <c r="R28" s="43"/>
      <c r="S28" s="43"/>
      <c r="T28" s="43"/>
      <c r="U28" s="43"/>
      <c r="V28" s="43"/>
      <c r="W28" s="44"/>
      <c r="Z28" s="34"/>
      <c r="AA28" s="34"/>
      <c r="AB28" s="34"/>
      <c r="AC28" s="34"/>
      <c r="AD28" s="34"/>
    </row>
    <row r="29" ht="13.5" customHeight="1">
      <c r="A29" s="28">
        <v>23.0</v>
      </c>
      <c r="B29" s="151" t="s">
        <v>4770</v>
      </c>
      <c r="C29" s="37" t="s">
        <v>4771</v>
      </c>
      <c r="D29" s="37" t="s">
        <v>2196</v>
      </c>
      <c r="E29" s="133" t="s">
        <v>338</v>
      </c>
      <c r="F29" s="134">
        <v>27.0</v>
      </c>
      <c r="G29" s="134" t="s">
        <v>339</v>
      </c>
      <c r="H29" s="134" t="s">
        <v>435</v>
      </c>
      <c r="I29" s="134">
        <v>9.353188643E9</v>
      </c>
      <c r="J29" s="54">
        <v>27.0</v>
      </c>
      <c r="K29" s="55">
        <v>20.0</v>
      </c>
      <c r="L29" s="55">
        <v>0.0</v>
      </c>
      <c r="M29" s="55">
        <v>4.0</v>
      </c>
      <c r="N29" s="43">
        <f t="shared" si="1"/>
        <v>4</v>
      </c>
      <c r="O29" s="55">
        <v>4.0</v>
      </c>
      <c r="P29" s="55">
        <v>3.0</v>
      </c>
      <c r="Q29" s="43">
        <f t="shared" si="2"/>
        <v>11</v>
      </c>
      <c r="R29" s="43"/>
      <c r="S29" s="43"/>
      <c r="T29" s="43"/>
      <c r="U29" s="43"/>
      <c r="V29" s="55" t="s">
        <v>4772</v>
      </c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151" t="s">
        <v>4773</v>
      </c>
      <c r="C30" s="37" t="s">
        <v>4774</v>
      </c>
      <c r="D30" s="37" t="s">
        <v>1813</v>
      </c>
      <c r="E30" s="133" t="s">
        <v>338</v>
      </c>
      <c r="F30" s="134">
        <v>33.0</v>
      </c>
      <c r="G30" s="134" t="s">
        <v>339</v>
      </c>
      <c r="H30" s="134" t="s">
        <v>435</v>
      </c>
      <c r="I30" s="134">
        <v>9.988295914E9</v>
      </c>
      <c r="J30" s="54">
        <v>28.0</v>
      </c>
      <c r="K30" s="55">
        <v>23.0</v>
      </c>
      <c r="L30" s="55">
        <v>0.0</v>
      </c>
      <c r="M30" s="55">
        <v>0.0</v>
      </c>
      <c r="N30" s="43">
        <f t="shared" si="1"/>
        <v>0</v>
      </c>
      <c r="O30" s="55">
        <v>2.0</v>
      </c>
      <c r="P30" s="55">
        <v>5.0</v>
      </c>
      <c r="Q30" s="43">
        <f t="shared" si="2"/>
        <v>7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151" t="s">
        <v>3471</v>
      </c>
      <c r="C31" s="37" t="s">
        <v>228</v>
      </c>
      <c r="D31" s="37" t="s">
        <v>4775</v>
      </c>
      <c r="E31" s="133" t="s">
        <v>338</v>
      </c>
      <c r="F31" s="134">
        <v>40.0</v>
      </c>
      <c r="G31" s="134" t="s">
        <v>339</v>
      </c>
      <c r="H31" s="134" t="s">
        <v>663</v>
      </c>
      <c r="I31" s="134">
        <v>9.958473229E9</v>
      </c>
      <c r="J31" s="54">
        <v>30.0</v>
      </c>
      <c r="K31" s="55">
        <v>25.0</v>
      </c>
      <c r="L31" s="55">
        <v>0.0</v>
      </c>
      <c r="M31" s="55">
        <v>1.0</v>
      </c>
      <c r="N31" s="43">
        <f t="shared" si="1"/>
        <v>1</v>
      </c>
      <c r="O31" s="55">
        <v>2.0</v>
      </c>
      <c r="P31" s="55">
        <v>4.0</v>
      </c>
      <c r="Q31" s="43">
        <f t="shared" si="2"/>
        <v>7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151" t="s">
        <v>4776</v>
      </c>
      <c r="C32" s="37" t="s">
        <v>4777</v>
      </c>
      <c r="D32" s="37" t="s">
        <v>4778</v>
      </c>
      <c r="E32" s="133" t="s">
        <v>338</v>
      </c>
      <c r="F32" s="134">
        <v>42.0</v>
      </c>
      <c r="G32" s="134" t="s">
        <v>385</v>
      </c>
      <c r="H32" s="134" t="s">
        <v>663</v>
      </c>
      <c r="I32" s="134">
        <v>9.994327393E9</v>
      </c>
      <c r="J32" s="54">
        <v>32.0</v>
      </c>
      <c r="K32" s="55">
        <v>28.0</v>
      </c>
      <c r="L32" s="55">
        <v>3.0</v>
      </c>
      <c r="M32" s="55">
        <v>1.0</v>
      </c>
      <c r="N32" s="43">
        <f t="shared" si="1"/>
        <v>4</v>
      </c>
      <c r="O32" s="55">
        <v>0.0</v>
      </c>
      <c r="P32" s="55">
        <v>0.0</v>
      </c>
      <c r="Q32" s="43">
        <f t="shared" si="2"/>
        <v>4</v>
      </c>
      <c r="R32" s="43"/>
      <c r="S32" s="43"/>
      <c r="T32" s="43"/>
      <c r="U32" s="43"/>
      <c r="V32" s="55" t="s">
        <v>457</v>
      </c>
      <c r="W32" s="56" t="s">
        <v>46</v>
      </c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151" t="s">
        <v>4779</v>
      </c>
      <c r="C33" s="37" t="s">
        <v>4780</v>
      </c>
      <c r="D33" s="37" t="s">
        <v>4781</v>
      </c>
      <c r="E33" s="133" t="s">
        <v>338</v>
      </c>
      <c r="F33" s="134">
        <v>38.0</v>
      </c>
      <c r="G33" s="134" t="s">
        <v>339</v>
      </c>
      <c r="H33" s="134" t="s">
        <v>4109</v>
      </c>
      <c r="I33" s="134">
        <v>9.162469984E9</v>
      </c>
      <c r="J33" s="54">
        <v>29.0</v>
      </c>
      <c r="K33" s="55">
        <v>25.0</v>
      </c>
      <c r="L33" s="55">
        <v>0.0</v>
      </c>
      <c r="M33" s="55">
        <v>1.0</v>
      </c>
      <c r="N33" s="43">
        <f t="shared" si="1"/>
        <v>1</v>
      </c>
      <c r="O33" s="55">
        <v>3.0</v>
      </c>
      <c r="P33" s="55">
        <v>3.0</v>
      </c>
      <c r="Q33" s="43">
        <f t="shared" si="2"/>
        <v>7</v>
      </c>
      <c r="R33" s="43"/>
      <c r="S33" s="43"/>
      <c r="T33" s="43"/>
      <c r="U33" s="43"/>
      <c r="V33" s="55" t="s">
        <v>692</v>
      </c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156" t="s">
        <v>4782</v>
      </c>
      <c r="C34" s="37" t="s">
        <v>4783</v>
      </c>
      <c r="D34" s="37" t="s">
        <v>4784</v>
      </c>
      <c r="E34" s="133" t="s">
        <v>338</v>
      </c>
      <c r="F34" s="134">
        <v>42.0</v>
      </c>
      <c r="G34" s="134" t="s">
        <v>339</v>
      </c>
      <c r="H34" s="134" t="s">
        <v>646</v>
      </c>
      <c r="I34" s="134">
        <v>9.154454512E9</v>
      </c>
      <c r="J34" s="54">
        <v>12.0</v>
      </c>
      <c r="K34" s="55">
        <v>11.0</v>
      </c>
      <c r="L34" s="55">
        <v>0.0</v>
      </c>
      <c r="M34" s="55">
        <v>1.0</v>
      </c>
      <c r="N34" s="43">
        <f t="shared" si="1"/>
        <v>1</v>
      </c>
      <c r="O34" s="55">
        <v>20.0</v>
      </c>
      <c r="P34" s="55">
        <v>0.0</v>
      </c>
      <c r="Q34" s="43">
        <f t="shared" si="2"/>
        <v>21</v>
      </c>
      <c r="R34" s="43"/>
      <c r="S34" s="43"/>
      <c r="T34" s="43"/>
      <c r="U34" s="43"/>
      <c r="V34" s="55" t="s">
        <v>4785</v>
      </c>
      <c r="W34" s="56" t="s">
        <v>46</v>
      </c>
      <c r="Z34" s="61"/>
      <c r="AA34" s="61"/>
      <c r="AB34" s="66"/>
      <c r="AC34" s="34"/>
      <c r="AD34" s="34"/>
    </row>
    <row r="35" ht="13.5" customHeight="1">
      <c r="A35" s="28">
        <v>29.0</v>
      </c>
      <c r="B35" s="160" t="s">
        <v>4786</v>
      </c>
      <c r="C35" s="37" t="s">
        <v>4787</v>
      </c>
      <c r="D35" s="37" t="s">
        <v>4788</v>
      </c>
      <c r="E35" s="133" t="s">
        <v>338</v>
      </c>
      <c r="F35" s="134">
        <v>39.0</v>
      </c>
      <c r="G35" s="134" t="s">
        <v>385</v>
      </c>
      <c r="H35" s="134" t="s">
        <v>663</v>
      </c>
      <c r="I35" s="134">
        <v>9.983170296E9</v>
      </c>
      <c r="J35" s="161">
        <v>27.0</v>
      </c>
      <c r="K35" s="55">
        <v>25.0</v>
      </c>
      <c r="L35" s="55">
        <v>0.0</v>
      </c>
      <c r="M35" s="55">
        <v>2.0</v>
      </c>
      <c r="N35" s="43">
        <f t="shared" si="1"/>
        <v>2</v>
      </c>
      <c r="O35" s="55">
        <v>5.0</v>
      </c>
      <c r="P35" s="55">
        <v>0.0</v>
      </c>
      <c r="Q35" s="43">
        <f t="shared" si="2"/>
        <v>7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151" t="s">
        <v>4789</v>
      </c>
      <c r="C36" s="37" t="s">
        <v>4790</v>
      </c>
      <c r="D36" s="99"/>
      <c r="E36" s="133" t="s">
        <v>338</v>
      </c>
      <c r="F36" s="134">
        <v>49.0</v>
      </c>
      <c r="G36" s="134" t="s">
        <v>339</v>
      </c>
      <c r="H36" s="134" t="s">
        <v>646</v>
      </c>
      <c r="I36" s="134">
        <v>9.26569169E9</v>
      </c>
      <c r="J36" s="87">
        <v>24.0</v>
      </c>
      <c r="K36" s="55">
        <v>19.0</v>
      </c>
      <c r="L36" s="55">
        <v>2.0</v>
      </c>
      <c r="M36" s="55">
        <v>1.0</v>
      </c>
      <c r="N36" s="43">
        <f t="shared" si="1"/>
        <v>3</v>
      </c>
      <c r="O36" s="55">
        <v>8.0</v>
      </c>
      <c r="P36" s="55">
        <v>2.0</v>
      </c>
      <c r="Q36" s="43">
        <f t="shared" si="2"/>
        <v>13</v>
      </c>
      <c r="R36" s="43"/>
      <c r="S36" s="43"/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151" t="s">
        <v>4791</v>
      </c>
      <c r="C37" s="37" t="s">
        <v>4792</v>
      </c>
      <c r="D37" s="37" t="s">
        <v>4793</v>
      </c>
      <c r="E37" s="133" t="s">
        <v>338</v>
      </c>
      <c r="F37" s="134">
        <v>31.0</v>
      </c>
      <c r="G37" s="134" t="s">
        <v>339</v>
      </c>
      <c r="H37" s="134" t="s">
        <v>663</v>
      </c>
      <c r="I37" s="134">
        <v>9.605311421E9</v>
      </c>
      <c r="J37" s="87">
        <v>29.0</v>
      </c>
      <c r="K37" s="55">
        <v>28.0</v>
      </c>
      <c r="L37" s="55">
        <v>0.0</v>
      </c>
      <c r="M37" s="55">
        <v>0.0</v>
      </c>
      <c r="N37" s="43">
        <f t="shared" si="1"/>
        <v>0</v>
      </c>
      <c r="O37" s="55">
        <v>1.0</v>
      </c>
      <c r="P37" s="55">
        <v>1.0</v>
      </c>
      <c r="Q37" s="43">
        <f t="shared" si="2"/>
        <v>2</v>
      </c>
      <c r="R37" s="43"/>
      <c r="S37" s="43"/>
      <c r="T37" s="43"/>
      <c r="U37" s="43"/>
      <c r="V37" s="43"/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151" t="s">
        <v>4794</v>
      </c>
      <c r="C38" s="37" t="s">
        <v>4795</v>
      </c>
      <c r="D38" s="37" t="s">
        <v>4796</v>
      </c>
      <c r="E38" s="133" t="s">
        <v>338</v>
      </c>
      <c r="F38" s="134">
        <v>42.0</v>
      </c>
      <c r="G38" s="134" t="s">
        <v>339</v>
      </c>
      <c r="H38" s="134" t="s">
        <v>435</v>
      </c>
      <c r="I38" s="134">
        <v>9.635019652E9</v>
      </c>
      <c r="J38" s="87">
        <v>30.0</v>
      </c>
      <c r="K38" s="55">
        <v>29.0</v>
      </c>
      <c r="L38" s="55">
        <v>1.0</v>
      </c>
      <c r="M38" s="55">
        <v>0.0</v>
      </c>
      <c r="N38" s="43">
        <f t="shared" si="1"/>
        <v>1</v>
      </c>
      <c r="O38" s="55">
        <v>2.0</v>
      </c>
      <c r="P38" s="55">
        <v>0.0</v>
      </c>
      <c r="Q38" s="43">
        <f t="shared" si="2"/>
        <v>3</v>
      </c>
      <c r="R38" s="43"/>
      <c r="S38" s="43"/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151" t="s">
        <v>2038</v>
      </c>
      <c r="C39" s="37" t="s">
        <v>4797</v>
      </c>
      <c r="D39" s="37" t="s">
        <v>4798</v>
      </c>
      <c r="E39" s="133" t="s">
        <v>338</v>
      </c>
      <c r="F39" s="134">
        <v>26.0</v>
      </c>
      <c r="G39" s="134" t="s">
        <v>339</v>
      </c>
      <c r="H39" s="134" t="s">
        <v>4799</v>
      </c>
      <c r="I39" s="134">
        <v>9.94627027E9</v>
      </c>
      <c r="J39" s="87">
        <v>29.0</v>
      </c>
      <c r="K39" s="55">
        <v>28.0</v>
      </c>
      <c r="L39" s="55">
        <v>0.0</v>
      </c>
      <c r="M39" s="55">
        <v>1.0</v>
      </c>
      <c r="N39" s="43">
        <f t="shared" si="1"/>
        <v>1</v>
      </c>
      <c r="O39" s="55">
        <v>3.0</v>
      </c>
      <c r="P39" s="55">
        <v>0.0</v>
      </c>
      <c r="Q39" s="43">
        <f t="shared" si="2"/>
        <v>4</v>
      </c>
      <c r="R39" s="43"/>
      <c r="S39" s="43"/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151" t="s">
        <v>4800</v>
      </c>
      <c r="C40" s="37" t="s">
        <v>4801</v>
      </c>
      <c r="D40" s="37" t="s">
        <v>4802</v>
      </c>
      <c r="E40" s="133" t="s">
        <v>338</v>
      </c>
      <c r="F40" s="134">
        <v>37.0</v>
      </c>
      <c r="G40" s="134" t="s">
        <v>339</v>
      </c>
      <c r="H40" s="134" t="s">
        <v>833</v>
      </c>
      <c r="I40" s="163" t="s">
        <v>4803</v>
      </c>
      <c r="J40" s="87">
        <v>30.0</v>
      </c>
      <c r="K40" s="55">
        <v>20.0</v>
      </c>
      <c r="L40" s="55">
        <v>0.0</v>
      </c>
      <c r="M40" s="55">
        <v>0.0</v>
      </c>
      <c r="N40" s="43">
        <f t="shared" si="1"/>
        <v>0</v>
      </c>
      <c r="O40" s="55">
        <v>0.0</v>
      </c>
      <c r="P40" s="55">
        <v>10.0</v>
      </c>
      <c r="Q40" s="43">
        <f t="shared" si="2"/>
        <v>10</v>
      </c>
      <c r="R40" s="43"/>
      <c r="S40" s="43"/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156" t="s">
        <v>4804</v>
      </c>
      <c r="C41" s="37" t="s">
        <v>4805</v>
      </c>
      <c r="D41" s="37" t="s">
        <v>337</v>
      </c>
      <c r="E41" s="133" t="s">
        <v>338</v>
      </c>
      <c r="F41" s="134">
        <v>28.0</v>
      </c>
      <c r="G41" s="134" t="s">
        <v>339</v>
      </c>
      <c r="H41" s="134" t="s">
        <v>833</v>
      </c>
      <c r="I41" s="134">
        <v>9.158386901E9</v>
      </c>
      <c r="J41" s="87">
        <v>18.0</v>
      </c>
      <c r="K41" s="55">
        <v>11.0</v>
      </c>
      <c r="L41" s="55">
        <v>0.0</v>
      </c>
      <c r="M41" s="55">
        <v>6.0</v>
      </c>
      <c r="N41" s="43">
        <f t="shared" si="1"/>
        <v>6</v>
      </c>
      <c r="O41" s="55">
        <v>11.0</v>
      </c>
      <c r="P41" s="55">
        <v>1.0</v>
      </c>
      <c r="Q41" s="43">
        <f t="shared" si="2"/>
        <v>18</v>
      </c>
      <c r="R41" s="43"/>
      <c r="S41" s="43"/>
      <c r="T41" s="43"/>
      <c r="U41" s="43"/>
      <c r="V41" s="55" t="s">
        <v>648</v>
      </c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155" t="s">
        <v>1665</v>
      </c>
      <c r="C42" s="37" t="s">
        <v>4806</v>
      </c>
      <c r="D42" s="37" t="s">
        <v>4807</v>
      </c>
      <c r="E42" s="133" t="s">
        <v>338</v>
      </c>
      <c r="F42" s="134">
        <v>28.0</v>
      </c>
      <c r="G42" s="134" t="s">
        <v>339</v>
      </c>
      <c r="H42" s="134" t="s">
        <v>340</v>
      </c>
      <c r="I42" s="134">
        <v>9.204986471E9</v>
      </c>
      <c r="J42" s="87">
        <v>27.0</v>
      </c>
      <c r="K42" s="55">
        <v>25.0</v>
      </c>
      <c r="L42" s="55">
        <v>1.0</v>
      </c>
      <c r="M42" s="55">
        <v>0.0</v>
      </c>
      <c r="N42" s="43">
        <f t="shared" si="1"/>
        <v>1</v>
      </c>
      <c r="O42" s="55">
        <v>5.0</v>
      </c>
      <c r="P42" s="55">
        <v>0.0</v>
      </c>
      <c r="Q42" s="43">
        <f t="shared" si="2"/>
        <v>6</v>
      </c>
      <c r="R42" s="43"/>
      <c r="S42" s="43"/>
      <c r="T42" s="43"/>
      <c r="U42" s="43"/>
      <c r="V42" s="43"/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151" t="s">
        <v>4808</v>
      </c>
      <c r="C43" s="37" t="s">
        <v>4809</v>
      </c>
      <c r="D43" s="409" t="s">
        <v>1556</v>
      </c>
      <c r="E43" s="133" t="s">
        <v>338</v>
      </c>
      <c r="F43" s="134">
        <v>52.0</v>
      </c>
      <c r="G43" s="134" t="s">
        <v>339</v>
      </c>
      <c r="H43" s="134" t="s">
        <v>340</v>
      </c>
      <c r="I43" s="187">
        <v>9.073735934E9</v>
      </c>
      <c r="J43" s="87">
        <v>27.0</v>
      </c>
      <c r="K43" s="55">
        <v>23.0</v>
      </c>
      <c r="L43" s="55">
        <v>0.0</v>
      </c>
      <c r="M43" s="55">
        <v>1.0</v>
      </c>
      <c r="N43" s="43">
        <f t="shared" si="1"/>
        <v>1</v>
      </c>
      <c r="O43" s="55">
        <v>5.0</v>
      </c>
      <c r="P43" s="55">
        <v>3.0</v>
      </c>
      <c r="Q43" s="43">
        <f t="shared" si="2"/>
        <v>9</v>
      </c>
      <c r="R43" s="43"/>
      <c r="S43" s="43"/>
      <c r="T43" s="43"/>
      <c r="U43" s="43"/>
      <c r="V43" s="43"/>
      <c r="W43" s="56" t="s">
        <v>46</v>
      </c>
      <c r="Z43" s="61"/>
      <c r="AA43" s="61"/>
      <c r="AB43" s="66"/>
      <c r="AC43" s="34"/>
      <c r="AD43" s="34"/>
    </row>
    <row r="44" ht="13.5" customHeight="1">
      <c r="A44" s="28">
        <v>38.0</v>
      </c>
      <c r="B44" s="151" t="s">
        <v>4810</v>
      </c>
      <c r="C44" s="37" t="s">
        <v>4811</v>
      </c>
      <c r="D44" s="37" t="s">
        <v>171</v>
      </c>
      <c r="E44" s="133" t="s">
        <v>338</v>
      </c>
      <c r="F44" s="134">
        <v>32.0</v>
      </c>
      <c r="G44" s="134" t="s">
        <v>339</v>
      </c>
      <c r="H44" s="134" t="s">
        <v>4812</v>
      </c>
      <c r="I44" s="134">
        <v>9.064648189E9</v>
      </c>
      <c r="J44" s="87">
        <v>32.0</v>
      </c>
      <c r="K44" s="55">
        <v>26.0</v>
      </c>
      <c r="L44" s="55">
        <v>0.0</v>
      </c>
      <c r="M44" s="55">
        <v>2.0</v>
      </c>
      <c r="N44" s="43">
        <f t="shared" si="1"/>
        <v>2</v>
      </c>
      <c r="O44" s="55">
        <v>0.0</v>
      </c>
      <c r="P44" s="55">
        <v>4.0</v>
      </c>
      <c r="Q44" s="43">
        <f t="shared" si="2"/>
        <v>6</v>
      </c>
      <c r="R44" s="43"/>
      <c r="S44" s="43"/>
      <c r="T44" s="43"/>
      <c r="U44" s="43"/>
      <c r="V44" s="55" t="s">
        <v>4813</v>
      </c>
      <c r="W44" s="56" t="s">
        <v>46</v>
      </c>
      <c r="Z44" s="61"/>
      <c r="AA44" s="61"/>
      <c r="AB44" s="66"/>
      <c r="AC44" s="34"/>
      <c r="AD44" s="34"/>
    </row>
    <row r="45" ht="13.5" customHeight="1">
      <c r="A45" s="28">
        <v>39.0</v>
      </c>
      <c r="B45" s="151" t="s">
        <v>4814</v>
      </c>
      <c r="C45" s="37" t="s">
        <v>4815</v>
      </c>
      <c r="D45" s="37" t="s">
        <v>2622</v>
      </c>
      <c r="E45" s="133" t="s">
        <v>338</v>
      </c>
      <c r="F45" s="134">
        <v>29.0</v>
      </c>
      <c r="G45" s="134" t="s">
        <v>339</v>
      </c>
      <c r="H45" s="134" t="s">
        <v>480</v>
      </c>
      <c r="I45" s="134">
        <v>9.684992206E9</v>
      </c>
      <c r="J45" s="87">
        <v>26.0</v>
      </c>
      <c r="K45" s="55">
        <v>24.0</v>
      </c>
      <c r="L45" s="55">
        <v>0.0</v>
      </c>
      <c r="M45" s="55">
        <v>0.0</v>
      </c>
      <c r="N45" s="43">
        <f t="shared" si="1"/>
        <v>0</v>
      </c>
      <c r="O45" s="55">
        <v>6.0</v>
      </c>
      <c r="P45" s="55">
        <v>2.0</v>
      </c>
      <c r="Q45" s="43">
        <f t="shared" si="2"/>
        <v>8</v>
      </c>
      <c r="R45" s="43"/>
      <c r="S45" s="43"/>
      <c r="T45" s="43"/>
      <c r="U45" s="43"/>
      <c r="V45" s="55" t="s">
        <v>2651</v>
      </c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151" t="s">
        <v>1007</v>
      </c>
      <c r="C46" s="37" t="s">
        <v>4816</v>
      </c>
      <c r="D46" s="37" t="s">
        <v>202</v>
      </c>
      <c r="E46" s="133" t="s">
        <v>338</v>
      </c>
      <c r="F46" s="134">
        <v>45.0</v>
      </c>
      <c r="G46" s="134" t="s">
        <v>339</v>
      </c>
      <c r="H46" s="134" t="s">
        <v>663</v>
      </c>
      <c r="I46" s="134">
        <v>9.309303618E9</v>
      </c>
      <c r="J46" s="87">
        <v>32.0</v>
      </c>
      <c r="K46" s="55">
        <v>26.0</v>
      </c>
      <c r="L46" s="55">
        <v>2.0</v>
      </c>
      <c r="M46" s="55">
        <v>4.0</v>
      </c>
      <c r="N46" s="43">
        <f t="shared" si="1"/>
        <v>6</v>
      </c>
      <c r="O46" s="55">
        <v>0.0</v>
      </c>
      <c r="P46" s="55">
        <v>0.0</v>
      </c>
      <c r="Q46" s="43">
        <f t="shared" si="2"/>
        <v>6</v>
      </c>
      <c r="R46" s="43"/>
      <c r="S46" s="43"/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151" t="s">
        <v>4817</v>
      </c>
      <c r="C47" s="37" t="s">
        <v>4818</v>
      </c>
      <c r="D47" s="37" t="s">
        <v>1702</v>
      </c>
      <c r="E47" s="133" t="s">
        <v>338</v>
      </c>
      <c r="F47" s="134">
        <v>32.0</v>
      </c>
      <c r="G47" s="134" t="s">
        <v>339</v>
      </c>
      <c r="H47" s="134" t="s">
        <v>833</v>
      </c>
      <c r="I47" s="134">
        <v>9.661841717E9</v>
      </c>
      <c r="J47" s="87">
        <v>25.0</v>
      </c>
      <c r="K47" s="55">
        <v>24.0</v>
      </c>
      <c r="L47" s="55">
        <v>0.0</v>
      </c>
      <c r="M47" s="55">
        <v>1.0</v>
      </c>
      <c r="N47" s="43">
        <f t="shared" si="1"/>
        <v>1</v>
      </c>
      <c r="O47" s="55">
        <v>7.0</v>
      </c>
      <c r="P47" s="55">
        <v>0.0</v>
      </c>
      <c r="Q47" s="43">
        <f t="shared" si="2"/>
        <v>8</v>
      </c>
      <c r="R47" s="43"/>
      <c r="S47" s="43"/>
      <c r="T47" s="43"/>
      <c r="U47" s="43"/>
      <c r="V47" s="55" t="s">
        <v>4819</v>
      </c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156" t="s">
        <v>4820</v>
      </c>
      <c r="C48" s="37" t="s">
        <v>4821</v>
      </c>
      <c r="D48" s="37" t="s">
        <v>4822</v>
      </c>
      <c r="E48" s="133" t="s">
        <v>338</v>
      </c>
      <c r="F48" s="134">
        <v>47.0</v>
      </c>
      <c r="G48" s="134" t="s">
        <v>476</v>
      </c>
      <c r="H48" s="134" t="s">
        <v>646</v>
      </c>
      <c r="I48" s="134" t="s">
        <v>4823</v>
      </c>
      <c r="J48" s="87">
        <v>4.0</v>
      </c>
      <c r="K48" s="55">
        <v>4.0</v>
      </c>
      <c r="L48" s="55">
        <v>0.0</v>
      </c>
      <c r="M48" s="55">
        <v>0.0</v>
      </c>
      <c r="N48" s="43">
        <f t="shared" si="1"/>
        <v>0</v>
      </c>
      <c r="O48" s="55">
        <v>28.0</v>
      </c>
      <c r="P48" s="55">
        <v>0.0</v>
      </c>
      <c r="Q48" s="43">
        <f t="shared" si="2"/>
        <v>28</v>
      </c>
      <c r="R48" s="43"/>
      <c r="S48" s="43"/>
      <c r="T48" s="43"/>
      <c r="U48" s="43"/>
      <c r="V48" s="55" t="s">
        <v>786</v>
      </c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160" t="s">
        <v>3394</v>
      </c>
      <c r="C49" s="37" t="s">
        <v>869</v>
      </c>
      <c r="D49" s="37" t="s">
        <v>4824</v>
      </c>
      <c r="E49" s="133" t="s">
        <v>338</v>
      </c>
      <c r="F49" s="134">
        <v>35.0</v>
      </c>
      <c r="G49" s="134" t="s">
        <v>362</v>
      </c>
      <c r="H49" s="134" t="s">
        <v>663</v>
      </c>
      <c r="I49" s="134">
        <v>9.614414415E9</v>
      </c>
      <c r="J49" s="87">
        <v>32.0</v>
      </c>
      <c r="K49" s="55">
        <v>30.0</v>
      </c>
      <c r="L49" s="55">
        <v>0.0</v>
      </c>
      <c r="M49" s="55">
        <v>2.0</v>
      </c>
      <c r="N49" s="43">
        <f t="shared" si="1"/>
        <v>2</v>
      </c>
      <c r="O49" s="55">
        <v>0.0</v>
      </c>
      <c r="P49" s="55">
        <v>0.0</v>
      </c>
      <c r="Q49" s="43">
        <f t="shared" si="2"/>
        <v>2</v>
      </c>
      <c r="R49" s="43"/>
      <c r="S49" s="43"/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151" t="s">
        <v>4825</v>
      </c>
      <c r="C50" s="37" t="s">
        <v>1734</v>
      </c>
      <c r="D50" s="37" t="s">
        <v>4826</v>
      </c>
      <c r="E50" s="133" t="s">
        <v>338</v>
      </c>
      <c r="F50" s="134">
        <v>37.0</v>
      </c>
      <c r="G50" s="134" t="s">
        <v>339</v>
      </c>
      <c r="H50" s="134" t="s">
        <v>663</v>
      </c>
      <c r="I50" s="134">
        <v>9.299711551E9</v>
      </c>
      <c r="J50" s="87">
        <v>26.0</v>
      </c>
      <c r="K50" s="55">
        <v>21.0</v>
      </c>
      <c r="L50" s="55">
        <v>2.0</v>
      </c>
      <c r="M50" s="55">
        <v>3.0</v>
      </c>
      <c r="N50" s="43">
        <f t="shared" si="1"/>
        <v>5</v>
      </c>
      <c r="O50" s="55">
        <v>5.0</v>
      </c>
      <c r="P50" s="55">
        <v>0.0</v>
      </c>
      <c r="Q50" s="43">
        <f t="shared" si="2"/>
        <v>10</v>
      </c>
      <c r="R50" s="43"/>
      <c r="S50" s="43"/>
      <c r="T50" s="43"/>
      <c r="U50" s="43"/>
      <c r="V50" s="55" t="s">
        <v>648</v>
      </c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7" t="s">
        <v>2668</v>
      </c>
      <c r="C51" s="37" t="s">
        <v>4827</v>
      </c>
      <c r="D51" s="37" t="s">
        <v>4828</v>
      </c>
      <c r="E51" s="133" t="s">
        <v>338</v>
      </c>
      <c r="F51" s="134">
        <v>27.0</v>
      </c>
      <c r="G51" s="134" t="s">
        <v>339</v>
      </c>
      <c r="H51" s="134" t="s">
        <v>833</v>
      </c>
      <c r="I51" s="134">
        <v>9.165960375E9</v>
      </c>
      <c r="J51" s="87">
        <v>28.0</v>
      </c>
      <c r="K51" s="55">
        <v>25.0</v>
      </c>
      <c r="L51" s="55">
        <v>2.0</v>
      </c>
      <c r="M51" s="55">
        <v>1.0</v>
      </c>
      <c r="N51" s="43">
        <f t="shared" si="1"/>
        <v>3</v>
      </c>
      <c r="O51" s="55">
        <v>4.0</v>
      </c>
      <c r="P51" s="55">
        <v>0.0</v>
      </c>
      <c r="Q51" s="43">
        <f t="shared" si="2"/>
        <v>7</v>
      </c>
      <c r="R51" s="43"/>
      <c r="S51" s="43"/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37" t="s">
        <v>2668</v>
      </c>
      <c r="C52" s="37" t="s">
        <v>4829</v>
      </c>
      <c r="D52" s="37" t="s">
        <v>4830</v>
      </c>
      <c r="E52" s="133" t="s">
        <v>338</v>
      </c>
      <c r="F52" s="134">
        <v>32.0</v>
      </c>
      <c r="G52" s="134" t="s">
        <v>339</v>
      </c>
      <c r="H52" s="134" t="s">
        <v>480</v>
      </c>
      <c r="I52" s="134">
        <v>9.471043765E9</v>
      </c>
      <c r="J52" s="83"/>
      <c r="K52" s="43"/>
      <c r="L52" s="43"/>
      <c r="M52" s="43"/>
      <c r="N52" s="43">
        <f t="shared" si="1"/>
        <v>0</v>
      </c>
      <c r="O52" s="43"/>
      <c r="P52" s="43"/>
      <c r="Q52" s="43">
        <f t="shared" si="2"/>
        <v>0</v>
      </c>
      <c r="R52" s="43"/>
      <c r="S52" s="43"/>
      <c r="T52" s="43"/>
      <c r="U52" s="43"/>
      <c r="V52" s="43"/>
      <c r="W52" s="44"/>
      <c r="Z52" s="61"/>
      <c r="AA52" s="61"/>
      <c r="AB52" s="66"/>
      <c r="AC52" s="34"/>
      <c r="AD52" s="34"/>
    </row>
    <row r="53" ht="13.5" customHeight="1">
      <c r="A53" s="28">
        <v>47.0</v>
      </c>
      <c r="B53" s="37" t="s">
        <v>4831</v>
      </c>
      <c r="C53" s="37" t="s">
        <v>4832</v>
      </c>
      <c r="D53" s="37" t="s">
        <v>1384</v>
      </c>
      <c r="E53" s="133" t="s">
        <v>338</v>
      </c>
      <c r="F53" s="134">
        <v>54.0</v>
      </c>
      <c r="G53" s="134" t="s">
        <v>339</v>
      </c>
      <c r="H53" s="134" t="s">
        <v>663</v>
      </c>
      <c r="I53" s="134">
        <v>9.15064887E9</v>
      </c>
      <c r="J53" s="87">
        <v>31.0</v>
      </c>
      <c r="K53" s="55">
        <v>29.0</v>
      </c>
      <c r="L53" s="55">
        <v>0.0</v>
      </c>
      <c r="M53" s="55">
        <v>1.0</v>
      </c>
      <c r="N53" s="43">
        <f t="shared" si="1"/>
        <v>1</v>
      </c>
      <c r="O53" s="55">
        <v>1.0</v>
      </c>
      <c r="P53" s="55">
        <v>0.0</v>
      </c>
      <c r="Q53" s="43">
        <f t="shared" si="2"/>
        <v>2</v>
      </c>
      <c r="R53" s="43"/>
      <c r="S53" s="43"/>
      <c r="T53" s="43"/>
      <c r="U53" s="43"/>
      <c r="V53" s="43"/>
      <c r="W53" s="56" t="s">
        <v>46</v>
      </c>
      <c r="X53" s="138" t="s">
        <v>116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37" t="s">
        <v>1176</v>
      </c>
      <c r="C54" s="37" t="s">
        <v>4833</v>
      </c>
      <c r="D54" s="37" t="s">
        <v>4834</v>
      </c>
      <c r="E54" s="133" t="s">
        <v>338</v>
      </c>
      <c r="F54" s="134">
        <v>32.0</v>
      </c>
      <c r="G54" s="134" t="s">
        <v>339</v>
      </c>
      <c r="H54" s="134" t="s">
        <v>340</v>
      </c>
      <c r="I54" s="134">
        <v>9.509720723E9</v>
      </c>
      <c r="J54" s="87">
        <v>28.0</v>
      </c>
      <c r="K54" s="55">
        <v>24.0</v>
      </c>
      <c r="L54" s="55">
        <v>0.0</v>
      </c>
      <c r="M54" s="55">
        <v>0.0</v>
      </c>
      <c r="N54" s="43">
        <f t="shared" si="1"/>
        <v>0</v>
      </c>
      <c r="O54" s="55">
        <v>4.0</v>
      </c>
      <c r="P54" s="55">
        <v>3.0</v>
      </c>
      <c r="Q54" s="43">
        <f t="shared" si="2"/>
        <v>7</v>
      </c>
      <c r="R54" s="43"/>
      <c r="S54" s="43"/>
      <c r="T54" s="43"/>
      <c r="U54" s="43"/>
      <c r="V54" s="55" t="s">
        <v>4835</v>
      </c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37" t="s">
        <v>4836</v>
      </c>
      <c r="C55" s="37" t="s">
        <v>1259</v>
      </c>
      <c r="D55" s="37" t="s">
        <v>4837</v>
      </c>
      <c r="E55" s="133" t="s">
        <v>338</v>
      </c>
      <c r="F55" s="134">
        <v>41.0</v>
      </c>
      <c r="G55" s="134" t="s">
        <v>339</v>
      </c>
      <c r="H55" s="134" t="s">
        <v>340</v>
      </c>
      <c r="I55" s="134">
        <v>9.306129076E9</v>
      </c>
      <c r="J55" s="87">
        <v>24.0</v>
      </c>
      <c r="K55" s="55">
        <v>18.0</v>
      </c>
      <c r="L55" s="55">
        <v>0.0</v>
      </c>
      <c r="M55" s="55">
        <v>1.0</v>
      </c>
      <c r="N55" s="43">
        <f t="shared" si="1"/>
        <v>1</v>
      </c>
      <c r="O55" s="55">
        <v>4.0</v>
      </c>
      <c r="P55" s="55">
        <v>5.0</v>
      </c>
      <c r="Q55" s="43">
        <f t="shared" si="2"/>
        <v>10</v>
      </c>
      <c r="R55" s="43"/>
      <c r="S55" s="43"/>
      <c r="T55" s="43"/>
      <c r="U55" s="43"/>
      <c r="V55" s="55" t="s">
        <v>692</v>
      </c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37" t="s">
        <v>1355</v>
      </c>
      <c r="C56" s="37" t="s">
        <v>4838</v>
      </c>
      <c r="D56" s="37" t="s">
        <v>4839</v>
      </c>
      <c r="E56" s="133" t="s">
        <v>338</v>
      </c>
      <c r="F56" s="134">
        <v>37.0</v>
      </c>
      <c r="G56" s="134" t="s">
        <v>339</v>
      </c>
      <c r="H56" s="134" t="s">
        <v>663</v>
      </c>
      <c r="I56" s="134">
        <v>9.956514958E9</v>
      </c>
      <c r="J56" s="87">
        <v>28.0</v>
      </c>
      <c r="K56" s="55">
        <v>19.0</v>
      </c>
      <c r="L56" s="55">
        <v>1.0</v>
      </c>
      <c r="M56" s="55">
        <v>6.0</v>
      </c>
      <c r="N56" s="43">
        <f t="shared" si="1"/>
        <v>7</v>
      </c>
      <c r="O56" s="55">
        <v>3.0</v>
      </c>
      <c r="P56" s="55">
        <v>2.0</v>
      </c>
      <c r="Q56" s="43">
        <f t="shared" si="2"/>
        <v>12</v>
      </c>
      <c r="R56" s="43"/>
      <c r="S56" s="43"/>
      <c r="T56" s="43"/>
      <c r="U56" s="43"/>
      <c r="V56" s="43"/>
      <c r="W56" s="56" t="s">
        <v>46</v>
      </c>
      <c r="Z56" s="61"/>
      <c r="AA56" s="61"/>
      <c r="AB56" s="66"/>
      <c r="AC56" s="34"/>
      <c r="AD56" s="34"/>
    </row>
    <row r="57" ht="13.5" customHeight="1">
      <c r="A57" s="28">
        <v>51.0</v>
      </c>
      <c r="B57" s="37" t="s">
        <v>4840</v>
      </c>
      <c r="C57" s="37" t="s">
        <v>4841</v>
      </c>
      <c r="D57" s="37" t="s">
        <v>4842</v>
      </c>
      <c r="E57" s="133" t="s">
        <v>338</v>
      </c>
      <c r="F57" s="134">
        <v>31.0</v>
      </c>
      <c r="G57" s="134" t="s">
        <v>385</v>
      </c>
      <c r="H57" s="134" t="s">
        <v>839</v>
      </c>
      <c r="I57" s="134">
        <v>9.684992182E9</v>
      </c>
      <c r="J57" s="87">
        <v>24.0</v>
      </c>
      <c r="K57" s="55">
        <v>20.0</v>
      </c>
      <c r="L57" s="55">
        <v>0.0</v>
      </c>
      <c r="M57" s="55">
        <v>0.0</v>
      </c>
      <c r="N57" s="43">
        <f t="shared" si="1"/>
        <v>0</v>
      </c>
      <c r="O57" s="55">
        <v>12.0</v>
      </c>
      <c r="P57" s="55">
        <v>4.0</v>
      </c>
      <c r="Q57" s="43">
        <f t="shared" si="2"/>
        <v>16</v>
      </c>
      <c r="R57" s="43"/>
      <c r="S57" s="43"/>
      <c r="T57" s="43"/>
      <c r="U57" s="43"/>
      <c r="V57" s="55" t="s">
        <v>4843</v>
      </c>
      <c r="W57" s="56" t="s">
        <v>46</v>
      </c>
      <c r="Z57" s="61"/>
      <c r="AA57" s="61"/>
      <c r="AB57" s="66"/>
      <c r="AC57" s="34"/>
      <c r="AD57" s="34"/>
    </row>
    <row r="58" ht="13.5" customHeight="1">
      <c r="A58" s="28">
        <v>52.0</v>
      </c>
      <c r="B58" s="37" t="s">
        <v>4844</v>
      </c>
      <c r="C58" s="37" t="s">
        <v>4845</v>
      </c>
      <c r="D58" s="37" t="s">
        <v>4846</v>
      </c>
      <c r="E58" s="133" t="s">
        <v>338</v>
      </c>
      <c r="F58" s="134">
        <v>38.0</v>
      </c>
      <c r="G58" s="134" t="s">
        <v>339</v>
      </c>
      <c r="H58" s="134" t="s">
        <v>340</v>
      </c>
      <c r="I58" s="134">
        <v>9.293797669E9</v>
      </c>
      <c r="J58" s="87">
        <v>28.0</v>
      </c>
      <c r="K58" s="55">
        <v>3.0</v>
      </c>
      <c r="L58" s="55">
        <v>12.0</v>
      </c>
      <c r="M58" s="55">
        <v>13.0</v>
      </c>
      <c r="N58" s="43">
        <f t="shared" si="1"/>
        <v>25</v>
      </c>
      <c r="O58" s="55">
        <v>4.0</v>
      </c>
      <c r="P58" s="55">
        <v>0.0</v>
      </c>
      <c r="Q58" s="43">
        <f t="shared" si="2"/>
        <v>29</v>
      </c>
      <c r="R58" s="43"/>
      <c r="S58" s="43"/>
      <c r="T58" s="43"/>
      <c r="U58" s="43"/>
      <c r="V58" s="43"/>
      <c r="W58" s="56" t="s">
        <v>46</v>
      </c>
      <c r="Z58" s="61"/>
      <c r="AA58" s="61"/>
      <c r="AB58" s="66"/>
      <c r="AC58" s="34"/>
      <c r="AD58" s="34"/>
    </row>
    <row r="59" ht="13.5" customHeight="1">
      <c r="A59" s="28">
        <v>53.0</v>
      </c>
      <c r="B59" s="37" t="s">
        <v>421</v>
      </c>
      <c r="C59" s="37" t="s">
        <v>4847</v>
      </c>
      <c r="D59" s="37" t="s">
        <v>4848</v>
      </c>
      <c r="E59" s="133" t="s">
        <v>338</v>
      </c>
      <c r="F59" s="134">
        <v>41.0</v>
      </c>
      <c r="G59" s="134" t="s">
        <v>385</v>
      </c>
      <c r="H59" s="134" t="s">
        <v>340</v>
      </c>
      <c r="I59" s="134">
        <v>9.956531791E9</v>
      </c>
      <c r="J59" s="87">
        <v>29.0</v>
      </c>
      <c r="K59" s="55">
        <v>19.0</v>
      </c>
      <c r="L59" s="55">
        <v>0.0</v>
      </c>
      <c r="M59" s="55">
        <v>0.0</v>
      </c>
      <c r="N59" s="43">
        <f t="shared" si="1"/>
        <v>0</v>
      </c>
      <c r="O59" s="55">
        <v>3.0</v>
      </c>
      <c r="P59" s="55">
        <v>10.0</v>
      </c>
      <c r="Q59" s="43">
        <f t="shared" si="2"/>
        <v>13</v>
      </c>
      <c r="R59" s="43"/>
      <c r="S59" s="43"/>
      <c r="T59" s="43"/>
      <c r="U59" s="43"/>
      <c r="V59" s="55" t="s">
        <v>4849</v>
      </c>
      <c r="W59" s="56" t="s">
        <v>46</v>
      </c>
      <c r="Z59" s="61"/>
      <c r="AA59" s="61"/>
      <c r="AB59" s="66"/>
      <c r="AC59" s="34"/>
      <c r="AD59" s="34"/>
    </row>
    <row r="60" ht="13.5" customHeight="1">
      <c r="A60" s="28">
        <v>54.0</v>
      </c>
      <c r="B60" s="37" t="s">
        <v>421</v>
      </c>
      <c r="C60" s="37" t="s">
        <v>2472</v>
      </c>
      <c r="D60" s="37" t="s">
        <v>1921</v>
      </c>
      <c r="E60" s="133" t="s">
        <v>338</v>
      </c>
      <c r="F60" s="134">
        <v>41.0</v>
      </c>
      <c r="G60" s="134" t="s">
        <v>339</v>
      </c>
      <c r="H60" s="134" t="s">
        <v>349</v>
      </c>
      <c r="I60" s="134">
        <v>9.184865271E9</v>
      </c>
      <c r="J60" s="87">
        <v>30.0</v>
      </c>
      <c r="K60" s="55">
        <v>29.0</v>
      </c>
      <c r="L60" s="55">
        <v>0.0</v>
      </c>
      <c r="M60" s="55">
        <v>1.0</v>
      </c>
      <c r="N60" s="43">
        <f t="shared" si="1"/>
        <v>1</v>
      </c>
      <c r="O60" s="55">
        <v>2.0</v>
      </c>
      <c r="P60" s="55">
        <v>0.0</v>
      </c>
      <c r="Q60" s="43">
        <f t="shared" si="2"/>
        <v>3</v>
      </c>
      <c r="R60" s="43"/>
      <c r="S60" s="43"/>
      <c r="T60" s="43"/>
      <c r="U60" s="43"/>
      <c r="V60" s="43"/>
      <c r="W60" s="56" t="s">
        <v>46</v>
      </c>
      <c r="Z60" s="61"/>
      <c r="AA60" s="61"/>
      <c r="AB60" s="66"/>
      <c r="AC60" s="34"/>
      <c r="AD60" s="34"/>
    </row>
    <row r="61" ht="13.5" customHeight="1">
      <c r="A61" s="28">
        <v>55.0</v>
      </c>
      <c r="B61" s="37" t="s">
        <v>2505</v>
      </c>
      <c r="C61" s="37" t="s">
        <v>4850</v>
      </c>
      <c r="D61" s="99"/>
      <c r="E61" s="133" t="s">
        <v>338</v>
      </c>
      <c r="F61" s="134">
        <v>38.0</v>
      </c>
      <c r="G61" s="134" t="s">
        <v>339</v>
      </c>
      <c r="H61" s="134" t="s">
        <v>368</v>
      </c>
      <c r="I61" s="134">
        <v>9.261282411E9</v>
      </c>
      <c r="J61" s="87">
        <v>21.0</v>
      </c>
      <c r="K61" s="55">
        <v>20.0</v>
      </c>
      <c r="L61" s="55">
        <v>0.0</v>
      </c>
      <c r="M61" s="55">
        <v>0.0</v>
      </c>
      <c r="N61" s="43">
        <f t="shared" si="1"/>
        <v>0</v>
      </c>
      <c r="O61" s="55">
        <v>11.0</v>
      </c>
      <c r="P61" s="55">
        <v>1.0</v>
      </c>
      <c r="Q61" s="43">
        <f t="shared" si="2"/>
        <v>12</v>
      </c>
      <c r="R61" s="43"/>
      <c r="S61" s="55" t="s">
        <v>93</v>
      </c>
      <c r="T61" s="43"/>
      <c r="U61" s="43"/>
      <c r="V61" s="43"/>
      <c r="W61" s="56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37" t="s">
        <v>4851</v>
      </c>
      <c r="C62" s="37" t="s">
        <v>4852</v>
      </c>
      <c r="D62" s="37" t="s">
        <v>4853</v>
      </c>
      <c r="E62" s="133" t="s">
        <v>338</v>
      </c>
      <c r="F62" s="134">
        <v>55.0</v>
      </c>
      <c r="G62" s="134" t="s">
        <v>339</v>
      </c>
      <c r="H62" s="134" t="s">
        <v>646</v>
      </c>
      <c r="I62" s="134">
        <v>9.472029123E9</v>
      </c>
      <c r="J62" s="87">
        <v>19.0</v>
      </c>
      <c r="K62" s="55">
        <v>2.0</v>
      </c>
      <c r="L62" s="55">
        <v>1.0</v>
      </c>
      <c r="M62" s="55">
        <v>0.0</v>
      </c>
      <c r="N62" s="43">
        <f t="shared" si="1"/>
        <v>1</v>
      </c>
      <c r="O62" s="55">
        <v>13.0</v>
      </c>
      <c r="P62" s="55">
        <v>16.0</v>
      </c>
      <c r="Q62" s="43">
        <f t="shared" si="2"/>
        <v>30</v>
      </c>
      <c r="R62" s="43"/>
      <c r="S62" s="43"/>
      <c r="T62" s="43"/>
      <c r="U62" s="43"/>
      <c r="V62" s="55" t="s">
        <v>4854</v>
      </c>
      <c r="W62" s="56" t="s">
        <v>46</v>
      </c>
      <c r="Z62" s="61"/>
      <c r="AA62" s="61"/>
      <c r="AB62" s="66"/>
      <c r="AC62" s="34"/>
      <c r="AD62" s="34"/>
    </row>
    <row r="63" ht="13.5" customHeight="1">
      <c r="A63" s="28">
        <v>57.0</v>
      </c>
      <c r="B63" s="37" t="s">
        <v>1353</v>
      </c>
      <c r="C63" s="37" t="s">
        <v>4855</v>
      </c>
      <c r="D63" s="37" t="s">
        <v>4856</v>
      </c>
      <c r="E63" s="133" t="s">
        <v>338</v>
      </c>
      <c r="F63" s="134">
        <v>30.0</v>
      </c>
      <c r="G63" s="134" t="s">
        <v>339</v>
      </c>
      <c r="H63" s="134" t="s">
        <v>833</v>
      </c>
      <c r="I63" s="134">
        <v>9.289948987E9</v>
      </c>
      <c r="J63" s="87">
        <v>26.0</v>
      </c>
      <c r="K63" s="55">
        <v>23.0</v>
      </c>
      <c r="L63" s="55">
        <v>0.0</v>
      </c>
      <c r="M63" s="55">
        <v>1.0</v>
      </c>
      <c r="N63" s="43">
        <f t="shared" si="1"/>
        <v>1</v>
      </c>
      <c r="O63" s="55">
        <v>5.0</v>
      </c>
      <c r="P63" s="55">
        <v>2.0</v>
      </c>
      <c r="Q63" s="43">
        <f t="shared" si="2"/>
        <v>8</v>
      </c>
      <c r="R63" s="43"/>
      <c r="S63" s="43"/>
      <c r="T63" s="43"/>
      <c r="U63" s="43"/>
      <c r="V63" s="55" t="s">
        <v>4857</v>
      </c>
      <c r="W63" s="56" t="s">
        <v>46</v>
      </c>
      <c r="Z63" s="61"/>
      <c r="AA63" s="61"/>
      <c r="AB63" s="66"/>
      <c r="AC63" s="34"/>
      <c r="AD63" s="34"/>
    </row>
    <row r="64" ht="13.5" customHeight="1">
      <c r="A64" s="28">
        <v>58.0</v>
      </c>
      <c r="B64" s="37" t="s">
        <v>4858</v>
      </c>
      <c r="C64" s="37" t="s">
        <v>4859</v>
      </c>
      <c r="D64" s="37" t="s">
        <v>890</v>
      </c>
      <c r="E64" s="133" t="s">
        <v>338</v>
      </c>
      <c r="F64" s="134">
        <v>32.0</v>
      </c>
      <c r="G64" s="134" t="s">
        <v>339</v>
      </c>
      <c r="H64" s="134" t="s">
        <v>839</v>
      </c>
      <c r="I64" s="134">
        <v>9.605311433E9</v>
      </c>
      <c r="J64" s="87">
        <v>31.0</v>
      </c>
      <c r="K64" s="55">
        <v>28.0</v>
      </c>
      <c r="L64" s="55">
        <v>2.0</v>
      </c>
      <c r="M64" s="55">
        <v>1.0</v>
      </c>
      <c r="N64" s="43">
        <f t="shared" si="1"/>
        <v>3</v>
      </c>
      <c r="O64" s="55">
        <v>1.0</v>
      </c>
      <c r="P64" s="55">
        <v>0.0</v>
      </c>
      <c r="Q64" s="43">
        <f t="shared" si="2"/>
        <v>4</v>
      </c>
      <c r="R64" s="43"/>
      <c r="S64" s="43"/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37" t="s">
        <v>4858</v>
      </c>
      <c r="C65" s="37" t="s">
        <v>4860</v>
      </c>
      <c r="D65" s="37" t="s">
        <v>890</v>
      </c>
      <c r="E65" s="133" t="s">
        <v>338</v>
      </c>
      <c r="F65" s="134">
        <v>31.0</v>
      </c>
      <c r="G65" s="134" t="s">
        <v>339</v>
      </c>
      <c r="H65" s="134" t="s">
        <v>839</v>
      </c>
      <c r="I65" s="134">
        <v>9.128269658E9</v>
      </c>
      <c r="J65" s="87">
        <v>25.0</v>
      </c>
      <c r="K65" s="55">
        <v>21.0</v>
      </c>
      <c r="L65" s="55">
        <v>0.0</v>
      </c>
      <c r="M65" s="55">
        <v>1.0</v>
      </c>
      <c r="N65" s="43">
        <f t="shared" si="1"/>
        <v>1</v>
      </c>
      <c r="O65" s="55">
        <v>2.0</v>
      </c>
      <c r="P65" s="55">
        <v>3.0</v>
      </c>
      <c r="Q65" s="43">
        <f t="shared" si="2"/>
        <v>6</v>
      </c>
      <c r="R65" s="43"/>
      <c r="S65" s="43"/>
      <c r="T65" s="43"/>
      <c r="U65" s="43"/>
      <c r="V65" s="43"/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37" t="s">
        <v>4861</v>
      </c>
      <c r="C66" s="37" t="s">
        <v>4862</v>
      </c>
      <c r="D66" s="37" t="s">
        <v>1007</v>
      </c>
      <c r="E66" s="133" t="s">
        <v>338</v>
      </c>
      <c r="F66" s="134">
        <v>29.0</v>
      </c>
      <c r="G66" s="134" t="s">
        <v>339</v>
      </c>
      <c r="H66" s="134" t="s">
        <v>839</v>
      </c>
      <c r="I66" s="134">
        <v>9.467172243E9</v>
      </c>
      <c r="J66" s="87">
        <v>21.0</v>
      </c>
      <c r="K66" s="55">
        <v>16.0</v>
      </c>
      <c r="L66" s="55">
        <v>0.0</v>
      </c>
      <c r="M66" s="55">
        <v>1.0</v>
      </c>
      <c r="N66" s="43">
        <f t="shared" si="1"/>
        <v>1</v>
      </c>
      <c r="O66" s="55">
        <v>11.0</v>
      </c>
      <c r="P66" s="55">
        <v>4.0</v>
      </c>
      <c r="Q66" s="43">
        <f t="shared" si="2"/>
        <v>16</v>
      </c>
      <c r="R66" s="43"/>
      <c r="S66" s="43"/>
      <c r="T66" s="43"/>
      <c r="U66" s="43"/>
      <c r="V66" s="55" t="s">
        <v>4863</v>
      </c>
      <c r="W66" s="56" t="s">
        <v>46</v>
      </c>
      <c r="Z66" s="61"/>
      <c r="AA66" s="61"/>
      <c r="AB66" s="66"/>
      <c r="AC66" s="34"/>
      <c r="AD66" s="34"/>
    </row>
    <row r="67" ht="13.5" customHeight="1">
      <c r="A67" s="28">
        <v>61.0</v>
      </c>
      <c r="B67" s="37" t="s">
        <v>881</v>
      </c>
      <c r="C67" s="37" t="s">
        <v>4864</v>
      </c>
      <c r="D67" s="37" t="s">
        <v>4865</v>
      </c>
      <c r="E67" s="133" t="s">
        <v>338</v>
      </c>
      <c r="F67" s="134">
        <v>38.0</v>
      </c>
      <c r="G67" s="134" t="s">
        <v>339</v>
      </c>
      <c r="H67" s="134" t="s">
        <v>340</v>
      </c>
      <c r="I67" s="163" t="s">
        <v>4866</v>
      </c>
      <c r="J67" s="87">
        <v>27.0</v>
      </c>
      <c r="K67" s="55">
        <v>24.0</v>
      </c>
      <c r="L67" s="55">
        <v>2.0</v>
      </c>
      <c r="M67" s="55">
        <v>0.0</v>
      </c>
      <c r="N67" s="43">
        <f t="shared" si="1"/>
        <v>2</v>
      </c>
      <c r="O67" s="55">
        <v>5.0</v>
      </c>
      <c r="P67" s="55">
        <v>2.0</v>
      </c>
      <c r="Q67" s="43">
        <f t="shared" si="2"/>
        <v>9</v>
      </c>
      <c r="R67" s="43"/>
      <c r="S67" s="43"/>
      <c r="T67" s="43"/>
      <c r="U67" s="43"/>
      <c r="V67" s="43"/>
      <c r="W67" s="56" t="s">
        <v>46</v>
      </c>
      <c r="Z67" s="61"/>
      <c r="AA67" s="61"/>
      <c r="AB67" s="66"/>
      <c r="AC67" s="34"/>
      <c r="AD67" s="34"/>
    </row>
    <row r="68" ht="13.5" customHeight="1">
      <c r="A68" s="28">
        <v>62.0</v>
      </c>
      <c r="B68" s="37" t="s">
        <v>881</v>
      </c>
      <c r="C68" s="37" t="s">
        <v>4867</v>
      </c>
      <c r="D68" s="37" t="s">
        <v>4868</v>
      </c>
      <c r="E68" s="133" t="s">
        <v>338</v>
      </c>
      <c r="F68" s="134">
        <v>56.0</v>
      </c>
      <c r="G68" s="134" t="s">
        <v>385</v>
      </c>
      <c r="H68" s="134" t="s">
        <v>839</v>
      </c>
      <c r="I68" s="134">
        <v>9.474309147E9</v>
      </c>
      <c r="J68" s="87">
        <v>16.0</v>
      </c>
      <c r="K68" s="55">
        <v>8.0</v>
      </c>
      <c r="L68" s="55">
        <v>0.0</v>
      </c>
      <c r="M68" s="55">
        <v>0.0</v>
      </c>
      <c r="N68" s="43">
        <f t="shared" si="1"/>
        <v>0</v>
      </c>
      <c r="O68" s="55">
        <v>16.0</v>
      </c>
      <c r="P68" s="55">
        <v>8.0</v>
      </c>
      <c r="Q68" s="43">
        <f t="shared" si="2"/>
        <v>24</v>
      </c>
      <c r="R68" s="43"/>
      <c r="S68" s="43"/>
      <c r="T68" s="43"/>
      <c r="U68" s="43"/>
      <c r="V68" s="55" t="s">
        <v>1827</v>
      </c>
      <c r="W68" s="56" t="s">
        <v>46</v>
      </c>
      <c r="Z68" s="61"/>
      <c r="AA68" s="61"/>
      <c r="AB68" s="66"/>
      <c r="AC68" s="34"/>
      <c r="AD68" s="34"/>
    </row>
    <row r="69" ht="13.5" customHeight="1">
      <c r="A69" s="28">
        <v>63.0</v>
      </c>
      <c r="B69" s="37" t="s">
        <v>4869</v>
      </c>
      <c r="C69" s="37" t="s">
        <v>4870</v>
      </c>
      <c r="D69" s="37" t="s">
        <v>4871</v>
      </c>
      <c r="E69" s="133" t="s">
        <v>338</v>
      </c>
      <c r="F69" s="134">
        <v>38.0</v>
      </c>
      <c r="G69" s="134" t="s">
        <v>385</v>
      </c>
      <c r="H69" s="134" t="s">
        <v>839</v>
      </c>
      <c r="I69" s="163" t="s">
        <v>4872</v>
      </c>
      <c r="J69" s="87">
        <v>32.0</v>
      </c>
      <c r="K69" s="55">
        <v>27.0</v>
      </c>
      <c r="L69" s="55">
        <v>0.0</v>
      </c>
      <c r="M69" s="55">
        <v>5.0</v>
      </c>
      <c r="N69" s="43">
        <f t="shared" si="1"/>
        <v>5</v>
      </c>
      <c r="O69" s="55">
        <v>0.0</v>
      </c>
      <c r="P69" s="55">
        <v>0.0</v>
      </c>
      <c r="Q69" s="43">
        <f t="shared" si="2"/>
        <v>5</v>
      </c>
      <c r="R69" s="43"/>
      <c r="S69" s="43"/>
      <c r="T69" s="43"/>
      <c r="U69" s="43"/>
      <c r="V69" s="43"/>
      <c r="W69" s="56" t="s">
        <v>46</v>
      </c>
      <c r="Z69" s="61"/>
      <c r="AA69" s="61"/>
      <c r="AB69" s="66"/>
      <c r="AC69" s="34"/>
      <c r="AD69" s="34"/>
    </row>
    <row r="70" ht="13.5" customHeight="1">
      <c r="A70" s="28">
        <v>64.0</v>
      </c>
      <c r="B70" s="37" t="s">
        <v>881</v>
      </c>
      <c r="C70" s="37" t="s">
        <v>4873</v>
      </c>
      <c r="D70" s="37" t="s">
        <v>4874</v>
      </c>
      <c r="E70" s="133" t="s">
        <v>338</v>
      </c>
      <c r="F70" s="134">
        <v>35.0</v>
      </c>
      <c r="G70" s="134" t="s">
        <v>339</v>
      </c>
      <c r="H70" s="134" t="s">
        <v>435</v>
      </c>
      <c r="I70" s="134">
        <v>9.471029749E9</v>
      </c>
      <c r="J70" s="87">
        <v>27.0</v>
      </c>
      <c r="K70" s="55">
        <v>25.0</v>
      </c>
      <c r="L70" s="55">
        <v>0.0</v>
      </c>
      <c r="M70" s="55">
        <v>2.0</v>
      </c>
      <c r="N70" s="43">
        <f t="shared" si="1"/>
        <v>2</v>
      </c>
      <c r="O70" s="55">
        <v>5.0</v>
      </c>
      <c r="P70" s="55">
        <v>0.0</v>
      </c>
      <c r="Q70" s="43">
        <f t="shared" si="2"/>
        <v>7</v>
      </c>
      <c r="R70" s="43"/>
      <c r="S70" s="43"/>
      <c r="T70" s="43"/>
      <c r="U70" s="43"/>
      <c r="V70" s="43"/>
      <c r="W70" s="56" t="s">
        <v>46</v>
      </c>
      <c r="Z70" s="61"/>
      <c r="AA70" s="61"/>
      <c r="AB70" s="66"/>
      <c r="AC70" s="34"/>
      <c r="AD70" s="34"/>
    </row>
    <row r="71" ht="13.5" customHeight="1">
      <c r="A71" s="28">
        <v>65.0</v>
      </c>
      <c r="B71" s="37" t="s">
        <v>1684</v>
      </c>
      <c r="C71" s="37" t="s">
        <v>4875</v>
      </c>
      <c r="D71" s="37" t="s">
        <v>4876</v>
      </c>
      <c r="E71" s="133" t="s">
        <v>338</v>
      </c>
      <c r="F71" s="134">
        <v>31.0</v>
      </c>
      <c r="G71" s="134" t="s">
        <v>476</v>
      </c>
      <c r="H71" s="134" t="s">
        <v>646</v>
      </c>
      <c r="I71" s="134">
        <v>9.086251119E9</v>
      </c>
      <c r="J71" s="87">
        <v>29.0</v>
      </c>
      <c r="K71" s="55">
        <v>24.0</v>
      </c>
      <c r="L71" s="55">
        <v>0.0</v>
      </c>
      <c r="M71" s="55">
        <v>0.0</v>
      </c>
      <c r="N71" s="43">
        <f t="shared" si="1"/>
        <v>0</v>
      </c>
      <c r="O71" s="55">
        <v>3.0</v>
      </c>
      <c r="P71" s="55">
        <v>4.0</v>
      </c>
      <c r="Q71" s="43">
        <f t="shared" si="2"/>
        <v>7</v>
      </c>
      <c r="R71" s="43"/>
      <c r="S71" s="43"/>
      <c r="T71" s="43"/>
      <c r="U71" s="43"/>
      <c r="V71" s="43"/>
      <c r="W71" s="56" t="s">
        <v>46</v>
      </c>
      <c r="Z71" s="61"/>
      <c r="AA71" s="61"/>
      <c r="AB71" s="66"/>
      <c r="AC71" s="34"/>
      <c r="AD71" s="34"/>
    </row>
    <row r="72" ht="13.5" customHeight="1">
      <c r="A72" s="28">
        <v>66.0</v>
      </c>
      <c r="B72" s="37" t="s">
        <v>1138</v>
      </c>
      <c r="C72" s="37" t="s">
        <v>4877</v>
      </c>
      <c r="D72" s="37" t="s">
        <v>165</v>
      </c>
      <c r="E72" s="133" t="s">
        <v>338</v>
      </c>
      <c r="F72" s="134">
        <v>42.0</v>
      </c>
      <c r="G72" s="134" t="s">
        <v>339</v>
      </c>
      <c r="H72" s="134" t="s">
        <v>435</v>
      </c>
      <c r="I72" s="134">
        <v>9.197351629E9</v>
      </c>
      <c r="J72" s="87">
        <v>28.0</v>
      </c>
      <c r="K72" s="55">
        <v>17.0</v>
      </c>
      <c r="L72" s="55">
        <v>0.0</v>
      </c>
      <c r="M72" s="55">
        <v>0.0</v>
      </c>
      <c r="N72" s="43">
        <f t="shared" si="1"/>
        <v>0</v>
      </c>
      <c r="O72" s="55">
        <v>2.0</v>
      </c>
      <c r="P72" s="55">
        <v>11.0</v>
      </c>
      <c r="Q72" s="43">
        <f t="shared" si="2"/>
        <v>13</v>
      </c>
      <c r="R72" s="43"/>
      <c r="S72" s="43"/>
      <c r="T72" s="43"/>
      <c r="U72" s="43"/>
      <c r="V72" s="55" t="s">
        <v>1554</v>
      </c>
      <c r="W72" s="56" t="s">
        <v>46</v>
      </c>
      <c r="Z72" s="61"/>
      <c r="AA72" s="61"/>
      <c r="AB72" s="66"/>
      <c r="AC72" s="34"/>
      <c r="AD72" s="34"/>
    </row>
    <row r="73" ht="13.5" customHeight="1">
      <c r="A73" s="28">
        <v>67.0</v>
      </c>
      <c r="B73" s="37" t="s">
        <v>4878</v>
      </c>
      <c r="C73" s="37" t="s">
        <v>4879</v>
      </c>
      <c r="D73" s="37" t="s">
        <v>4880</v>
      </c>
      <c r="E73" s="133" t="s">
        <v>338</v>
      </c>
      <c r="F73" s="134">
        <v>41.0</v>
      </c>
      <c r="G73" s="134" t="s">
        <v>339</v>
      </c>
      <c r="H73" s="134" t="s">
        <v>646</v>
      </c>
      <c r="I73" s="134">
        <v>9.983414181E9</v>
      </c>
      <c r="J73" s="87">
        <v>30.0</v>
      </c>
      <c r="K73" s="55">
        <v>24.0</v>
      </c>
      <c r="L73" s="55">
        <v>3.0</v>
      </c>
      <c r="M73" s="55">
        <v>2.0</v>
      </c>
      <c r="N73" s="43">
        <f t="shared" si="1"/>
        <v>5</v>
      </c>
      <c r="O73" s="55">
        <v>2.0</v>
      </c>
      <c r="P73" s="55">
        <v>1.0</v>
      </c>
      <c r="Q73" s="43">
        <f t="shared" si="2"/>
        <v>8</v>
      </c>
      <c r="R73" s="43"/>
      <c r="S73" s="43"/>
      <c r="T73" s="43"/>
      <c r="U73" s="43"/>
      <c r="V73" s="43"/>
      <c r="W73" s="56" t="s">
        <v>46</v>
      </c>
      <c r="Z73" s="61"/>
      <c r="AA73" s="61"/>
      <c r="AB73" s="66"/>
      <c r="AC73" s="34"/>
      <c r="AD73" s="34"/>
    </row>
    <row r="74" ht="13.5" customHeight="1">
      <c r="A74" s="28">
        <v>68.0</v>
      </c>
      <c r="B74" s="37" t="s">
        <v>4729</v>
      </c>
      <c r="C74" s="37" t="s">
        <v>4881</v>
      </c>
      <c r="D74" s="37" t="s">
        <v>4882</v>
      </c>
      <c r="E74" s="133" t="s">
        <v>338</v>
      </c>
      <c r="F74" s="134">
        <v>42.0</v>
      </c>
      <c r="G74" s="134" t="s">
        <v>385</v>
      </c>
      <c r="H74" s="134" t="s">
        <v>708</v>
      </c>
      <c r="I74" s="134" t="s">
        <v>4883</v>
      </c>
      <c r="J74" s="87">
        <v>32.0</v>
      </c>
      <c r="K74" s="55">
        <v>27.0</v>
      </c>
      <c r="L74" s="55">
        <v>0.0</v>
      </c>
      <c r="M74" s="55">
        <v>0.0</v>
      </c>
      <c r="N74" s="43">
        <f t="shared" si="1"/>
        <v>0</v>
      </c>
      <c r="O74" s="55">
        <v>0.0</v>
      </c>
      <c r="P74" s="55">
        <v>5.0</v>
      </c>
      <c r="Q74" s="43">
        <f t="shared" si="2"/>
        <v>5</v>
      </c>
      <c r="R74" s="43"/>
      <c r="S74" s="43"/>
      <c r="T74" s="43"/>
      <c r="U74" s="43"/>
      <c r="V74" s="43"/>
      <c r="W74" s="56" t="s">
        <v>46</v>
      </c>
      <c r="Z74" s="61"/>
      <c r="AA74" s="61"/>
      <c r="AB74" s="66"/>
      <c r="AC74" s="34"/>
      <c r="AD74" s="34"/>
    </row>
    <row r="75" ht="13.5" customHeight="1">
      <c r="A75" s="28">
        <v>69.0</v>
      </c>
      <c r="B75" s="37" t="s">
        <v>4884</v>
      </c>
      <c r="C75" s="37" t="s">
        <v>4885</v>
      </c>
      <c r="D75" s="37" t="s">
        <v>945</v>
      </c>
      <c r="E75" s="133" t="s">
        <v>338</v>
      </c>
      <c r="F75" s="134">
        <v>33.0</v>
      </c>
      <c r="G75" s="134" t="s">
        <v>339</v>
      </c>
      <c r="H75" s="134" t="s">
        <v>340</v>
      </c>
      <c r="I75" s="134">
        <v>9.32848232E9</v>
      </c>
      <c r="J75" s="87">
        <v>27.0</v>
      </c>
      <c r="K75" s="55">
        <v>25.0</v>
      </c>
      <c r="L75" s="55">
        <v>0.0</v>
      </c>
      <c r="M75" s="55">
        <v>1.0</v>
      </c>
      <c r="N75" s="43">
        <f t="shared" si="1"/>
        <v>1</v>
      </c>
      <c r="O75" s="55">
        <v>1.0</v>
      </c>
      <c r="P75" s="55">
        <v>1.0</v>
      </c>
      <c r="Q75" s="43">
        <f t="shared" si="2"/>
        <v>3</v>
      </c>
      <c r="R75" s="43"/>
      <c r="S75" s="43"/>
      <c r="T75" s="43"/>
      <c r="U75" s="43"/>
      <c r="V75" s="55" t="s">
        <v>4886</v>
      </c>
      <c r="W75" s="56" t="s">
        <v>46</v>
      </c>
      <c r="Z75" s="61"/>
      <c r="AA75" s="61"/>
      <c r="AB75" s="66"/>
      <c r="AC75" s="34"/>
      <c r="AD75" s="34"/>
    </row>
    <row r="76" ht="13.5" customHeight="1">
      <c r="A76" s="28">
        <v>70.0</v>
      </c>
      <c r="B76" s="37" t="s">
        <v>541</v>
      </c>
      <c r="C76" s="37" t="s">
        <v>2549</v>
      </c>
      <c r="D76" s="37" t="s">
        <v>4887</v>
      </c>
      <c r="E76" s="133" t="s">
        <v>338</v>
      </c>
      <c r="F76" s="134">
        <v>42.0</v>
      </c>
      <c r="G76" s="134" t="s">
        <v>1690</v>
      </c>
      <c r="H76" s="134" t="s">
        <v>4279</v>
      </c>
      <c r="I76" s="134">
        <v>9.952533701E9</v>
      </c>
      <c r="J76" s="258">
        <v>17.0</v>
      </c>
      <c r="K76" s="95">
        <v>17.0</v>
      </c>
      <c r="L76" s="95">
        <v>0.0</v>
      </c>
      <c r="M76" s="95">
        <v>0.0</v>
      </c>
      <c r="N76" s="95">
        <v>0.0</v>
      </c>
      <c r="O76" s="95">
        <v>15.0</v>
      </c>
      <c r="P76" s="95">
        <v>0.0</v>
      </c>
      <c r="Q76" s="95">
        <v>15.0</v>
      </c>
      <c r="R76" s="72"/>
      <c r="S76" s="72"/>
      <c r="T76" s="72"/>
      <c r="U76" s="72"/>
      <c r="V76" s="97" t="s">
        <v>648</v>
      </c>
      <c r="W76" s="98" t="s">
        <v>46</v>
      </c>
      <c r="Z76" s="61"/>
      <c r="AA76" s="61"/>
      <c r="AB76" s="66"/>
      <c r="AC76" s="34"/>
      <c r="AD76" s="34"/>
    </row>
    <row r="77" ht="13.5" customHeight="1">
      <c r="A77" s="28">
        <v>71.0</v>
      </c>
      <c r="B77" s="37" t="s">
        <v>1061</v>
      </c>
      <c r="C77" s="37" t="s">
        <v>4888</v>
      </c>
      <c r="D77" s="37" t="s">
        <v>1076</v>
      </c>
      <c r="E77" s="133" t="s">
        <v>338</v>
      </c>
      <c r="F77" s="134">
        <v>27.0</v>
      </c>
      <c r="G77" s="134" t="s">
        <v>584</v>
      </c>
      <c r="H77" s="134" t="s">
        <v>4889</v>
      </c>
      <c r="I77" s="134">
        <v>9.474080466E9</v>
      </c>
      <c r="J77" s="54">
        <v>29.0</v>
      </c>
      <c r="K77" s="55">
        <v>27.0</v>
      </c>
      <c r="L77" s="55">
        <v>0.0</v>
      </c>
      <c r="M77" s="55">
        <v>0.0</v>
      </c>
      <c r="N77" s="43">
        <f t="shared" ref="N77:N169" si="3">sum(L77:M77)</f>
        <v>0</v>
      </c>
      <c r="O77" s="55">
        <v>3.0</v>
      </c>
      <c r="P77" s="55">
        <v>2.0</v>
      </c>
      <c r="Q77" s="43">
        <f t="shared" ref="Q77:Q161" si="4">(N77+O77+P77)</f>
        <v>5</v>
      </c>
      <c r="R77" s="43"/>
      <c r="S77" s="43"/>
      <c r="T77" s="43"/>
      <c r="U77" s="43"/>
      <c r="V77" s="43"/>
      <c r="W77" s="56" t="s">
        <v>46</v>
      </c>
      <c r="Z77" s="61"/>
      <c r="AA77" s="61"/>
      <c r="AB77" s="66"/>
      <c r="AC77" s="34"/>
      <c r="AD77" s="34"/>
    </row>
    <row r="78" ht="13.5" customHeight="1">
      <c r="A78" s="28">
        <v>72.0</v>
      </c>
      <c r="B78" s="37" t="s">
        <v>4890</v>
      </c>
      <c r="C78" s="37" t="s">
        <v>4891</v>
      </c>
      <c r="D78" s="37" t="s">
        <v>4892</v>
      </c>
      <c r="E78" s="133" t="s">
        <v>338</v>
      </c>
      <c r="F78" s="134">
        <v>33.0</v>
      </c>
      <c r="G78" s="134" t="s">
        <v>584</v>
      </c>
      <c r="H78" s="134" t="s">
        <v>663</v>
      </c>
      <c r="I78" s="134">
        <v>9.086412585E9</v>
      </c>
      <c r="J78" s="54">
        <v>32.0</v>
      </c>
      <c r="K78" s="55">
        <v>26.0</v>
      </c>
      <c r="L78" s="55">
        <v>0.0</v>
      </c>
      <c r="M78" s="55">
        <v>0.0</v>
      </c>
      <c r="N78" s="43">
        <f t="shared" si="3"/>
        <v>0</v>
      </c>
      <c r="O78" s="55">
        <v>0.0</v>
      </c>
      <c r="P78" s="55">
        <v>6.0</v>
      </c>
      <c r="Q78" s="43">
        <f t="shared" si="4"/>
        <v>6</v>
      </c>
      <c r="R78" s="43"/>
      <c r="S78" s="43"/>
      <c r="T78" s="43"/>
      <c r="U78" s="43"/>
      <c r="V78" s="55" t="s">
        <v>4893</v>
      </c>
      <c r="W78" s="56" t="s">
        <v>46</v>
      </c>
      <c r="Z78" s="61"/>
      <c r="AA78" s="61"/>
      <c r="AB78" s="66"/>
      <c r="AC78" s="34"/>
      <c r="AD78" s="34"/>
    </row>
    <row r="79" ht="13.5" customHeight="1">
      <c r="A79" s="28">
        <v>73.0</v>
      </c>
      <c r="B79" s="37" t="s">
        <v>4894</v>
      </c>
      <c r="C79" s="37" t="s">
        <v>4895</v>
      </c>
      <c r="D79" s="37" t="s">
        <v>4896</v>
      </c>
      <c r="E79" s="133" t="s">
        <v>338</v>
      </c>
      <c r="F79" s="134">
        <v>39.0</v>
      </c>
      <c r="G79" s="134" t="s">
        <v>476</v>
      </c>
      <c r="H79" s="134" t="s">
        <v>4889</v>
      </c>
      <c r="I79" s="134">
        <v>9.778306143E9</v>
      </c>
      <c r="J79" s="54">
        <v>27.0</v>
      </c>
      <c r="K79" s="55">
        <v>17.0</v>
      </c>
      <c r="L79" s="55">
        <v>1.0</v>
      </c>
      <c r="M79" s="55">
        <v>0.0</v>
      </c>
      <c r="N79" s="43">
        <f t="shared" si="3"/>
        <v>1</v>
      </c>
      <c r="O79" s="55">
        <v>5.0</v>
      </c>
      <c r="P79" s="55">
        <v>9.0</v>
      </c>
      <c r="Q79" s="43">
        <f t="shared" si="4"/>
        <v>15</v>
      </c>
      <c r="R79" s="43"/>
      <c r="S79" s="43"/>
      <c r="T79" s="43"/>
      <c r="U79" s="43"/>
      <c r="V79" s="43"/>
      <c r="W79" s="56" t="s">
        <v>46</v>
      </c>
      <c r="Z79" s="61"/>
      <c r="AA79" s="61"/>
      <c r="AB79" s="66"/>
      <c r="AC79" s="34"/>
      <c r="AD79" s="34"/>
    </row>
    <row r="80" ht="13.5" customHeight="1">
      <c r="A80" s="28">
        <v>74.0</v>
      </c>
      <c r="B80" s="37" t="s">
        <v>4897</v>
      </c>
      <c r="C80" s="37" t="s">
        <v>4777</v>
      </c>
      <c r="D80" s="37" t="s">
        <v>886</v>
      </c>
      <c r="E80" s="133" t="s">
        <v>338</v>
      </c>
      <c r="F80" s="134">
        <v>52.0</v>
      </c>
      <c r="G80" s="134" t="s">
        <v>385</v>
      </c>
      <c r="H80" s="134" t="s">
        <v>368</v>
      </c>
      <c r="I80" s="142"/>
      <c r="J80" s="54">
        <v>32.0</v>
      </c>
      <c r="K80" s="55">
        <v>30.0</v>
      </c>
      <c r="L80" s="55">
        <v>0.0</v>
      </c>
      <c r="M80" s="55">
        <v>0.0</v>
      </c>
      <c r="N80" s="43">
        <f t="shared" si="3"/>
        <v>0</v>
      </c>
      <c r="O80" s="55">
        <v>0.0</v>
      </c>
      <c r="P80" s="55">
        <v>2.0</v>
      </c>
      <c r="Q80" s="43">
        <f t="shared" si="4"/>
        <v>2</v>
      </c>
      <c r="R80" s="43"/>
      <c r="S80" s="43"/>
      <c r="T80" s="43"/>
      <c r="U80" s="43"/>
      <c r="V80" s="43"/>
      <c r="W80" s="56" t="s">
        <v>46</v>
      </c>
      <c r="Z80" s="61"/>
      <c r="AA80" s="61"/>
      <c r="AB80" s="66"/>
      <c r="AC80" s="34"/>
      <c r="AD80" s="34"/>
    </row>
    <row r="81" ht="13.5" customHeight="1">
      <c r="A81" s="28">
        <v>75.0</v>
      </c>
      <c r="B81" s="37" t="s">
        <v>2249</v>
      </c>
      <c r="C81" s="37" t="s">
        <v>4898</v>
      </c>
      <c r="D81" s="37" t="s">
        <v>4899</v>
      </c>
      <c r="E81" s="133" t="s">
        <v>338</v>
      </c>
      <c r="F81" s="134">
        <v>43.0</v>
      </c>
      <c r="G81" s="134" t="s">
        <v>476</v>
      </c>
      <c r="H81" s="134" t="s">
        <v>2658</v>
      </c>
      <c r="I81" s="134">
        <v>9.215143949E9</v>
      </c>
      <c r="J81" s="54">
        <v>21.0</v>
      </c>
      <c r="K81" s="55">
        <v>18.0</v>
      </c>
      <c r="L81" s="55">
        <v>0.0</v>
      </c>
      <c r="M81" s="55">
        <v>3.0</v>
      </c>
      <c r="N81" s="43">
        <f t="shared" si="3"/>
        <v>3</v>
      </c>
      <c r="O81" s="55">
        <v>11.0</v>
      </c>
      <c r="P81" s="55">
        <v>0.0</v>
      </c>
      <c r="Q81" s="43">
        <f t="shared" si="4"/>
        <v>14</v>
      </c>
      <c r="R81" s="43"/>
      <c r="S81" s="43"/>
      <c r="T81" s="43"/>
      <c r="U81" s="43"/>
      <c r="V81" s="43"/>
      <c r="W81" s="56" t="s">
        <v>46</v>
      </c>
      <c r="Z81" s="61"/>
      <c r="AA81" s="61"/>
      <c r="AB81" s="66"/>
      <c r="AC81" s="34"/>
      <c r="AD81" s="34"/>
    </row>
    <row r="82" ht="13.5" customHeight="1">
      <c r="A82" s="28">
        <v>76.0</v>
      </c>
      <c r="B82" s="37" t="s">
        <v>2189</v>
      </c>
      <c r="C82" s="37" t="s">
        <v>4900</v>
      </c>
      <c r="D82" s="37" t="s">
        <v>182</v>
      </c>
      <c r="E82" s="133" t="s">
        <v>338</v>
      </c>
      <c r="F82" s="134">
        <v>43.0</v>
      </c>
      <c r="G82" s="134" t="s">
        <v>476</v>
      </c>
      <c r="H82" s="134" t="s">
        <v>663</v>
      </c>
      <c r="I82" s="134">
        <v>9.947456003E9</v>
      </c>
      <c r="J82" s="54">
        <v>24.0</v>
      </c>
      <c r="K82" s="55">
        <v>19.0</v>
      </c>
      <c r="L82" s="55">
        <v>0.0</v>
      </c>
      <c r="M82" s="55">
        <v>0.0</v>
      </c>
      <c r="N82" s="43">
        <f t="shared" si="3"/>
        <v>0</v>
      </c>
      <c r="O82" s="55">
        <v>8.0</v>
      </c>
      <c r="P82" s="55">
        <v>5.0</v>
      </c>
      <c r="Q82" s="43">
        <f t="shared" si="4"/>
        <v>13</v>
      </c>
      <c r="R82" s="43"/>
      <c r="S82" s="43"/>
      <c r="T82" s="43"/>
      <c r="U82" s="43"/>
      <c r="V82" s="43"/>
      <c r="W82" s="56" t="s">
        <v>46</v>
      </c>
      <c r="Z82" s="61"/>
      <c r="AA82" s="61"/>
      <c r="AB82" s="66"/>
      <c r="AC82" s="34"/>
      <c r="AD82" s="34"/>
    </row>
    <row r="83" ht="13.5" customHeight="1">
      <c r="A83" s="28">
        <v>77.0</v>
      </c>
      <c r="B83" s="37" t="s">
        <v>1192</v>
      </c>
      <c r="C83" s="37" t="s">
        <v>4901</v>
      </c>
      <c r="D83" s="37" t="s">
        <v>4902</v>
      </c>
      <c r="E83" s="133" t="s">
        <v>338</v>
      </c>
      <c r="F83" s="134">
        <v>36.0</v>
      </c>
      <c r="G83" s="134" t="s">
        <v>584</v>
      </c>
      <c r="H83" s="134" t="s">
        <v>435</v>
      </c>
      <c r="I83" s="134">
        <v>9.368143929E9</v>
      </c>
      <c r="J83" s="54">
        <v>26.0</v>
      </c>
      <c r="K83" s="55">
        <v>24.0</v>
      </c>
      <c r="L83" s="55">
        <v>0.0</v>
      </c>
      <c r="M83" s="55">
        <v>0.0</v>
      </c>
      <c r="N83" s="43">
        <f t="shared" si="3"/>
        <v>0</v>
      </c>
      <c r="O83" s="55">
        <v>6.0</v>
      </c>
      <c r="P83" s="55">
        <v>2.0</v>
      </c>
      <c r="Q83" s="43">
        <f t="shared" si="4"/>
        <v>8</v>
      </c>
      <c r="R83" s="43"/>
      <c r="S83" s="43"/>
      <c r="T83" s="43"/>
      <c r="U83" s="43"/>
      <c r="V83" s="43"/>
      <c r="W83" s="56" t="s">
        <v>46</v>
      </c>
      <c r="Z83" s="61"/>
      <c r="AA83" s="61"/>
      <c r="AB83" s="66"/>
      <c r="AC83" s="34"/>
      <c r="AD83" s="34"/>
    </row>
    <row r="84" ht="13.5" customHeight="1">
      <c r="A84" s="28">
        <v>78.0</v>
      </c>
      <c r="B84" s="37" t="s">
        <v>1192</v>
      </c>
      <c r="C84" s="37" t="s">
        <v>4903</v>
      </c>
      <c r="D84" s="37" t="s">
        <v>4904</v>
      </c>
      <c r="E84" s="133" t="s">
        <v>338</v>
      </c>
      <c r="F84" s="134">
        <v>58.0</v>
      </c>
      <c r="G84" s="134" t="s">
        <v>476</v>
      </c>
      <c r="H84" s="134" t="s">
        <v>646</v>
      </c>
      <c r="I84" s="163" t="s">
        <v>4905</v>
      </c>
      <c r="J84" s="54">
        <v>20.0</v>
      </c>
      <c r="K84" s="55">
        <v>19.0</v>
      </c>
      <c r="L84" s="55">
        <v>0.0</v>
      </c>
      <c r="M84" s="55">
        <v>1.0</v>
      </c>
      <c r="N84" s="43">
        <f t="shared" si="3"/>
        <v>1</v>
      </c>
      <c r="O84" s="55">
        <v>12.0</v>
      </c>
      <c r="P84" s="55">
        <v>0.0</v>
      </c>
      <c r="Q84" s="43">
        <f t="shared" si="4"/>
        <v>13</v>
      </c>
      <c r="R84" s="43"/>
      <c r="S84" s="43"/>
      <c r="T84" s="43"/>
      <c r="U84" s="43"/>
      <c r="V84" s="55" t="s">
        <v>1827</v>
      </c>
      <c r="W84" s="56" t="s">
        <v>46</v>
      </c>
      <c r="Z84" s="61"/>
      <c r="AA84" s="61"/>
      <c r="AB84" s="66"/>
      <c r="AC84" s="34"/>
      <c r="AD84" s="34"/>
    </row>
    <row r="85" ht="13.5" customHeight="1">
      <c r="A85" s="28">
        <v>79.0</v>
      </c>
      <c r="B85" s="37" t="s">
        <v>4906</v>
      </c>
      <c r="C85" s="37" t="s">
        <v>4907</v>
      </c>
      <c r="D85" s="37" t="s">
        <v>4908</v>
      </c>
      <c r="E85" s="133" t="s">
        <v>338</v>
      </c>
      <c r="F85" s="134">
        <v>49.0</v>
      </c>
      <c r="G85" s="134" t="s">
        <v>584</v>
      </c>
      <c r="H85" s="134" t="s">
        <v>368</v>
      </c>
      <c r="I85" s="163" t="s">
        <v>4909</v>
      </c>
      <c r="J85" s="54">
        <v>26.0</v>
      </c>
      <c r="K85" s="55">
        <v>23.0</v>
      </c>
      <c r="L85" s="55">
        <v>2.0</v>
      </c>
      <c r="M85" s="55">
        <v>0.0</v>
      </c>
      <c r="N85" s="43">
        <f t="shared" si="3"/>
        <v>2</v>
      </c>
      <c r="O85" s="55">
        <v>6.0</v>
      </c>
      <c r="P85" s="55">
        <v>0.0</v>
      </c>
      <c r="Q85" s="43">
        <f t="shared" si="4"/>
        <v>8</v>
      </c>
      <c r="R85" s="43"/>
      <c r="S85" s="43"/>
      <c r="T85" s="43"/>
      <c r="U85" s="43"/>
      <c r="V85" s="43"/>
      <c r="W85" s="56" t="s">
        <v>46</v>
      </c>
      <c r="Z85" s="61"/>
      <c r="AA85" s="61"/>
      <c r="AB85" s="66"/>
      <c r="AC85" s="34"/>
      <c r="AD85" s="34"/>
    </row>
    <row r="86" ht="13.5" customHeight="1">
      <c r="A86" s="28">
        <v>80.0</v>
      </c>
      <c r="B86" s="37" t="s">
        <v>893</v>
      </c>
      <c r="C86" s="37" t="s">
        <v>4910</v>
      </c>
      <c r="D86" s="37" t="s">
        <v>4911</v>
      </c>
      <c r="E86" s="133" t="s">
        <v>338</v>
      </c>
      <c r="F86" s="134">
        <v>57.0</v>
      </c>
      <c r="G86" s="134" t="s">
        <v>339</v>
      </c>
      <c r="H86" s="134" t="s">
        <v>839</v>
      </c>
      <c r="I86" s="134">
        <v>9.207746315E9</v>
      </c>
      <c r="J86" s="54">
        <v>11.0</v>
      </c>
      <c r="K86" s="55">
        <v>11.0</v>
      </c>
      <c r="L86" s="55">
        <v>0.0</v>
      </c>
      <c r="M86" s="55">
        <v>0.0</v>
      </c>
      <c r="N86" s="43">
        <f t="shared" si="3"/>
        <v>0</v>
      </c>
      <c r="O86" s="55">
        <v>22.0</v>
      </c>
      <c r="P86" s="55">
        <v>0.0</v>
      </c>
      <c r="Q86" s="43">
        <f t="shared" si="4"/>
        <v>22</v>
      </c>
      <c r="R86" s="43"/>
      <c r="S86" s="43"/>
      <c r="T86" s="43"/>
      <c r="U86" s="43"/>
      <c r="V86" s="55" t="s">
        <v>1827</v>
      </c>
      <c r="W86" s="56" t="s">
        <v>46</v>
      </c>
      <c r="Z86" s="61"/>
      <c r="AA86" s="61"/>
      <c r="AB86" s="66"/>
      <c r="AC86" s="34"/>
      <c r="AD86" s="34"/>
    </row>
    <row r="87" ht="13.5" customHeight="1">
      <c r="A87" s="28">
        <v>81.0</v>
      </c>
      <c r="B87" s="37" t="s">
        <v>2152</v>
      </c>
      <c r="C87" s="37" t="s">
        <v>4912</v>
      </c>
      <c r="D87" s="37" t="s">
        <v>2447</v>
      </c>
      <c r="E87" s="133" t="s">
        <v>338</v>
      </c>
      <c r="F87" s="134">
        <v>33.0</v>
      </c>
      <c r="G87" s="134" t="s">
        <v>339</v>
      </c>
      <c r="H87" s="134" t="s">
        <v>663</v>
      </c>
      <c r="I87" s="134">
        <v>9.15328669E9</v>
      </c>
      <c r="J87" s="54">
        <v>30.0</v>
      </c>
      <c r="K87" s="55">
        <v>26.0</v>
      </c>
      <c r="L87" s="55">
        <v>0.0</v>
      </c>
      <c r="M87" s="55">
        <v>0.0</v>
      </c>
      <c r="N87" s="43">
        <f t="shared" si="3"/>
        <v>0</v>
      </c>
      <c r="O87" s="55">
        <v>2.0</v>
      </c>
      <c r="P87" s="55">
        <v>4.0</v>
      </c>
      <c r="Q87" s="43">
        <f t="shared" si="4"/>
        <v>6</v>
      </c>
      <c r="R87" s="43"/>
      <c r="S87" s="43"/>
      <c r="T87" s="43"/>
      <c r="U87" s="43"/>
      <c r="V87" s="43"/>
      <c r="W87" s="56" t="s">
        <v>46</v>
      </c>
      <c r="Z87" s="61"/>
      <c r="AA87" s="61"/>
      <c r="AB87" s="66"/>
      <c r="AC87" s="34"/>
      <c r="AD87" s="34"/>
    </row>
    <row r="88" ht="13.5" customHeight="1">
      <c r="A88" s="28">
        <v>82.0</v>
      </c>
      <c r="B88" s="37" t="s">
        <v>4913</v>
      </c>
      <c r="C88" s="37" t="s">
        <v>4914</v>
      </c>
      <c r="D88" s="37" t="s">
        <v>1958</v>
      </c>
      <c r="E88" s="133" t="s">
        <v>338</v>
      </c>
      <c r="F88" s="208">
        <v>38.0</v>
      </c>
      <c r="G88" s="134" t="s">
        <v>476</v>
      </c>
      <c r="H88" s="134" t="s">
        <v>663</v>
      </c>
      <c r="I88" s="134">
        <v>9.451976782E9</v>
      </c>
      <c r="J88" s="54">
        <v>27.0</v>
      </c>
      <c r="K88" s="55">
        <v>24.0</v>
      </c>
      <c r="L88" s="55">
        <v>0.0</v>
      </c>
      <c r="M88" s="55">
        <v>3.0</v>
      </c>
      <c r="N88" s="43">
        <f t="shared" si="3"/>
        <v>3</v>
      </c>
      <c r="O88" s="55">
        <v>5.0</v>
      </c>
      <c r="P88" s="55">
        <v>4.0</v>
      </c>
      <c r="Q88" s="43">
        <f t="shared" si="4"/>
        <v>12</v>
      </c>
      <c r="R88" s="43"/>
      <c r="S88" s="43"/>
      <c r="T88" s="43"/>
      <c r="U88" s="43"/>
      <c r="V88" s="43"/>
      <c r="W88" s="56" t="s">
        <v>46</v>
      </c>
      <c r="Z88" s="61"/>
      <c r="AA88" s="61"/>
      <c r="AB88" s="66"/>
      <c r="AC88" s="34"/>
      <c r="AD88" s="34"/>
    </row>
    <row r="89" ht="13.5" customHeight="1">
      <c r="A89" s="28">
        <v>83.0</v>
      </c>
      <c r="B89" s="37" t="s">
        <v>4915</v>
      </c>
      <c r="C89" s="37" t="s">
        <v>4916</v>
      </c>
      <c r="D89" s="37" t="s">
        <v>4917</v>
      </c>
      <c r="E89" s="133" t="s">
        <v>338</v>
      </c>
      <c r="F89" s="134">
        <v>35.0</v>
      </c>
      <c r="G89" s="134" t="s">
        <v>385</v>
      </c>
      <c r="H89" s="134" t="s">
        <v>833</v>
      </c>
      <c r="I89" s="134">
        <v>9.178734209E9</v>
      </c>
      <c r="J89" s="54">
        <v>29.0</v>
      </c>
      <c r="K89" s="55">
        <v>25.0</v>
      </c>
      <c r="L89" s="55">
        <v>2.0</v>
      </c>
      <c r="M89" s="55">
        <v>2.0</v>
      </c>
      <c r="N89" s="43">
        <f t="shared" si="3"/>
        <v>4</v>
      </c>
      <c r="O89" s="55">
        <v>3.0</v>
      </c>
      <c r="P89" s="55">
        <v>0.0</v>
      </c>
      <c r="Q89" s="43">
        <f t="shared" si="4"/>
        <v>7</v>
      </c>
      <c r="R89" s="43"/>
      <c r="S89" s="43"/>
      <c r="T89" s="43"/>
      <c r="U89" s="43"/>
      <c r="V89" s="55" t="s">
        <v>4918</v>
      </c>
      <c r="W89" s="56" t="s">
        <v>46</v>
      </c>
      <c r="Z89" s="61"/>
      <c r="AA89" s="61"/>
      <c r="AB89" s="66"/>
      <c r="AC89" s="34"/>
      <c r="AD89" s="34"/>
    </row>
    <row r="90" ht="13.5" customHeight="1">
      <c r="A90" s="28">
        <v>84.0</v>
      </c>
      <c r="B90" s="37" t="s">
        <v>436</v>
      </c>
      <c r="C90" s="37" t="s">
        <v>4919</v>
      </c>
      <c r="D90" s="37" t="s">
        <v>1461</v>
      </c>
      <c r="E90" s="133" t="s">
        <v>338</v>
      </c>
      <c r="F90" s="134">
        <v>40.0</v>
      </c>
      <c r="G90" s="134" t="s">
        <v>476</v>
      </c>
      <c r="H90" s="134" t="s">
        <v>663</v>
      </c>
      <c r="I90" s="134">
        <v>9.183898128E9</v>
      </c>
      <c r="J90" s="54">
        <v>28.0</v>
      </c>
      <c r="K90" s="55">
        <v>9.0</v>
      </c>
      <c r="L90" s="55">
        <v>0.0</v>
      </c>
      <c r="M90" s="55">
        <v>0.0</v>
      </c>
      <c r="N90" s="43">
        <f t="shared" si="3"/>
        <v>0</v>
      </c>
      <c r="O90" s="55">
        <v>2.0</v>
      </c>
      <c r="P90" s="55">
        <v>19.0</v>
      </c>
      <c r="Q90" s="43">
        <f t="shared" si="4"/>
        <v>21</v>
      </c>
      <c r="R90" s="43"/>
      <c r="S90" s="43"/>
      <c r="T90" s="43"/>
      <c r="U90" s="43"/>
      <c r="V90" s="43"/>
      <c r="W90" s="56" t="s">
        <v>46</v>
      </c>
      <c r="Z90" s="61"/>
      <c r="AA90" s="61"/>
      <c r="AB90" s="66"/>
      <c r="AC90" s="34"/>
      <c r="AD90" s="34"/>
    </row>
    <row r="91" ht="13.5" customHeight="1">
      <c r="A91" s="28">
        <v>85.0</v>
      </c>
      <c r="B91" s="37" t="s">
        <v>4920</v>
      </c>
      <c r="C91" s="37" t="s">
        <v>4921</v>
      </c>
      <c r="D91" s="37" t="s">
        <v>4920</v>
      </c>
      <c r="E91" s="133" t="s">
        <v>338</v>
      </c>
      <c r="F91" s="134">
        <v>51.0</v>
      </c>
      <c r="G91" s="134" t="s">
        <v>476</v>
      </c>
      <c r="H91" s="134" t="s">
        <v>480</v>
      </c>
      <c r="I91" s="134">
        <v>9.303997654E9</v>
      </c>
      <c r="J91" s="54">
        <v>16.0</v>
      </c>
      <c r="K91" s="55">
        <v>11.0</v>
      </c>
      <c r="L91" s="55">
        <v>4.0</v>
      </c>
      <c r="M91" s="55">
        <v>1.0</v>
      </c>
      <c r="N91" s="43">
        <f t="shared" si="3"/>
        <v>5</v>
      </c>
      <c r="O91" s="55">
        <v>11.0</v>
      </c>
      <c r="P91" s="55">
        <v>0.0</v>
      </c>
      <c r="Q91" s="43">
        <f t="shared" si="4"/>
        <v>16</v>
      </c>
      <c r="R91" s="43"/>
      <c r="S91" s="43"/>
      <c r="T91" s="43"/>
      <c r="U91" s="43"/>
      <c r="V91" s="55" t="s">
        <v>648</v>
      </c>
      <c r="W91" s="56" t="s">
        <v>46</v>
      </c>
      <c r="Z91" s="61"/>
      <c r="AA91" s="61"/>
      <c r="AB91" s="66"/>
      <c r="AC91" s="34"/>
      <c r="AD91" s="34"/>
    </row>
    <row r="92" ht="13.5" customHeight="1">
      <c r="A92" s="28">
        <v>86.0</v>
      </c>
      <c r="B92" s="37" t="s">
        <v>4922</v>
      </c>
      <c r="C92" s="37" t="s">
        <v>4923</v>
      </c>
      <c r="D92" s="37" t="s">
        <v>4924</v>
      </c>
      <c r="E92" s="133" t="s">
        <v>338</v>
      </c>
      <c r="F92" s="134">
        <v>47.0</v>
      </c>
      <c r="G92" s="134" t="s">
        <v>362</v>
      </c>
      <c r="H92" s="134" t="s">
        <v>4925</v>
      </c>
      <c r="I92" s="134">
        <v>9.684992228E9</v>
      </c>
      <c r="J92" s="54">
        <v>27.0</v>
      </c>
      <c r="K92" s="55">
        <v>19.0</v>
      </c>
      <c r="L92" s="55">
        <v>3.0</v>
      </c>
      <c r="M92" s="55">
        <v>5.0</v>
      </c>
      <c r="N92" s="43">
        <f t="shared" si="3"/>
        <v>8</v>
      </c>
      <c r="O92" s="55">
        <v>5.0</v>
      </c>
      <c r="P92" s="55">
        <v>0.0</v>
      </c>
      <c r="Q92" s="43">
        <f t="shared" si="4"/>
        <v>13</v>
      </c>
      <c r="R92" s="43"/>
      <c r="S92" s="43"/>
      <c r="T92" s="43"/>
      <c r="U92" s="43"/>
      <c r="V92" s="43"/>
      <c r="W92" s="56" t="s">
        <v>46</v>
      </c>
      <c r="Z92" s="61"/>
      <c r="AA92" s="61"/>
      <c r="AB92" s="66"/>
      <c r="AC92" s="34"/>
      <c r="AD92" s="34"/>
    </row>
    <row r="93" ht="13.5" customHeight="1">
      <c r="A93" s="28">
        <v>87.0</v>
      </c>
      <c r="B93" s="37" t="s">
        <v>4926</v>
      </c>
      <c r="C93" s="37" t="s">
        <v>4927</v>
      </c>
      <c r="D93" s="37" t="s">
        <v>4928</v>
      </c>
      <c r="E93" s="133" t="s">
        <v>338</v>
      </c>
      <c r="F93" s="134">
        <v>50.0</v>
      </c>
      <c r="G93" s="134" t="s">
        <v>385</v>
      </c>
      <c r="H93" s="134" t="s">
        <v>4929</v>
      </c>
      <c r="I93" s="134">
        <v>9.496961539E9</v>
      </c>
      <c r="J93" s="54">
        <v>20.0</v>
      </c>
      <c r="K93" s="55">
        <v>16.0</v>
      </c>
      <c r="L93" s="55">
        <v>2.0</v>
      </c>
      <c r="M93" s="55">
        <v>2.0</v>
      </c>
      <c r="N93" s="43">
        <f t="shared" si="3"/>
        <v>4</v>
      </c>
      <c r="O93" s="55">
        <v>12.0</v>
      </c>
      <c r="P93" s="55">
        <v>0.0</v>
      </c>
      <c r="Q93" s="43">
        <f t="shared" si="4"/>
        <v>16</v>
      </c>
      <c r="R93" s="43"/>
      <c r="S93" s="43"/>
      <c r="T93" s="55" t="s">
        <v>145</v>
      </c>
      <c r="U93" s="43"/>
      <c r="V93" s="55" t="s">
        <v>4930</v>
      </c>
      <c r="W93" s="56" t="s">
        <v>46</v>
      </c>
      <c r="Z93" s="61"/>
      <c r="AA93" s="61"/>
      <c r="AB93" s="66"/>
      <c r="AC93" s="34"/>
      <c r="AD93" s="34"/>
    </row>
    <row r="94" ht="13.5" customHeight="1">
      <c r="A94" s="28">
        <v>88.0</v>
      </c>
      <c r="B94" s="37" t="s">
        <v>4931</v>
      </c>
      <c r="C94" s="37" t="s">
        <v>4914</v>
      </c>
      <c r="D94" s="37" t="s">
        <v>4932</v>
      </c>
      <c r="E94" s="133" t="s">
        <v>338</v>
      </c>
      <c r="F94" s="134">
        <v>31.0</v>
      </c>
      <c r="G94" s="134" t="s">
        <v>339</v>
      </c>
      <c r="H94" s="134" t="s">
        <v>435</v>
      </c>
      <c r="I94" s="134">
        <v>9.541847085E9</v>
      </c>
      <c r="J94" s="54">
        <v>25.0</v>
      </c>
      <c r="K94" s="55">
        <v>22.0</v>
      </c>
      <c r="L94" s="55">
        <v>0.0</v>
      </c>
      <c r="M94" s="55">
        <v>0.0</v>
      </c>
      <c r="N94" s="43">
        <f t="shared" si="3"/>
        <v>0</v>
      </c>
      <c r="O94" s="55">
        <v>7.0</v>
      </c>
      <c r="P94" s="55">
        <v>2.0</v>
      </c>
      <c r="Q94" s="43">
        <f t="shared" si="4"/>
        <v>9</v>
      </c>
      <c r="R94" s="43"/>
      <c r="S94" s="43"/>
      <c r="T94" s="43"/>
      <c r="U94" s="43"/>
      <c r="V94" s="43"/>
      <c r="W94" s="56" t="s">
        <v>46</v>
      </c>
      <c r="Z94" s="61"/>
      <c r="AA94" s="61"/>
      <c r="AB94" s="66"/>
      <c r="AC94" s="34"/>
      <c r="AD94" s="34"/>
    </row>
    <row r="95" ht="13.5" customHeight="1">
      <c r="A95" s="28">
        <v>89.0</v>
      </c>
      <c r="B95" s="37" t="s">
        <v>4933</v>
      </c>
      <c r="C95" s="37" t="s">
        <v>59</v>
      </c>
      <c r="D95" s="37" t="s">
        <v>4791</v>
      </c>
      <c r="E95" s="133" t="s">
        <v>338</v>
      </c>
      <c r="F95" s="134">
        <v>42.0</v>
      </c>
      <c r="G95" s="134" t="s">
        <v>385</v>
      </c>
      <c r="H95" s="134" t="s">
        <v>663</v>
      </c>
      <c r="I95" s="134">
        <v>9.301848472E9</v>
      </c>
      <c r="J95" s="54">
        <v>19.0</v>
      </c>
      <c r="K95" s="55">
        <v>15.0</v>
      </c>
      <c r="L95" s="55">
        <v>4.0</v>
      </c>
      <c r="M95" s="55">
        <v>0.0</v>
      </c>
      <c r="N95" s="43">
        <f t="shared" si="3"/>
        <v>4</v>
      </c>
      <c r="O95" s="55">
        <v>13.0</v>
      </c>
      <c r="P95" s="55">
        <v>0.0</v>
      </c>
      <c r="Q95" s="43">
        <f t="shared" si="4"/>
        <v>17</v>
      </c>
      <c r="R95" s="43"/>
      <c r="S95" s="43"/>
      <c r="T95" s="43"/>
      <c r="U95" s="43"/>
      <c r="V95" s="55" t="s">
        <v>648</v>
      </c>
      <c r="W95" s="56" t="s">
        <v>46</v>
      </c>
      <c r="Z95" s="61"/>
      <c r="AA95" s="61"/>
      <c r="AB95" s="66"/>
      <c r="AC95" s="34"/>
      <c r="AD95" s="34"/>
    </row>
    <row r="96" ht="13.5" customHeight="1">
      <c r="A96" s="28">
        <v>90.0</v>
      </c>
      <c r="B96" s="37" t="s">
        <v>4934</v>
      </c>
      <c r="C96" s="37" t="s">
        <v>4935</v>
      </c>
      <c r="D96" s="37" t="s">
        <v>4936</v>
      </c>
      <c r="E96" s="133" t="s">
        <v>338</v>
      </c>
      <c r="F96" s="134">
        <v>56.0</v>
      </c>
      <c r="G96" s="134" t="s">
        <v>476</v>
      </c>
      <c r="H96" s="134" t="s">
        <v>4929</v>
      </c>
      <c r="I96" s="134">
        <v>9.988665279E9</v>
      </c>
      <c r="J96" s="54">
        <v>22.0</v>
      </c>
      <c r="K96" s="55">
        <v>14.0</v>
      </c>
      <c r="L96" s="55">
        <v>0.0</v>
      </c>
      <c r="M96" s="55">
        <v>6.0</v>
      </c>
      <c r="N96" s="43">
        <f t="shared" si="3"/>
        <v>6</v>
      </c>
      <c r="O96" s="55">
        <v>10.0</v>
      </c>
      <c r="P96" s="55">
        <v>2.0</v>
      </c>
      <c r="Q96" s="43">
        <f t="shared" si="4"/>
        <v>18</v>
      </c>
      <c r="R96" s="43"/>
      <c r="S96" s="43"/>
      <c r="T96" s="43"/>
      <c r="U96" s="43"/>
      <c r="V96" s="55" t="s">
        <v>648</v>
      </c>
      <c r="W96" s="56" t="s">
        <v>46</v>
      </c>
      <c r="Z96" s="61"/>
      <c r="AA96" s="61"/>
      <c r="AB96" s="66"/>
      <c r="AC96" s="34"/>
      <c r="AD96" s="34"/>
    </row>
    <row r="97" ht="13.5" customHeight="1">
      <c r="A97" s="28">
        <v>91.0</v>
      </c>
      <c r="B97" s="37" t="s">
        <v>4937</v>
      </c>
      <c r="C97" s="37" t="s">
        <v>4938</v>
      </c>
      <c r="D97" s="37" t="s">
        <v>3518</v>
      </c>
      <c r="E97" s="133" t="s">
        <v>338</v>
      </c>
      <c r="F97" s="134">
        <v>35.0</v>
      </c>
      <c r="G97" s="134" t="s">
        <v>476</v>
      </c>
      <c r="H97" s="134" t="s">
        <v>2672</v>
      </c>
      <c r="I97" s="134">
        <v>9.38418436E9</v>
      </c>
      <c r="J97" s="54">
        <v>30.0</v>
      </c>
      <c r="K97" s="55">
        <v>27.0</v>
      </c>
      <c r="L97" s="55">
        <v>0.0</v>
      </c>
      <c r="M97" s="55">
        <v>3.0</v>
      </c>
      <c r="N97" s="43">
        <f t="shared" si="3"/>
        <v>3</v>
      </c>
      <c r="O97" s="55">
        <v>2.0</v>
      </c>
      <c r="P97" s="55">
        <v>0.0</v>
      </c>
      <c r="Q97" s="43">
        <f t="shared" si="4"/>
        <v>5</v>
      </c>
      <c r="R97" s="43"/>
      <c r="S97" s="43"/>
      <c r="T97" s="43"/>
      <c r="U97" s="43"/>
      <c r="V97" s="43"/>
      <c r="W97" s="56" t="s">
        <v>46</v>
      </c>
      <c r="Z97" s="61"/>
      <c r="AA97" s="61"/>
      <c r="AB97" s="66"/>
      <c r="AC97" s="34"/>
      <c r="AD97" s="34"/>
    </row>
    <row r="98" ht="13.5" customHeight="1">
      <c r="A98" s="28">
        <v>92.0</v>
      </c>
      <c r="B98" s="37" t="s">
        <v>4939</v>
      </c>
      <c r="C98" s="37" t="s">
        <v>4761</v>
      </c>
      <c r="D98" s="37" t="s">
        <v>1693</v>
      </c>
      <c r="E98" s="133" t="s">
        <v>338</v>
      </c>
      <c r="F98" s="134">
        <v>50.0</v>
      </c>
      <c r="G98" s="134" t="s">
        <v>339</v>
      </c>
      <c r="H98" s="134" t="s">
        <v>663</v>
      </c>
      <c r="I98" s="134">
        <v>9.615000024E9</v>
      </c>
      <c r="J98" s="54">
        <v>30.0</v>
      </c>
      <c r="K98" s="55">
        <v>25.0</v>
      </c>
      <c r="L98" s="55">
        <v>1.0</v>
      </c>
      <c r="M98" s="55">
        <v>3.0</v>
      </c>
      <c r="N98" s="43">
        <f t="shared" si="3"/>
        <v>4</v>
      </c>
      <c r="O98" s="55">
        <v>2.0</v>
      </c>
      <c r="P98" s="55">
        <v>0.0</v>
      </c>
      <c r="Q98" s="43">
        <f t="shared" si="4"/>
        <v>6</v>
      </c>
      <c r="R98" s="43"/>
      <c r="S98" s="43"/>
      <c r="T98" s="43"/>
      <c r="U98" s="43"/>
      <c r="V98" s="43"/>
      <c r="W98" s="56" t="s">
        <v>46</v>
      </c>
      <c r="Z98" s="61"/>
      <c r="AA98" s="61"/>
      <c r="AB98" s="66"/>
      <c r="AC98" s="34"/>
      <c r="AD98" s="34"/>
    </row>
    <row r="99" ht="13.5" customHeight="1">
      <c r="A99" s="28">
        <v>93.0</v>
      </c>
      <c r="B99" s="37" t="s">
        <v>4940</v>
      </c>
      <c r="C99" s="37" t="s">
        <v>4941</v>
      </c>
      <c r="D99" s="37" t="s">
        <v>4942</v>
      </c>
      <c r="E99" s="133" t="s">
        <v>338</v>
      </c>
      <c r="F99" s="134">
        <v>42.0</v>
      </c>
      <c r="G99" s="134" t="s">
        <v>339</v>
      </c>
      <c r="H99" s="134" t="s">
        <v>435</v>
      </c>
      <c r="I99" s="134">
        <v>9.21401809E9</v>
      </c>
      <c r="J99" s="54">
        <v>27.0</v>
      </c>
      <c r="K99" s="55">
        <v>18.0</v>
      </c>
      <c r="L99" s="55">
        <v>0.0</v>
      </c>
      <c r="M99" s="55">
        <v>0.0</v>
      </c>
      <c r="N99" s="43">
        <f t="shared" si="3"/>
        <v>0</v>
      </c>
      <c r="O99" s="55">
        <v>5.0</v>
      </c>
      <c r="P99" s="55">
        <v>9.0</v>
      </c>
      <c r="Q99" s="43">
        <f t="shared" si="4"/>
        <v>14</v>
      </c>
      <c r="R99" s="43"/>
      <c r="S99" s="43"/>
      <c r="T99" s="43"/>
      <c r="U99" s="43"/>
      <c r="V99" s="43"/>
      <c r="W99" s="56" t="s">
        <v>46</v>
      </c>
      <c r="Z99" s="61"/>
      <c r="AA99" s="61"/>
      <c r="AB99" s="66"/>
      <c r="AC99" s="34"/>
      <c r="AD99" s="34"/>
    </row>
    <row r="100" ht="13.5" customHeight="1">
      <c r="A100" s="28">
        <v>94.0</v>
      </c>
      <c r="B100" s="37" t="s">
        <v>4943</v>
      </c>
      <c r="C100" s="37" t="s">
        <v>4944</v>
      </c>
      <c r="D100" s="37" t="s">
        <v>4945</v>
      </c>
      <c r="E100" s="133" t="s">
        <v>338</v>
      </c>
      <c r="F100" s="134">
        <v>53.0</v>
      </c>
      <c r="G100" s="134" t="s">
        <v>339</v>
      </c>
      <c r="H100" s="134" t="s">
        <v>646</v>
      </c>
      <c r="I100" s="134">
        <v>9.298270047E9</v>
      </c>
      <c r="J100" s="54">
        <v>24.0</v>
      </c>
      <c r="K100" s="55">
        <v>20.0</v>
      </c>
      <c r="L100" s="55">
        <v>0.0</v>
      </c>
      <c r="M100" s="55">
        <v>0.0</v>
      </c>
      <c r="N100" s="43">
        <f t="shared" si="3"/>
        <v>0</v>
      </c>
      <c r="O100" s="55">
        <v>8.0</v>
      </c>
      <c r="P100" s="55">
        <v>4.0</v>
      </c>
      <c r="Q100" s="43">
        <f t="shared" si="4"/>
        <v>12</v>
      </c>
      <c r="R100" s="43"/>
      <c r="S100" s="43"/>
      <c r="T100" s="43"/>
      <c r="U100" s="43"/>
      <c r="V100" s="55" t="s">
        <v>648</v>
      </c>
      <c r="W100" s="56" t="s">
        <v>46</v>
      </c>
      <c r="Z100" s="61"/>
      <c r="AA100" s="61"/>
      <c r="AB100" s="66"/>
      <c r="AC100" s="34"/>
      <c r="AD100" s="34"/>
    </row>
    <row r="101" ht="13.5" customHeight="1">
      <c r="A101" s="28">
        <v>95.0</v>
      </c>
      <c r="B101" s="37" t="s">
        <v>4946</v>
      </c>
      <c r="C101" s="37" t="s">
        <v>4947</v>
      </c>
      <c r="D101" s="37" t="s">
        <v>2615</v>
      </c>
      <c r="E101" s="133" t="s">
        <v>338</v>
      </c>
      <c r="F101" s="134">
        <v>36.0</v>
      </c>
      <c r="G101" s="134" t="s">
        <v>339</v>
      </c>
      <c r="H101" s="134" t="s">
        <v>663</v>
      </c>
      <c r="I101" s="134">
        <v>9.605311448E9</v>
      </c>
      <c r="J101" s="54">
        <v>29.0</v>
      </c>
      <c r="K101" s="55">
        <v>24.0</v>
      </c>
      <c r="L101" s="55">
        <v>1.0</v>
      </c>
      <c r="M101" s="55">
        <v>1.0</v>
      </c>
      <c r="N101" s="43">
        <f t="shared" si="3"/>
        <v>2</v>
      </c>
      <c r="O101" s="55">
        <v>3.0</v>
      </c>
      <c r="P101" s="55">
        <v>3.0</v>
      </c>
      <c r="Q101" s="43">
        <f t="shared" si="4"/>
        <v>8</v>
      </c>
      <c r="R101" s="43"/>
      <c r="S101" s="43"/>
      <c r="T101" s="43"/>
      <c r="U101" s="43"/>
      <c r="V101" s="43"/>
      <c r="W101" s="56" t="s">
        <v>46</v>
      </c>
      <c r="Z101" s="61"/>
      <c r="AA101" s="61"/>
      <c r="AB101" s="66"/>
      <c r="AC101" s="34"/>
      <c r="AD101" s="34"/>
    </row>
    <row r="102" ht="13.5" customHeight="1">
      <c r="A102" s="28">
        <v>96.0</v>
      </c>
      <c r="B102" s="37" t="s">
        <v>4946</v>
      </c>
      <c r="C102" s="37" t="s">
        <v>4948</v>
      </c>
      <c r="D102" s="37" t="s">
        <v>3688</v>
      </c>
      <c r="E102" s="133" t="s">
        <v>338</v>
      </c>
      <c r="F102" s="134">
        <v>43.0</v>
      </c>
      <c r="G102" s="134" t="s">
        <v>339</v>
      </c>
      <c r="H102" s="134" t="s">
        <v>839</v>
      </c>
      <c r="I102" s="134">
        <v>9.156151633E9</v>
      </c>
      <c r="J102" s="42"/>
      <c r="K102" s="43"/>
      <c r="L102" s="43"/>
      <c r="M102" s="43"/>
      <c r="N102" s="43">
        <f t="shared" si="3"/>
        <v>0</v>
      </c>
      <c r="O102" s="43"/>
      <c r="P102" s="43"/>
      <c r="Q102" s="43">
        <f t="shared" si="4"/>
        <v>0</v>
      </c>
      <c r="R102" s="43"/>
      <c r="S102" s="43"/>
      <c r="T102" s="43"/>
      <c r="U102" s="43"/>
      <c r="V102" s="43"/>
      <c r="W102" s="44"/>
      <c r="Z102" s="61"/>
      <c r="AA102" s="61"/>
      <c r="AB102" s="66"/>
      <c r="AC102" s="34"/>
      <c r="AD102" s="34"/>
    </row>
    <row r="103" ht="13.5" customHeight="1">
      <c r="A103" s="28">
        <v>97.0</v>
      </c>
      <c r="B103" s="37" t="s">
        <v>4949</v>
      </c>
      <c r="C103" s="37" t="s">
        <v>4950</v>
      </c>
      <c r="D103" s="37" t="s">
        <v>1075</v>
      </c>
      <c r="E103" s="133" t="s">
        <v>338</v>
      </c>
      <c r="F103" s="134">
        <v>36.0</v>
      </c>
      <c r="G103" s="134" t="s">
        <v>339</v>
      </c>
      <c r="H103" s="134" t="s">
        <v>435</v>
      </c>
      <c r="I103" s="134">
        <v>9.978159502E9</v>
      </c>
      <c r="J103" s="54">
        <v>27.0</v>
      </c>
      <c r="K103" s="55">
        <v>22.0</v>
      </c>
      <c r="L103" s="55">
        <v>0.0</v>
      </c>
      <c r="M103" s="55">
        <v>5.0</v>
      </c>
      <c r="N103" s="43">
        <f t="shared" si="3"/>
        <v>5</v>
      </c>
      <c r="O103" s="55">
        <v>1.0</v>
      </c>
      <c r="P103" s="55">
        <v>0.0</v>
      </c>
      <c r="Q103" s="43">
        <f t="shared" si="4"/>
        <v>6</v>
      </c>
      <c r="R103" s="43"/>
      <c r="S103" s="43"/>
      <c r="T103" s="43"/>
      <c r="U103" s="43"/>
      <c r="V103" s="43"/>
      <c r="W103" s="56" t="s">
        <v>46</v>
      </c>
      <c r="Z103" s="61"/>
      <c r="AA103" s="61"/>
      <c r="AB103" s="66"/>
      <c r="AC103" s="34"/>
      <c r="AD103" s="34"/>
    </row>
    <row r="104" ht="13.5" customHeight="1">
      <c r="A104" s="28">
        <v>98.0</v>
      </c>
      <c r="B104" s="37" t="s">
        <v>4951</v>
      </c>
      <c r="C104" s="37" t="s">
        <v>4952</v>
      </c>
      <c r="D104" s="99"/>
      <c r="E104" s="133" t="s">
        <v>338</v>
      </c>
      <c r="F104" s="134">
        <v>53.0</v>
      </c>
      <c r="G104" s="134" t="s">
        <v>339</v>
      </c>
      <c r="H104" s="134" t="s">
        <v>833</v>
      </c>
      <c r="I104" s="142"/>
      <c r="J104" s="54">
        <v>18.0</v>
      </c>
      <c r="K104" s="55">
        <v>14.0</v>
      </c>
      <c r="L104" s="55">
        <v>0.0</v>
      </c>
      <c r="M104" s="55">
        <v>4.0</v>
      </c>
      <c r="N104" s="43">
        <f t="shared" si="3"/>
        <v>4</v>
      </c>
      <c r="O104" s="55">
        <v>14.0</v>
      </c>
      <c r="P104" s="55">
        <v>0.0</v>
      </c>
      <c r="Q104" s="43">
        <f t="shared" si="4"/>
        <v>18</v>
      </c>
      <c r="R104" s="43"/>
      <c r="S104" s="43"/>
      <c r="T104" s="43"/>
      <c r="U104" s="43"/>
      <c r="V104" s="55" t="s">
        <v>648</v>
      </c>
      <c r="W104" s="56" t="s">
        <v>46</v>
      </c>
      <c r="Z104" s="61"/>
      <c r="AA104" s="61"/>
      <c r="AB104" s="66"/>
      <c r="AC104" s="34"/>
      <c r="AD104" s="34"/>
    </row>
    <row r="105" ht="13.5" customHeight="1">
      <c r="A105" s="28">
        <v>99.0</v>
      </c>
      <c r="B105" s="37" t="s">
        <v>4953</v>
      </c>
      <c r="C105" s="37" t="s">
        <v>4954</v>
      </c>
      <c r="D105" s="37" t="s">
        <v>4955</v>
      </c>
      <c r="E105" s="133" t="s">
        <v>338</v>
      </c>
      <c r="F105" s="134">
        <v>52.0</v>
      </c>
      <c r="G105" s="134" t="s">
        <v>339</v>
      </c>
      <c r="H105" s="134" t="s">
        <v>839</v>
      </c>
      <c r="I105" s="134">
        <v>9.944037991E9</v>
      </c>
      <c r="J105" s="54">
        <v>13.0</v>
      </c>
      <c r="K105" s="55">
        <v>13.0</v>
      </c>
      <c r="L105" s="55">
        <v>0.0</v>
      </c>
      <c r="M105" s="55">
        <v>0.0</v>
      </c>
      <c r="N105" s="43">
        <f t="shared" si="3"/>
        <v>0</v>
      </c>
      <c r="O105" s="55">
        <v>19.0</v>
      </c>
      <c r="P105" s="55">
        <v>0.0</v>
      </c>
      <c r="Q105" s="43">
        <f t="shared" si="4"/>
        <v>19</v>
      </c>
      <c r="R105" s="43"/>
      <c r="S105" s="43"/>
      <c r="T105" s="43"/>
      <c r="U105" s="43"/>
      <c r="V105" s="55" t="s">
        <v>4956</v>
      </c>
      <c r="W105" s="56" t="s">
        <v>46</v>
      </c>
      <c r="Z105" s="61"/>
      <c r="AA105" s="61"/>
      <c r="AB105" s="66"/>
      <c r="AC105" s="34"/>
      <c r="AD105" s="34"/>
    </row>
    <row r="106" ht="13.5" customHeight="1">
      <c r="A106" s="28">
        <v>100.0</v>
      </c>
      <c r="B106" s="37" t="s">
        <v>4957</v>
      </c>
      <c r="C106" s="37" t="s">
        <v>4958</v>
      </c>
      <c r="D106" s="37" t="s">
        <v>4959</v>
      </c>
      <c r="E106" s="133" t="s">
        <v>338</v>
      </c>
      <c r="F106" s="134">
        <v>34.0</v>
      </c>
      <c r="G106" s="134" t="s">
        <v>339</v>
      </c>
      <c r="H106" s="134" t="s">
        <v>839</v>
      </c>
      <c r="I106" s="134">
        <v>9.120469485E9</v>
      </c>
      <c r="J106" s="54">
        <v>24.0</v>
      </c>
      <c r="K106" s="55">
        <v>12.0</v>
      </c>
      <c r="L106" s="55">
        <v>0.0</v>
      </c>
      <c r="M106" s="55">
        <v>0.0</v>
      </c>
      <c r="N106" s="43">
        <f t="shared" si="3"/>
        <v>0</v>
      </c>
      <c r="O106" s="55">
        <v>8.0</v>
      </c>
      <c r="P106" s="55">
        <v>12.0</v>
      </c>
      <c r="Q106" s="43">
        <f t="shared" si="4"/>
        <v>20</v>
      </c>
      <c r="R106" s="43"/>
      <c r="S106" s="43"/>
      <c r="T106" s="43"/>
      <c r="U106" s="43"/>
      <c r="V106" s="55" t="s">
        <v>648</v>
      </c>
      <c r="W106" s="56" t="s">
        <v>46</v>
      </c>
      <c r="Z106" s="61"/>
      <c r="AA106" s="61"/>
      <c r="AB106" s="66"/>
      <c r="AC106" s="34"/>
      <c r="AD106" s="34"/>
    </row>
    <row r="107" ht="13.5" customHeight="1">
      <c r="A107" s="28">
        <v>101.0</v>
      </c>
      <c r="B107" s="37" t="s">
        <v>1424</v>
      </c>
      <c r="C107" s="37" t="s">
        <v>4960</v>
      </c>
      <c r="D107" s="37" t="s">
        <v>4961</v>
      </c>
      <c r="E107" s="133" t="s">
        <v>338</v>
      </c>
      <c r="F107" s="134">
        <v>29.0</v>
      </c>
      <c r="G107" s="134" t="s">
        <v>385</v>
      </c>
      <c r="H107" s="134" t="s">
        <v>340</v>
      </c>
      <c r="I107" s="134">
        <v>9.095448882E9</v>
      </c>
      <c r="J107" s="54">
        <v>31.0</v>
      </c>
      <c r="K107" s="55">
        <v>26.0</v>
      </c>
      <c r="L107" s="55">
        <v>0.0</v>
      </c>
      <c r="M107" s="55">
        <v>3.0</v>
      </c>
      <c r="N107" s="43">
        <f t="shared" si="3"/>
        <v>3</v>
      </c>
      <c r="O107" s="55">
        <v>1.0</v>
      </c>
      <c r="P107" s="55">
        <v>2.0</v>
      </c>
      <c r="Q107" s="43">
        <f t="shared" si="4"/>
        <v>6</v>
      </c>
      <c r="R107" s="43"/>
      <c r="S107" s="43"/>
      <c r="T107" s="43"/>
      <c r="U107" s="43"/>
      <c r="V107" s="43"/>
      <c r="W107" s="56" t="s">
        <v>46</v>
      </c>
      <c r="Z107" s="61"/>
      <c r="AA107" s="61"/>
      <c r="AB107" s="66"/>
      <c r="AC107" s="34"/>
      <c r="AD107" s="34"/>
    </row>
    <row r="108" ht="13.5" customHeight="1">
      <c r="A108" s="28">
        <v>102.0</v>
      </c>
      <c r="B108" s="37" t="s">
        <v>4962</v>
      </c>
      <c r="C108" s="37" t="s">
        <v>933</v>
      </c>
      <c r="D108" s="37" t="s">
        <v>4963</v>
      </c>
      <c r="E108" s="133" t="s">
        <v>338</v>
      </c>
      <c r="F108" s="134">
        <v>57.0</v>
      </c>
      <c r="G108" s="134" t="s">
        <v>339</v>
      </c>
      <c r="H108" s="134" t="s">
        <v>839</v>
      </c>
      <c r="I108" s="134">
        <v>9.107883894E9</v>
      </c>
      <c r="J108" s="54">
        <v>1.0</v>
      </c>
      <c r="K108" s="55">
        <v>1.0</v>
      </c>
      <c r="L108" s="55">
        <v>0.0</v>
      </c>
      <c r="M108" s="55">
        <v>0.0</v>
      </c>
      <c r="N108" s="43">
        <f t="shared" si="3"/>
        <v>0</v>
      </c>
      <c r="O108" s="55">
        <v>30.0</v>
      </c>
      <c r="P108" s="55">
        <v>1.0</v>
      </c>
      <c r="Q108" s="43">
        <f t="shared" si="4"/>
        <v>31</v>
      </c>
      <c r="R108" s="43"/>
      <c r="S108" s="55" t="s">
        <v>74</v>
      </c>
      <c r="T108" s="43"/>
      <c r="U108" s="43"/>
      <c r="V108" s="43"/>
      <c r="W108" s="56" t="s">
        <v>46</v>
      </c>
      <c r="Z108" s="61"/>
      <c r="AA108" s="61"/>
      <c r="AB108" s="66"/>
      <c r="AC108" s="34"/>
      <c r="AD108" s="34"/>
    </row>
    <row r="109" ht="13.5" customHeight="1">
      <c r="A109" s="28">
        <v>103.0</v>
      </c>
      <c r="B109" s="37" t="s">
        <v>4964</v>
      </c>
      <c r="C109" s="37" t="s">
        <v>4965</v>
      </c>
      <c r="D109" s="37" t="s">
        <v>4887</v>
      </c>
      <c r="E109" s="133" t="s">
        <v>338</v>
      </c>
      <c r="F109" s="134">
        <v>57.0</v>
      </c>
      <c r="G109" s="134" t="s">
        <v>339</v>
      </c>
      <c r="H109" s="134" t="s">
        <v>833</v>
      </c>
      <c r="I109" s="134">
        <v>9.605311185E9</v>
      </c>
      <c r="J109" s="54">
        <v>22.0</v>
      </c>
      <c r="K109" s="55">
        <v>19.0</v>
      </c>
      <c r="L109" s="55">
        <v>0.0</v>
      </c>
      <c r="M109" s="55">
        <v>0.0</v>
      </c>
      <c r="N109" s="43">
        <f t="shared" si="3"/>
        <v>0</v>
      </c>
      <c r="O109" s="55">
        <v>10.0</v>
      </c>
      <c r="P109" s="55">
        <v>2.0</v>
      </c>
      <c r="Q109" s="43">
        <f t="shared" si="4"/>
        <v>12</v>
      </c>
      <c r="R109" s="43"/>
      <c r="S109" s="43"/>
      <c r="T109" s="43"/>
      <c r="U109" s="43"/>
      <c r="V109" s="55" t="s">
        <v>648</v>
      </c>
      <c r="W109" s="56" t="s">
        <v>46</v>
      </c>
      <c r="Z109" s="61"/>
      <c r="AA109" s="61"/>
      <c r="AB109" s="66"/>
      <c r="AC109" s="34"/>
      <c r="AD109" s="34"/>
    </row>
    <row r="110" ht="13.5" customHeight="1">
      <c r="A110" s="28">
        <v>104.0</v>
      </c>
      <c r="B110" s="37" t="s">
        <v>4966</v>
      </c>
      <c r="C110" s="37" t="s">
        <v>4967</v>
      </c>
      <c r="D110" s="37" t="s">
        <v>4968</v>
      </c>
      <c r="E110" s="133" t="s">
        <v>338</v>
      </c>
      <c r="F110" s="134">
        <v>40.0</v>
      </c>
      <c r="G110" s="134" t="s">
        <v>385</v>
      </c>
      <c r="H110" s="134" t="s">
        <v>839</v>
      </c>
      <c r="I110" s="134">
        <v>9.988584146E9</v>
      </c>
      <c r="J110" s="410"/>
      <c r="K110" s="410"/>
      <c r="L110" s="410"/>
      <c r="M110" s="410"/>
      <c r="N110" s="43">
        <f t="shared" si="3"/>
        <v>0</v>
      </c>
      <c r="O110" s="410"/>
      <c r="P110" s="410"/>
      <c r="Q110" s="43">
        <f t="shared" si="4"/>
        <v>0</v>
      </c>
      <c r="R110" s="43"/>
      <c r="S110" s="43"/>
      <c r="T110" s="43"/>
      <c r="U110" s="43"/>
      <c r="V110" s="410"/>
      <c r="W110" s="56"/>
      <c r="Z110" s="61"/>
      <c r="AA110" s="61"/>
      <c r="AB110" s="66"/>
      <c r="AC110" s="34"/>
      <c r="AD110" s="34"/>
    </row>
    <row r="111" ht="13.5" customHeight="1">
      <c r="A111" s="28">
        <v>105.0</v>
      </c>
      <c r="B111" s="37" t="s">
        <v>1210</v>
      </c>
      <c r="C111" s="37" t="s">
        <v>4969</v>
      </c>
      <c r="D111" s="37" t="s">
        <v>2450</v>
      </c>
      <c r="E111" s="133" t="s">
        <v>338</v>
      </c>
      <c r="F111" s="134">
        <v>29.0</v>
      </c>
      <c r="G111" s="134" t="s">
        <v>339</v>
      </c>
      <c r="H111" s="134" t="s">
        <v>340</v>
      </c>
      <c r="I111" s="134">
        <v>9.460834158E9</v>
      </c>
      <c r="J111" s="54">
        <v>28.0</v>
      </c>
      <c r="K111" s="55">
        <v>27.0</v>
      </c>
      <c r="L111" s="55">
        <v>0.0</v>
      </c>
      <c r="M111" s="55">
        <v>1.0</v>
      </c>
      <c r="N111" s="43">
        <f t="shared" si="3"/>
        <v>1</v>
      </c>
      <c r="O111" s="55">
        <v>4.0</v>
      </c>
      <c r="P111" s="55">
        <v>0.0</v>
      </c>
      <c r="Q111" s="43">
        <f t="shared" si="4"/>
        <v>5</v>
      </c>
      <c r="R111" s="43"/>
      <c r="S111" s="43"/>
      <c r="T111" s="43"/>
      <c r="U111" s="43"/>
      <c r="V111" s="43"/>
      <c r="W111" s="56" t="s">
        <v>46</v>
      </c>
      <c r="Z111" s="61"/>
      <c r="AA111" s="61"/>
      <c r="AB111" s="66"/>
      <c r="AC111" s="34"/>
      <c r="AD111" s="34"/>
    </row>
    <row r="112" ht="13.5" customHeight="1">
      <c r="A112" s="28">
        <v>106.0</v>
      </c>
      <c r="B112" s="37" t="s">
        <v>4970</v>
      </c>
      <c r="C112" s="37" t="s">
        <v>4971</v>
      </c>
      <c r="D112" s="37" t="s">
        <v>4972</v>
      </c>
      <c r="E112" s="133" t="s">
        <v>338</v>
      </c>
      <c r="F112" s="134">
        <v>38.0</v>
      </c>
      <c r="G112" s="134" t="s">
        <v>385</v>
      </c>
      <c r="H112" s="134" t="s">
        <v>708</v>
      </c>
      <c r="I112" s="134">
        <v>9.482535936E9</v>
      </c>
      <c r="J112" s="54">
        <v>25.0</v>
      </c>
      <c r="K112" s="55">
        <v>21.0</v>
      </c>
      <c r="L112" s="55">
        <v>0.0</v>
      </c>
      <c r="M112" s="55">
        <v>3.0</v>
      </c>
      <c r="N112" s="43">
        <f t="shared" si="3"/>
        <v>3</v>
      </c>
      <c r="O112" s="55">
        <v>7.0</v>
      </c>
      <c r="P112" s="55">
        <v>1.0</v>
      </c>
      <c r="Q112" s="43">
        <f t="shared" si="4"/>
        <v>11</v>
      </c>
      <c r="R112" s="43"/>
      <c r="S112" s="43"/>
      <c r="T112" s="43"/>
      <c r="U112" s="43"/>
      <c r="V112" s="55" t="s">
        <v>648</v>
      </c>
      <c r="W112" s="56" t="s">
        <v>46</v>
      </c>
      <c r="Z112" s="61"/>
      <c r="AA112" s="61"/>
      <c r="AB112" s="66"/>
      <c r="AC112" s="34"/>
      <c r="AD112" s="34"/>
    </row>
    <row r="113" ht="13.5" customHeight="1">
      <c r="A113" s="28">
        <v>107.0</v>
      </c>
      <c r="B113" s="37" t="s">
        <v>4973</v>
      </c>
      <c r="C113" s="37" t="s">
        <v>4974</v>
      </c>
      <c r="D113" s="99"/>
      <c r="E113" s="133" t="s">
        <v>338</v>
      </c>
      <c r="F113" s="134">
        <v>43.0</v>
      </c>
      <c r="G113" s="134" t="s">
        <v>339</v>
      </c>
      <c r="H113" s="134" t="s">
        <v>708</v>
      </c>
      <c r="I113" s="134">
        <v>9.153745262E9</v>
      </c>
      <c r="J113" s="54">
        <v>32.0</v>
      </c>
      <c r="K113" s="55">
        <v>31.0</v>
      </c>
      <c r="L113" s="55">
        <v>0.0</v>
      </c>
      <c r="M113" s="55">
        <v>1.0</v>
      </c>
      <c r="N113" s="43">
        <f t="shared" si="3"/>
        <v>1</v>
      </c>
      <c r="O113" s="55">
        <v>0.0</v>
      </c>
      <c r="P113" s="55">
        <v>0.0</v>
      </c>
      <c r="Q113" s="43">
        <f t="shared" si="4"/>
        <v>1</v>
      </c>
      <c r="R113" s="43"/>
      <c r="S113" s="43"/>
      <c r="T113" s="43"/>
      <c r="U113" s="43"/>
      <c r="V113" s="43"/>
      <c r="W113" s="56" t="s">
        <v>46</v>
      </c>
      <c r="Z113" s="61"/>
      <c r="AA113" s="61"/>
      <c r="AB113" s="66"/>
      <c r="AC113" s="34"/>
      <c r="AD113" s="34"/>
    </row>
    <row r="114" ht="13.5" customHeight="1">
      <c r="A114" s="28">
        <v>108.0</v>
      </c>
      <c r="B114" s="37" t="s">
        <v>4706</v>
      </c>
      <c r="C114" s="37" t="s">
        <v>4975</v>
      </c>
      <c r="D114" s="37" t="s">
        <v>4976</v>
      </c>
      <c r="E114" s="133" t="s">
        <v>338</v>
      </c>
      <c r="F114" s="134">
        <v>39.0</v>
      </c>
      <c r="G114" s="134" t="s">
        <v>339</v>
      </c>
      <c r="H114" s="134" t="s">
        <v>646</v>
      </c>
      <c r="I114" s="134">
        <v>9.499939491E9</v>
      </c>
      <c r="J114" s="54">
        <v>24.0</v>
      </c>
      <c r="K114" s="55">
        <v>17.0</v>
      </c>
      <c r="L114" s="55">
        <v>0.0</v>
      </c>
      <c r="M114" s="55">
        <v>0.0</v>
      </c>
      <c r="N114" s="43">
        <f t="shared" si="3"/>
        <v>0</v>
      </c>
      <c r="O114" s="55">
        <v>5.0</v>
      </c>
      <c r="P114" s="55">
        <v>7.0</v>
      </c>
      <c r="Q114" s="43">
        <f t="shared" si="4"/>
        <v>12</v>
      </c>
      <c r="R114" s="43"/>
      <c r="S114" s="43"/>
      <c r="T114" s="43"/>
      <c r="U114" s="43"/>
      <c r="V114" s="55" t="s">
        <v>4977</v>
      </c>
      <c r="W114" s="56" t="s">
        <v>46</v>
      </c>
      <c r="Z114" s="61"/>
      <c r="AA114" s="61"/>
      <c r="AB114" s="66"/>
      <c r="AC114" s="34"/>
      <c r="AD114" s="34"/>
    </row>
    <row r="115" ht="13.5" customHeight="1">
      <c r="A115" s="28">
        <v>109.0</v>
      </c>
      <c r="B115" s="37" t="s">
        <v>1726</v>
      </c>
      <c r="C115" s="37" t="s">
        <v>4978</v>
      </c>
      <c r="D115" s="37" t="s">
        <v>3153</v>
      </c>
      <c r="E115" s="133" t="s">
        <v>338</v>
      </c>
      <c r="F115" s="134">
        <v>32.0</v>
      </c>
      <c r="G115" s="134" t="s">
        <v>339</v>
      </c>
      <c r="H115" s="134" t="s">
        <v>435</v>
      </c>
      <c r="I115" s="134">
        <v>9.057557292E9</v>
      </c>
      <c r="J115" s="54">
        <v>26.0</v>
      </c>
      <c r="K115" s="55">
        <v>22.0</v>
      </c>
      <c r="L115" s="55">
        <v>0.0</v>
      </c>
      <c r="M115" s="55">
        <v>0.0</v>
      </c>
      <c r="N115" s="43">
        <f t="shared" si="3"/>
        <v>0</v>
      </c>
      <c r="O115" s="55">
        <v>5.0</v>
      </c>
      <c r="P115" s="55">
        <v>4.0</v>
      </c>
      <c r="Q115" s="43">
        <f t="shared" si="4"/>
        <v>9</v>
      </c>
      <c r="R115" s="43"/>
      <c r="S115" s="43"/>
      <c r="T115" s="43"/>
      <c r="U115" s="43"/>
      <c r="V115" s="55" t="s">
        <v>1554</v>
      </c>
      <c r="W115" s="56" t="s">
        <v>46</v>
      </c>
      <c r="Z115" s="61"/>
      <c r="AA115" s="61"/>
      <c r="AB115" s="66"/>
      <c r="AC115" s="34"/>
      <c r="AD115" s="34"/>
    </row>
    <row r="116" ht="13.5" customHeight="1">
      <c r="A116" s="28">
        <v>110.0</v>
      </c>
      <c r="B116" s="37" t="s">
        <v>4979</v>
      </c>
      <c r="C116" s="37" t="s">
        <v>4980</v>
      </c>
      <c r="D116" s="37" t="s">
        <v>4981</v>
      </c>
      <c r="E116" s="133" t="s">
        <v>338</v>
      </c>
      <c r="F116" s="134">
        <v>47.0</v>
      </c>
      <c r="G116" s="134" t="s">
        <v>584</v>
      </c>
      <c r="H116" s="134" t="s">
        <v>435</v>
      </c>
      <c r="I116" s="134">
        <v>9.621689493E9</v>
      </c>
      <c r="J116" s="54">
        <v>10.0</v>
      </c>
      <c r="K116" s="55">
        <v>5.0</v>
      </c>
      <c r="L116" s="55">
        <v>3.0</v>
      </c>
      <c r="M116" s="55">
        <v>2.0</v>
      </c>
      <c r="N116" s="43">
        <f t="shared" si="3"/>
        <v>5</v>
      </c>
      <c r="O116" s="55">
        <v>22.0</v>
      </c>
      <c r="P116" s="55">
        <v>0.0</v>
      </c>
      <c r="Q116" s="43">
        <f t="shared" si="4"/>
        <v>27</v>
      </c>
      <c r="R116" s="43"/>
      <c r="S116" s="43"/>
      <c r="T116" s="43"/>
      <c r="U116" s="43"/>
      <c r="V116" s="55" t="s">
        <v>1827</v>
      </c>
      <c r="W116" s="56" t="s">
        <v>46</v>
      </c>
      <c r="Z116" s="61"/>
      <c r="AA116" s="61"/>
      <c r="AB116" s="66"/>
      <c r="AC116" s="34"/>
      <c r="AD116" s="34"/>
    </row>
    <row r="117" ht="13.5" customHeight="1">
      <c r="A117" s="28">
        <v>111.0</v>
      </c>
      <c r="B117" s="37" t="s">
        <v>4982</v>
      </c>
      <c r="C117" s="37" t="s">
        <v>85</v>
      </c>
      <c r="D117" s="37" t="s">
        <v>4983</v>
      </c>
      <c r="E117" s="133" t="s">
        <v>338</v>
      </c>
      <c r="F117" s="134">
        <v>55.0</v>
      </c>
      <c r="G117" s="134" t="s">
        <v>339</v>
      </c>
      <c r="H117" s="134" t="s">
        <v>663</v>
      </c>
      <c r="I117" s="134">
        <v>9.12764739E9</v>
      </c>
      <c r="J117" s="54">
        <v>24.0</v>
      </c>
      <c r="K117" s="55">
        <v>20.0</v>
      </c>
      <c r="L117" s="55">
        <v>0.0</v>
      </c>
      <c r="M117" s="55">
        <v>0.0</v>
      </c>
      <c r="N117" s="43">
        <f t="shared" si="3"/>
        <v>0</v>
      </c>
      <c r="O117" s="55">
        <v>8.0</v>
      </c>
      <c r="P117" s="55">
        <v>4.0</v>
      </c>
      <c r="Q117" s="43">
        <f t="shared" si="4"/>
        <v>12</v>
      </c>
      <c r="R117" s="43"/>
      <c r="S117" s="43"/>
      <c r="T117" s="43"/>
      <c r="U117" s="43"/>
      <c r="V117" s="43"/>
      <c r="W117" s="56" t="s">
        <v>46</v>
      </c>
      <c r="Z117" s="61"/>
      <c r="AA117" s="61"/>
      <c r="AB117" s="66"/>
      <c r="AC117" s="34"/>
      <c r="AD117" s="34"/>
    </row>
    <row r="118" ht="13.5" customHeight="1">
      <c r="A118" s="28">
        <v>112.0</v>
      </c>
      <c r="B118" s="37" t="s">
        <v>4984</v>
      </c>
      <c r="C118" s="37" t="s">
        <v>4985</v>
      </c>
      <c r="D118" s="37" t="s">
        <v>492</v>
      </c>
      <c r="E118" s="133" t="s">
        <v>338</v>
      </c>
      <c r="F118" s="134">
        <v>40.0</v>
      </c>
      <c r="G118" s="134" t="s">
        <v>385</v>
      </c>
      <c r="H118" s="134" t="s">
        <v>663</v>
      </c>
      <c r="I118" s="134">
        <v>9.214183442E9</v>
      </c>
      <c r="J118" s="54">
        <v>21.0</v>
      </c>
      <c r="K118" s="55">
        <v>11.0</v>
      </c>
      <c r="L118" s="55">
        <v>2.0</v>
      </c>
      <c r="M118" s="55">
        <v>8.0</v>
      </c>
      <c r="N118" s="43">
        <f t="shared" si="3"/>
        <v>10</v>
      </c>
      <c r="O118" s="55">
        <v>0.0</v>
      </c>
      <c r="P118" s="55">
        <v>0.0</v>
      </c>
      <c r="Q118" s="43">
        <f t="shared" si="4"/>
        <v>10</v>
      </c>
      <c r="R118" s="43"/>
      <c r="S118" s="43"/>
      <c r="T118" s="43"/>
      <c r="U118" s="43"/>
      <c r="V118" s="55" t="s">
        <v>648</v>
      </c>
      <c r="W118" s="56" t="s">
        <v>46</v>
      </c>
      <c r="Z118" s="61"/>
      <c r="AA118" s="61"/>
      <c r="AB118" s="66"/>
      <c r="AC118" s="34"/>
      <c r="AD118" s="34"/>
    </row>
    <row r="119" ht="13.5" customHeight="1">
      <c r="A119" s="28">
        <v>113.0</v>
      </c>
      <c r="B119" s="37" t="s">
        <v>4986</v>
      </c>
      <c r="C119" s="37" t="s">
        <v>4987</v>
      </c>
      <c r="D119" s="37" t="s">
        <v>4988</v>
      </c>
      <c r="E119" s="133" t="s">
        <v>338</v>
      </c>
      <c r="F119" s="134">
        <v>37.0</v>
      </c>
      <c r="G119" s="134" t="s">
        <v>339</v>
      </c>
      <c r="H119" s="134" t="s">
        <v>663</v>
      </c>
      <c r="I119" s="134">
        <v>9.398827722E9</v>
      </c>
      <c r="J119" s="54">
        <v>25.0</v>
      </c>
      <c r="K119" s="55">
        <v>23.0</v>
      </c>
      <c r="L119" s="55">
        <v>0.0</v>
      </c>
      <c r="M119" s="55">
        <v>2.0</v>
      </c>
      <c r="N119" s="43">
        <f t="shared" si="3"/>
        <v>2</v>
      </c>
      <c r="O119" s="55">
        <v>7.0</v>
      </c>
      <c r="P119" s="55">
        <v>0.0</v>
      </c>
      <c r="Q119" s="43">
        <f t="shared" si="4"/>
        <v>9</v>
      </c>
      <c r="R119" s="43"/>
      <c r="S119" s="43"/>
      <c r="T119" s="43"/>
      <c r="U119" s="43"/>
      <c r="V119" s="55" t="s">
        <v>648</v>
      </c>
      <c r="W119" s="56" t="s">
        <v>46</v>
      </c>
      <c r="Z119" s="61"/>
      <c r="AA119" s="61"/>
      <c r="AB119" s="66"/>
      <c r="AC119" s="34"/>
      <c r="AD119" s="34"/>
    </row>
    <row r="120" ht="13.5" customHeight="1">
      <c r="A120" s="28">
        <v>114.0</v>
      </c>
      <c r="B120" s="37" t="s">
        <v>4989</v>
      </c>
      <c r="C120" s="37" t="s">
        <v>4990</v>
      </c>
      <c r="D120" s="37" t="s">
        <v>4991</v>
      </c>
      <c r="E120" s="133" t="s">
        <v>338</v>
      </c>
      <c r="F120" s="134">
        <v>36.0</v>
      </c>
      <c r="G120" s="134" t="s">
        <v>339</v>
      </c>
      <c r="H120" s="134" t="s">
        <v>646</v>
      </c>
      <c r="I120" s="134">
        <v>9.162980405E9</v>
      </c>
      <c r="J120" s="54">
        <v>26.0</v>
      </c>
      <c r="K120" s="55">
        <v>20.0</v>
      </c>
      <c r="L120" s="55">
        <v>0.0</v>
      </c>
      <c r="M120" s="55">
        <v>3.0</v>
      </c>
      <c r="N120" s="43">
        <f t="shared" si="3"/>
        <v>3</v>
      </c>
      <c r="O120" s="55">
        <v>6.0</v>
      </c>
      <c r="P120" s="55">
        <v>3.0</v>
      </c>
      <c r="Q120" s="43">
        <f t="shared" si="4"/>
        <v>12</v>
      </c>
      <c r="R120" s="43"/>
      <c r="S120" s="43"/>
      <c r="T120" s="43"/>
      <c r="U120" s="43"/>
      <c r="V120" s="43"/>
      <c r="W120" s="56" t="s">
        <v>46</v>
      </c>
      <c r="Z120" s="61"/>
      <c r="AA120" s="61"/>
      <c r="AB120" s="66"/>
      <c r="AC120" s="34"/>
      <c r="AD120" s="34"/>
    </row>
    <row r="121" ht="13.5" customHeight="1">
      <c r="A121" s="28">
        <v>115.0</v>
      </c>
      <c r="B121" s="37" t="s">
        <v>4992</v>
      </c>
      <c r="C121" s="37" t="s">
        <v>4993</v>
      </c>
      <c r="D121" s="37" t="s">
        <v>4994</v>
      </c>
      <c r="E121" s="133" t="s">
        <v>338</v>
      </c>
      <c r="F121" s="134">
        <v>55.0</v>
      </c>
      <c r="G121" s="134" t="s">
        <v>476</v>
      </c>
      <c r="H121" s="134" t="s">
        <v>646</v>
      </c>
      <c r="I121" s="134">
        <v>9.464934373E9</v>
      </c>
      <c r="J121" s="54">
        <v>5.0</v>
      </c>
      <c r="K121" s="55">
        <v>2.0</v>
      </c>
      <c r="L121" s="55">
        <v>0.0</v>
      </c>
      <c r="M121" s="55"/>
      <c r="N121" s="43">
        <f t="shared" si="3"/>
        <v>0</v>
      </c>
      <c r="O121" s="55">
        <v>24.0</v>
      </c>
      <c r="P121" s="55">
        <v>3.0</v>
      </c>
      <c r="Q121" s="43">
        <f t="shared" si="4"/>
        <v>27</v>
      </c>
      <c r="R121" s="43"/>
      <c r="S121" s="43"/>
      <c r="T121" s="43"/>
      <c r="U121" s="43"/>
      <c r="V121" s="55" t="s">
        <v>4995</v>
      </c>
      <c r="W121" s="56" t="s">
        <v>46</v>
      </c>
      <c r="Z121" s="61"/>
      <c r="AA121" s="61"/>
      <c r="AB121" s="66"/>
      <c r="AC121" s="34"/>
      <c r="AD121" s="34"/>
    </row>
    <row r="122" ht="13.5" customHeight="1">
      <c r="A122" s="28">
        <v>116.0</v>
      </c>
      <c r="B122" s="37" t="s">
        <v>4731</v>
      </c>
      <c r="C122" s="37" t="s">
        <v>4996</v>
      </c>
      <c r="D122" s="37" t="s">
        <v>4997</v>
      </c>
      <c r="E122" s="133" t="s">
        <v>338</v>
      </c>
      <c r="F122" s="134">
        <v>49.0</v>
      </c>
      <c r="G122" s="134" t="s">
        <v>476</v>
      </c>
      <c r="H122" s="134" t="s">
        <v>646</v>
      </c>
      <c r="I122" s="134">
        <v>9.424970467E9</v>
      </c>
      <c r="J122" s="54">
        <v>25.0</v>
      </c>
      <c r="K122" s="55">
        <v>20.0</v>
      </c>
      <c r="L122" s="55">
        <v>1.0</v>
      </c>
      <c r="M122" s="55">
        <v>0.0</v>
      </c>
      <c r="N122" s="43">
        <f t="shared" si="3"/>
        <v>1</v>
      </c>
      <c r="O122" s="55">
        <v>7.0</v>
      </c>
      <c r="P122" s="55">
        <v>4.0</v>
      </c>
      <c r="Q122" s="43">
        <f t="shared" si="4"/>
        <v>12</v>
      </c>
      <c r="R122" s="43"/>
      <c r="S122" s="43"/>
      <c r="T122" s="43"/>
      <c r="U122" s="43"/>
      <c r="V122" s="43"/>
      <c r="W122" s="56" t="s">
        <v>46</v>
      </c>
      <c r="Z122" s="61"/>
      <c r="AA122" s="61"/>
      <c r="AB122" s="66"/>
      <c r="AC122" s="34"/>
      <c r="AD122" s="34"/>
    </row>
    <row r="123" ht="13.5" customHeight="1">
      <c r="A123" s="28">
        <v>117.0</v>
      </c>
      <c r="B123" s="37" t="s">
        <v>991</v>
      </c>
      <c r="C123" s="37" t="s">
        <v>4998</v>
      </c>
      <c r="D123" s="37" t="s">
        <v>1192</v>
      </c>
      <c r="E123" s="133" t="s">
        <v>338</v>
      </c>
      <c r="F123" s="134">
        <v>35.0</v>
      </c>
      <c r="G123" s="134" t="s">
        <v>476</v>
      </c>
      <c r="H123" s="134" t="s">
        <v>435</v>
      </c>
      <c r="I123" s="134">
        <v>9.465960222E9</v>
      </c>
      <c r="J123" s="42"/>
      <c r="K123" s="43"/>
      <c r="L123" s="43"/>
      <c r="M123" s="43"/>
      <c r="N123" s="43">
        <f t="shared" si="3"/>
        <v>0</v>
      </c>
      <c r="O123" s="43"/>
      <c r="P123" s="43"/>
      <c r="Q123" s="43">
        <f t="shared" si="4"/>
        <v>0</v>
      </c>
      <c r="R123" s="43"/>
      <c r="S123" s="43"/>
      <c r="T123" s="43"/>
      <c r="U123" s="43"/>
      <c r="V123" s="43"/>
      <c r="W123" s="44"/>
      <c r="Z123" s="61"/>
      <c r="AA123" s="61"/>
      <c r="AB123" s="66"/>
      <c r="AC123" s="34"/>
      <c r="AD123" s="34"/>
    </row>
    <row r="124" ht="13.5" customHeight="1">
      <c r="A124" s="28">
        <v>118.0</v>
      </c>
      <c r="B124" s="37" t="s">
        <v>4999</v>
      </c>
      <c r="C124" s="37" t="s">
        <v>5000</v>
      </c>
      <c r="D124" s="37" t="s">
        <v>3062</v>
      </c>
      <c r="E124" s="133" t="s">
        <v>338</v>
      </c>
      <c r="F124" s="134">
        <v>32.0</v>
      </c>
      <c r="G124" s="134" t="s">
        <v>476</v>
      </c>
      <c r="H124" s="134" t="s">
        <v>646</v>
      </c>
      <c r="I124" s="134">
        <v>9.684992234E9</v>
      </c>
      <c r="J124" s="54">
        <v>25.0</v>
      </c>
      <c r="K124" s="55">
        <v>18.0</v>
      </c>
      <c r="L124" s="55">
        <v>0.0</v>
      </c>
      <c r="M124" s="55">
        <v>3.0</v>
      </c>
      <c r="N124" s="43">
        <f t="shared" si="3"/>
        <v>3</v>
      </c>
      <c r="O124" s="55">
        <v>7.0</v>
      </c>
      <c r="P124" s="55">
        <v>4.0</v>
      </c>
      <c r="Q124" s="43">
        <f t="shared" si="4"/>
        <v>14</v>
      </c>
      <c r="R124" s="43"/>
      <c r="S124" s="43"/>
      <c r="T124" s="43"/>
      <c r="U124" s="43"/>
      <c r="V124" s="43"/>
      <c r="W124" s="56" t="s">
        <v>46</v>
      </c>
      <c r="Z124" s="61"/>
      <c r="AA124" s="61"/>
      <c r="AB124" s="66"/>
      <c r="AC124" s="34"/>
      <c r="AD124" s="34"/>
    </row>
    <row r="125" ht="13.5" customHeight="1">
      <c r="A125" s="28">
        <v>119.0</v>
      </c>
      <c r="B125" s="37" t="s">
        <v>5001</v>
      </c>
      <c r="C125" s="37" t="s">
        <v>5002</v>
      </c>
      <c r="D125" s="37" t="s">
        <v>5003</v>
      </c>
      <c r="E125" s="133" t="s">
        <v>338</v>
      </c>
      <c r="F125" s="134">
        <v>39.0</v>
      </c>
      <c r="G125" s="134" t="s">
        <v>476</v>
      </c>
      <c r="H125" s="134" t="s">
        <v>2672</v>
      </c>
      <c r="I125" s="134">
        <v>9.217199682E9</v>
      </c>
      <c r="J125" s="54">
        <v>27.0</v>
      </c>
      <c r="K125" s="55">
        <v>16.0</v>
      </c>
      <c r="L125" s="55">
        <v>0.0</v>
      </c>
      <c r="M125" s="55">
        <v>0.0</v>
      </c>
      <c r="N125" s="43">
        <f t="shared" si="3"/>
        <v>0</v>
      </c>
      <c r="O125" s="55">
        <v>5.0</v>
      </c>
      <c r="P125" s="55">
        <v>11.0</v>
      </c>
      <c r="Q125" s="43">
        <f t="shared" si="4"/>
        <v>16</v>
      </c>
      <c r="R125" s="43"/>
      <c r="S125" s="43"/>
      <c r="T125" s="43"/>
      <c r="U125" s="43"/>
      <c r="V125" s="43"/>
      <c r="W125" s="56" t="s">
        <v>46</v>
      </c>
      <c r="Z125" s="61"/>
      <c r="AA125" s="61"/>
      <c r="AB125" s="66"/>
      <c r="AC125" s="34"/>
      <c r="AD125" s="34"/>
    </row>
    <row r="126" ht="13.5" customHeight="1">
      <c r="A126" s="28">
        <v>120.0</v>
      </c>
      <c r="B126" s="37" t="s">
        <v>5004</v>
      </c>
      <c r="C126" s="37" t="s">
        <v>5005</v>
      </c>
      <c r="D126" s="37" t="s">
        <v>44</v>
      </c>
      <c r="E126" s="133" t="s">
        <v>338</v>
      </c>
      <c r="F126" s="134">
        <v>38.0</v>
      </c>
      <c r="G126" s="134" t="s">
        <v>584</v>
      </c>
      <c r="H126" s="134" t="s">
        <v>646</v>
      </c>
      <c r="I126" s="134">
        <v>9.605311412E9</v>
      </c>
      <c r="J126" s="54">
        <v>19.0</v>
      </c>
      <c r="K126" s="55">
        <v>2.0</v>
      </c>
      <c r="L126" s="55">
        <v>0.0</v>
      </c>
      <c r="M126" s="55">
        <v>0.0</v>
      </c>
      <c r="N126" s="43">
        <f t="shared" si="3"/>
        <v>0</v>
      </c>
      <c r="O126" s="55">
        <v>12.0</v>
      </c>
      <c r="P126" s="55">
        <v>17.0</v>
      </c>
      <c r="Q126" s="43">
        <f t="shared" si="4"/>
        <v>29</v>
      </c>
      <c r="R126" s="43"/>
      <c r="S126" s="43"/>
      <c r="T126" s="43"/>
      <c r="U126" s="43"/>
      <c r="V126" s="55" t="s">
        <v>5006</v>
      </c>
      <c r="W126" s="56" t="s">
        <v>46</v>
      </c>
      <c r="Z126" s="61"/>
      <c r="AA126" s="61"/>
      <c r="AB126" s="66"/>
      <c r="AC126" s="34"/>
      <c r="AD126" s="34"/>
    </row>
    <row r="127" ht="13.5" customHeight="1">
      <c r="A127" s="28">
        <v>121.0</v>
      </c>
      <c r="B127" s="37" t="s">
        <v>5007</v>
      </c>
      <c r="C127" s="37" t="s">
        <v>4941</v>
      </c>
      <c r="D127" s="37" t="s">
        <v>5008</v>
      </c>
      <c r="E127" s="133" t="s">
        <v>338</v>
      </c>
      <c r="F127" s="134">
        <v>34.0</v>
      </c>
      <c r="G127" s="134" t="s">
        <v>1690</v>
      </c>
      <c r="H127" s="134" t="s">
        <v>646</v>
      </c>
      <c r="I127" s="134">
        <v>9.309837596E9</v>
      </c>
      <c r="J127" s="54">
        <v>27.0</v>
      </c>
      <c r="K127" s="55">
        <v>24.0</v>
      </c>
      <c r="L127" s="55">
        <v>0.0</v>
      </c>
      <c r="M127" s="55">
        <v>2.0</v>
      </c>
      <c r="N127" s="43">
        <f t="shared" si="3"/>
        <v>2</v>
      </c>
      <c r="O127" s="55">
        <v>5.0</v>
      </c>
      <c r="P127" s="55">
        <v>1.0</v>
      </c>
      <c r="Q127" s="43">
        <f t="shared" si="4"/>
        <v>8</v>
      </c>
      <c r="R127" s="43"/>
      <c r="S127" s="43"/>
      <c r="T127" s="43"/>
      <c r="U127" s="43"/>
      <c r="V127" s="43"/>
      <c r="W127" s="56" t="s">
        <v>46</v>
      </c>
      <c r="Z127" s="61"/>
      <c r="AA127" s="61"/>
      <c r="AB127" s="66"/>
      <c r="AC127" s="34"/>
      <c r="AD127" s="34"/>
    </row>
    <row r="128" ht="13.5" customHeight="1">
      <c r="A128" s="28">
        <v>122.0</v>
      </c>
      <c r="B128" s="37" t="s">
        <v>1154</v>
      </c>
      <c r="C128" s="37" t="s">
        <v>5009</v>
      </c>
      <c r="D128" s="37" t="s">
        <v>5010</v>
      </c>
      <c r="E128" s="133" t="s">
        <v>338</v>
      </c>
      <c r="F128" s="134">
        <v>47.0</v>
      </c>
      <c r="G128" s="134" t="s">
        <v>476</v>
      </c>
      <c r="H128" s="134" t="s">
        <v>435</v>
      </c>
      <c r="I128" s="134">
        <v>9.087140792E9</v>
      </c>
      <c r="J128" s="54">
        <v>29.0</v>
      </c>
      <c r="K128" s="55">
        <v>17.0</v>
      </c>
      <c r="L128" s="55">
        <v>1.0</v>
      </c>
      <c r="M128" s="55">
        <v>3.0</v>
      </c>
      <c r="N128" s="43">
        <f t="shared" si="3"/>
        <v>4</v>
      </c>
      <c r="O128" s="55">
        <v>4.0</v>
      </c>
      <c r="P128" s="55">
        <v>4.0</v>
      </c>
      <c r="Q128" s="43">
        <f t="shared" si="4"/>
        <v>12</v>
      </c>
      <c r="R128" s="43"/>
      <c r="S128" s="43"/>
      <c r="T128" s="43"/>
      <c r="U128" s="43"/>
      <c r="V128" s="55"/>
      <c r="W128" s="56" t="s">
        <v>46</v>
      </c>
      <c r="Z128" s="61"/>
      <c r="AA128" s="61"/>
      <c r="AB128" s="66"/>
      <c r="AC128" s="34"/>
      <c r="AD128" s="34"/>
    </row>
    <row r="129" ht="13.5" customHeight="1">
      <c r="A129" s="28">
        <v>123.0</v>
      </c>
      <c r="B129" s="37" t="s">
        <v>1430</v>
      </c>
      <c r="C129" s="37" t="s">
        <v>5011</v>
      </c>
      <c r="D129" s="37" t="s">
        <v>1430</v>
      </c>
      <c r="E129" s="133" t="s">
        <v>338</v>
      </c>
      <c r="F129" s="134">
        <v>43.0</v>
      </c>
      <c r="G129" s="134" t="s">
        <v>476</v>
      </c>
      <c r="H129" s="134" t="s">
        <v>646</v>
      </c>
      <c r="I129" s="134">
        <v>9.65344012E9</v>
      </c>
      <c r="J129" s="42"/>
      <c r="K129" s="43"/>
      <c r="L129" s="43"/>
      <c r="M129" s="43"/>
      <c r="N129" s="43">
        <f t="shared" si="3"/>
        <v>0</v>
      </c>
      <c r="O129" s="43"/>
      <c r="P129" s="43"/>
      <c r="Q129" s="43">
        <f t="shared" si="4"/>
        <v>0</v>
      </c>
      <c r="R129" s="43"/>
      <c r="S129" s="43"/>
      <c r="T129" s="43"/>
      <c r="U129" s="43"/>
      <c r="V129" s="43"/>
      <c r="W129" s="44"/>
      <c r="Z129" s="61"/>
      <c r="AA129" s="61"/>
      <c r="AB129" s="66"/>
      <c r="AC129" s="34"/>
      <c r="AD129" s="34"/>
    </row>
    <row r="130" ht="13.5" customHeight="1">
      <c r="A130" s="28">
        <v>124.0</v>
      </c>
      <c r="B130" s="37" t="s">
        <v>5012</v>
      </c>
      <c r="C130" s="37" t="s">
        <v>4764</v>
      </c>
      <c r="D130" s="37" t="s">
        <v>5013</v>
      </c>
      <c r="E130" s="133" t="s">
        <v>338</v>
      </c>
      <c r="F130" s="134">
        <v>28.0</v>
      </c>
      <c r="G130" s="134" t="s">
        <v>476</v>
      </c>
      <c r="H130" s="134" t="s">
        <v>646</v>
      </c>
      <c r="I130" s="134">
        <v>9.480864776E9</v>
      </c>
      <c r="J130" s="54">
        <v>2.0</v>
      </c>
      <c r="K130" s="55">
        <v>23.0</v>
      </c>
      <c r="L130" s="55">
        <v>0.0</v>
      </c>
      <c r="M130" s="55">
        <v>1.0</v>
      </c>
      <c r="N130" s="43">
        <f t="shared" si="3"/>
        <v>1</v>
      </c>
      <c r="O130" s="55">
        <v>3.0</v>
      </c>
      <c r="P130" s="55">
        <v>5.0</v>
      </c>
      <c r="Q130" s="43">
        <f t="shared" si="4"/>
        <v>9</v>
      </c>
      <c r="R130" s="43"/>
      <c r="S130" s="43"/>
      <c r="T130" s="43"/>
      <c r="U130" s="43"/>
      <c r="V130" s="55" t="s">
        <v>5014</v>
      </c>
      <c r="W130" s="56" t="s">
        <v>46</v>
      </c>
      <c r="Z130" s="61"/>
      <c r="AA130" s="61"/>
      <c r="AB130" s="66"/>
      <c r="AC130" s="34"/>
      <c r="AD130" s="34"/>
    </row>
    <row r="131" ht="13.5" customHeight="1">
      <c r="A131" s="28">
        <v>125.0</v>
      </c>
      <c r="B131" s="37" t="s">
        <v>5015</v>
      </c>
      <c r="C131" s="37" t="s">
        <v>4847</v>
      </c>
      <c r="D131" s="409" t="s">
        <v>1480</v>
      </c>
      <c r="E131" s="133" t="s">
        <v>338</v>
      </c>
      <c r="F131" s="134">
        <v>53.0</v>
      </c>
      <c r="G131" s="134" t="s">
        <v>385</v>
      </c>
      <c r="H131" s="134" t="s">
        <v>340</v>
      </c>
      <c r="I131" s="134">
        <v>9.944623604E9</v>
      </c>
      <c r="J131" s="54">
        <v>20.0</v>
      </c>
      <c r="K131" s="55">
        <v>14.0</v>
      </c>
      <c r="L131" s="55">
        <v>2.0</v>
      </c>
      <c r="M131" s="55">
        <v>5.0</v>
      </c>
      <c r="N131" s="43">
        <f t="shared" si="3"/>
        <v>7</v>
      </c>
      <c r="O131" s="55">
        <v>12.0</v>
      </c>
      <c r="P131" s="55">
        <v>0.0</v>
      </c>
      <c r="Q131" s="43">
        <f t="shared" si="4"/>
        <v>19</v>
      </c>
      <c r="R131" s="43"/>
      <c r="S131" s="43"/>
      <c r="T131" s="43"/>
      <c r="U131" s="43"/>
      <c r="V131" s="55" t="s">
        <v>648</v>
      </c>
      <c r="W131" s="56" t="s">
        <v>46</v>
      </c>
      <c r="Z131" s="61"/>
      <c r="AA131" s="61"/>
      <c r="AB131" s="66"/>
      <c r="AC131" s="34"/>
      <c r="AD131" s="34"/>
    </row>
    <row r="132" ht="13.5" customHeight="1">
      <c r="A132" s="28">
        <v>126.0</v>
      </c>
      <c r="B132" s="37" t="s">
        <v>1866</v>
      </c>
      <c r="C132" s="37" t="s">
        <v>5016</v>
      </c>
      <c r="D132" s="37" t="s">
        <v>5017</v>
      </c>
      <c r="E132" s="133" t="s">
        <v>338</v>
      </c>
      <c r="F132" s="134">
        <v>30.0</v>
      </c>
      <c r="G132" s="134" t="s">
        <v>476</v>
      </c>
      <c r="H132" s="134" t="s">
        <v>435</v>
      </c>
      <c r="I132" s="134">
        <v>9.216734004E9</v>
      </c>
      <c r="J132" s="54">
        <v>28.0</v>
      </c>
      <c r="K132" s="55">
        <v>19.0</v>
      </c>
      <c r="L132" s="55">
        <v>0.0</v>
      </c>
      <c r="M132" s="55">
        <v>9.0</v>
      </c>
      <c r="N132" s="43">
        <f t="shared" si="3"/>
        <v>9</v>
      </c>
      <c r="O132" s="55">
        <v>4.0</v>
      </c>
      <c r="P132" s="55">
        <v>0.0</v>
      </c>
      <c r="Q132" s="43">
        <f t="shared" si="4"/>
        <v>13</v>
      </c>
      <c r="R132" s="43"/>
      <c r="S132" s="43"/>
      <c r="T132" s="43"/>
      <c r="U132" s="43"/>
      <c r="V132" s="43"/>
      <c r="W132" s="56" t="s">
        <v>46</v>
      </c>
      <c r="Z132" s="61"/>
      <c r="AA132" s="61"/>
      <c r="AB132" s="66"/>
      <c r="AC132" s="34"/>
      <c r="AD132" s="34"/>
    </row>
    <row r="133" ht="13.5" customHeight="1">
      <c r="A133" s="28">
        <v>127.0</v>
      </c>
      <c r="B133" s="37" t="s">
        <v>5018</v>
      </c>
      <c r="C133" s="37" t="s">
        <v>5019</v>
      </c>
      <c r="D133" s="37" t="s">
        <v>5020</v>
      </c>
      <c r="E133" s="133" t="s">
        <v>338</v>
      </c>
      <c r="F133" s="134">
        <v>47.0</v>
      </c>
      <c r="G133" s="134" t="s">
        <v>476</v>
      </c>
      <c r="H133" s="134" t="s">
        <v>646</v>
      </c>
      <c r="I133" s="134">
        <v>9.167521579E9</v>
      </c>
      <c r="J133" s="54">
        <v>25.0</v>
      </c>
      <c r="K133" s="55">
        <v>23.0</v>
      </c>
      <c r="L133" s="55">
        <v>0.0</v>
      </c>
      <c r="M133" s="55">
        <v>0.0</v>
      </c>
      <c r="N133" s="43">
        <f t="shared" si="3"/>
        <v>0</v>
      </c>
      <c r="O133" s="55">
        <v>7.0</v>
      </c>
      <c r="P133" s="55">
        <v>2.0</v>
      </c>
      <c r="Q133" s="43">
        <f t="shared" si="4"/>
        <v>9</v>
      </c>
      <c r="R133" s="43"/>
      <c r="S133" s="43"/>
      <c r="T133" s="43"/>
      <c r="U133" s="43"/>
      <c r="V133" s="43"/>
      <c r="W133" s="56" t="s">
        <v>46</v>
      </c>
      <c r="Z133" s="61"/>
      <c r="AA133" s="61"/>
      <c r="AB133" s="66"/>
      <c r="AC133" s="34"/>
      <c r="AD133" s="34"/>
    </row>
    <row r="134" ht="13.5" customHeight="1">
      <c r="A134" s="28">
        <v>128.0</v>
      </c>
      <c r="B134" s="37" t="s">
        <v>5021</v>
      </c>
      <c r="C134" s="37" t="s">
        <v>5022</v>
      </c>
      <c r="D134" s="37" t="s">
        <v>3412</v>
      </c>
      <c r="E134" s="133" t="s">
        <v>338</v>
      </c>
      <c r="F134" s="134">
        <v>57.0</v>
      </c>
      <c r="G134" s="134" t="s">
        <v>476</v>
      </c>
      <c r="H134" s="134" t="s">
        <v>646</v>
      </c>
      <c r="I134" s="134">
        <v>9.193271207E9</v>
      </c>
      <c r="J134" s="54">
        <v>16.0</v>
      </c>
      <c r="K134" s="55">
        <v>9.0</v>
      </c>
      <c r="L134" s="55">
        <v>0.0</v>
      </c>
      <c r="M134" s="55">
        <v>7.0</v>
      </c>
      <c r="N134" s="43">
        <f t="shared" si="3"/>
        <v>7</v>
      </c>
      <c r="O134" s="55">
        <v>16.0</v>
      </c>
      <c r="P134" s="55">
        <v>0.0</v>
      </c>
      <c r="Q134" s="43">
        <f t="shared" si="4"/>
        <v>23</v>
      </c>
      <c r="R134" s="43"/>
      <c r="S134" s="43"/>
      <c r="T134" s="43"/>
      <c r="U134" s="43"/>
      <c r="V134" s="55" t="s">
        <v>1827</v>
      </c>
      <c r="W134" s="56" t="s">
        <v>46</v>
      </c>
      <c r="Z134" s="61"/>
      <c r="AA134" s="61"/>
      <c r="AB134" s="66"/>
      <c r="AC134" s="34"/>
      <c r="AD134" s="34"/>
    </row>
    <row r="135" ht="13.5" customHeight="1">
      <c r="A135" s="28">
        <v>129.0</v>
      </c>
      <c r="B135" s="37" t="s">
        <v>1100</v>
      </c>
      <c r="C135" s="37" t="s">
        <v>5023</v>
      </c>
      <c r="D135" s="37" t="s">
        <v>5024</v>
      </c>
      <c r="E135" s="133" t="s">
        <v>338</v>
      </c>
      <c r="F135" s="134">
        <v>60.0</v>
      </c>
      <c r="G135" s="134" t="s">
        <v>476</v>
      </c>
      <c r="H135" s="134" t="s">
        <v>663</v>
      </c>
      <c r="I135" s="134">
        <v>9.323612284E9</v>
      </c>
      <c r="J135" s="54">
        <v>8.0</v>
      </c>
      <c r="K135" s="55">
        <v>6.0</v>
      </c>
      <c r="L135" s="55">
        <v>0.0</v>
      </c>
      <c r="M135" s="55">
        <v>1.0</v>
      </c>
      <c r="N135" s="43">
        <f t="shared" si="3"/>
        <v>1</v>
      </c>
      <c r="O135" s="55">
        <v>24.0</v>
      </c>
      <c r="P135" s="55">
        <v>1.0</v>
      </c>
      <c r="Q135" s="43">
        <f t="shared" si="4"/>
        <v>26</v>
      </c>
      <c r="R135" s="43"/>
      <c r="S135" s="43"/>
      <c r="T135" s="43"/>
      <c r="U135" s="43"/>
      <c r="V135" s="55" t="s">
        <v>3233</v>
      </c>
      <c r="W135" s="56" t="s">
        <v>46</v>
      </c>
      <c r="Z135" s="61"/>
      <c r="AA135" s="61"/>
      <c r="AB135" s="66"/>
      <c r="AC135" s="34"/>
      <c r="AD135" s="34"/>
    </row>
    <row r="136" ht="13.5" customHeight="1">
      <c r="A136" s="28">
        <v>130.0</v>
      </c>
      <c r="B136" s="37" t="s">
        <v>5025</v>
      </c>
      <c r="C136" s="37" t="s">
        <v>5026</v>
      </c>
      <c r="D136" s="37" t="s">
        <v>439</v>
      </c>
      <c r="E136" s="133" t="s">
        <v>338</v>
      </c>
      <c r="F136" s="134">
        <v>51.0</v>
      </c>
      <c r="G136" s="134" t="s">
        <v>476</v>
      </c>
      <c r="H136" s="134" t="s">
        <v>646</v>
      </c>
      <c r="I136" s="134">
        <v>9.063541297E9</v>
      </c>
      <c r="J136" s="54">
        <v>14.0</v>
      </c>
      <c r="K136" s="55">
        <v>5.0</v>
      </c>
      <c r="L136" s="55">
        <v>0.0</v>
      </c>
      <c r="M136" s="55">
        <v>7.0</v>
      </c>
      <c r="N136" s="43">
        <f t="shared" si="3"/>
        <v>7</v>
      </c>
      <c r="O136" s="55">
        <v>18.0</v>
      </c>
      <c r="P136" s="55">
        <v>2.0</v>
      </c>
      <c r="Q136" s="43">
        <f t="shared" si="4"/>
        <v>27</v>
      </c>
      <c r="R136" s="43"/>
      <c r="S136" s="43"/>
      <c r="T136" s="43"/>
      <c r="U136" s="43"/>
      <c r="V136" s="55" t="s">
        <v>5027</v>
      </c>
      <c r="W136" s="56" t="s">
        <v>46</v>
      </c>
      <c r="Z136" s="61"/>
      <c r="AA136" s="61"/>
      <c r="AB136" s="66"/>
      <c r="AC136" s="34"/>
      <c r="AD136" s="34"/>
    </row>
    <row r="137" ht="13.5" customHeight="1">
      <c r="A137" s="28">
        <v>131.0</v>
      </c>
      <c r="B137" s="37" t="s">
        <v>5025</v>
      </c>
      <c r="C137" s="37" t="s">
        <v>5028</v>
      </c>
      <c r="D137" s="37" t="s">
        <v>4386</v>
      </c>
      <c r="E137" s="133" t="s">
        <v>338</v>
      </c>
      <c r="F137" s="134">
        <v>61.0</v>
      </c>
      <c r="G137" s="134" t="s">
        <v>584</v>
      </c>
      <c r="H137" s="134" t="s">
        <v>435</v>
      </c>
      <c r="I137" s="134">
        <v>9.772650559E9</v>
      </c>
      <c r="J137" s="54">
        <v>17.0</v>
      </c>
      <c r="K137" s="55">
        <v>12.0</v>
      </c>
      <c r="L137" s="55">
        <v>0.0</v>
      </c>
      <c r="M137" s="55">
        <v>3.0</v>
      </c>
      <c r="N137" s="43">
        <f t="shared" si="3"/>
        <v>3</v>
      </c>
      <c r="O137" s="55">
        <v>15.0</v>
      </c>
      <c r="P137" s="55">
        <v>2.0</v>
      </c>
      <c r="Q137" s="43">
        <f t="shared" si="4"/>
        <v>20</v>
      </c>
      <c r="R137" s="43"/>
      <c r="S137" s="43"/>
      <c r="T137" s="43"/>
      <c r="U137" s="43"/>
      <c r="V137" s="55" t="s">
        <v>648</v>
      </c>
      <c r="W137" s="56" t="s">
        <v>46</v>
      </c>
      <c r="Z137" s="61"/>
      <c r="AA137" s="61"/>
      <c r="AB137" s="66"/>
      <c r="AC137" s="34"/>
      <c r="AD137" s="34"/>
    </row>
    <row r="138" ht="13.5" customHeight="1">
      <c r="A138" s="28">
        <v>132.0</v>
      </c>
      <c r="B138" s="37" t="s">
        <v>5029</v>
      </c>
      <c r="C138" s="37" t="s">
        <v>5030</v>
      </c>
      <c r="D138" s="37" t="s">
        <v>5031</v>
      </c>
      <c r="E138" s="133" t="s">
        <v>338</v>
      </c>
      <c r="F138" s="134">
        <v>38.0</v>
      </c>
      <c r="G138" s="134" t="s">
        <v>476</v>
      </c>
      <c r="H138" s="134" t="s">
        <v>435</v>
      </c>
      <c r="I138" s="134">
        <v>9.296782578E9</v>
      </c>
      <c r="J138" s="54">
        <v>30.0</v>
      </c>
      <c r="K138" s="55">
        <v>24.0</v>
      </c>
      <c r="L138" s="55">
        <v>0.0</v>
      </c>
      <c r="M138" s="55">
        <v>2.0</v>
      </c>
      <c r="N138" s="43">
        <f t="shared" si="3"/>
        <v>2</v>
      </c>
      <c r="O138" s="55">
        <v>0.0</v>
      </c>
      <c r="P138" s="55">
        <v>4.0</v>
      </c>
      <c r="Q138" s="43">
        <f t="shared" si="4"/>
        <v>6</v>
      </c>
      <c r="R138" s="43"/>
      <c r="S138" s="43"/>
      <c r="T138" s="43"/>
      <c r="U138" s="43"/>
      <c r="V138" s="43"/>
      <c r="W138" s="56" t="s">
        <v>46</v>
      </c>
      <c r="Z138" s="61"/>
      <c r="AA138" s="61"/>
      <c r="AB138" s="66"/>
      <c r="AC138" s="34"/>
      <c r="AD138" s="34"/>
    </row>
    <row r="139" ht="13.5" customHeight="1">
      <c r="A139" s="28">
        <v>133.0</v>
      </c>
      <c r="B139" s="37" t="s">
        <v>5032</v>
      </c>
      <c r="C139" s="37" t="s">
        <v>933</v>
      </c>
      <c r="D139" s="37" t="s">
        <v>2408</v>
      </c>
      <c r="E139" s="133" t="s">
        <v>338</v>
      </c>
      <c r="F139" s="134">
        <v>34.0</v>
      </c>
      <c r="G139" s="134" t="s">
        <v>476</v>
      </c>
      <c r="H139" s="134" t="s">
        <v>663</v>
      </c>
      <c r="I139" s="134">
        <v>9.611771595E9</v>
      </c>
      <c r="J139" s="54">
        <v>26.0</v>
      </c>
      <c r="K139" s="55">
        <v>19.0</v>
      </c>
      <c r="L139" s="55">
        <v>1.0</v>
      </c>
      <c r="M139" s="55">
        <v>3.0</v>
      </c>
      <c r="N139" s="43">
        <f t="shared" si="3"/>
        <v>4</v>
      </c>
      <c r="O139" s="55">
        <v>6.0</v>
      </c>
      <c r="P139" s="55">
        <v>2.0</v>
      </c>
      <c r="Q139" s="43">
        <f t="shared" si="4"/>
        <v>12</v>
      </c>
      <c r="R139" s="43"/>
      <c r="S139" s="43"/>
      <c r="T139" s="43"/>
      <c r="U139" s="43"/>
      <c r="V139" s="43"/>
      <c r="W139" s="56" t="s">
        <v>46</v>
      </c>
      <c r="Z139" s="61"/>
      <c r="AA139" s="61"/>
      <c r="AB139" s="66"/>
      <c r="AC139" s="34"/>
      <c r="AD139" s="34"/>
    </row>
    <row r="140" ht="13.5" customHeight="1">
      <c r="A140" s="28">
        <v>134.0</v>
      </c>
      <c r="B140" s="37" t="s">
        <v>5033</v>
      </c>
      <c r="C140" s="37" t="s">
        <v>5034</v>
      </c>
      <c r="D140" s="37" t="s">
        <v>5035</v>
      </c>
      <c r="E140" s="133" t="s">
        <v>338</v>
      </c>
      <c r="F140" s="134">
        <v>45.0</v>
      </c>
      <c r="G140" s="134" t="s">
        <v>476</v>
      </c>
      <c r="H140" s="134" t="s">
        <v>5036</v>
      </c>
      <c r="I140" s="134">
        <v>9.474960451E9</v>
      </c>
      <c r="J140" s="54">
        <v>29.0</v>
      </c>
      <c r="K140" s="55">
        <v>26.0</v>
      </c>
      <c r="L140" s="55">
        <v>0.0</v>
      </c>
      <c r="M140" s="55">
        <v>3.0</v>
      </c>
      <c r="N140" s="43">
        <f t="shared" si="3"/>
        <v>3</v>
      </c>
      <c r="O140" s="55">
        <v>3.0</v>
      </c>
      <c r="P140" s="55">
        <v>3.0</v>
      </c>
      <c r="Q140" s="43">
        <f t="shared" si="4"/>
        <v>9</v>
      </c>
      <c r="R140" s="43"/>
      <c r="S140" s="43"/>
      <c r="T140" s="43"/>
      <c r="U140" s="43"/>
      <c r="V140" s="43"/>
      <c r="W140" s="56" t="s">
        <v>46</v>
      </c>
      <c r="Z140" s="61"/>
      <c r="AA140" s="61"/>
      <c r="AB140" s="66"/>
      <c r="AC140" s="34"/>
      <c r="AD140" s="34"/>
    </row>
    <row r="141" ht="13.5" customHeight="1">
      <c r="A141" s="28">
        <v>135.0</v>
      </c>
      <c r="B141" s="37" t="s">
        <v>932</v>
      </c>
      <c r="C141" s="37" t="s">
        <v>5037</v>
      </c>
      <c r="D141" s="37" t="s">
        <v>3005</v>
      </c>
      <c r="E141" s="133" t="s">
        <v>338</v>
      </c>
      <c r="F141" s="134">
        <v>32.0</v>
      </c>
      <c r="G141" s="134" t="s">
        <v>476</v>
      </c>
      <c r="H141" s="134" t="s">
        <v>5038</v>
      </c>
      <c r="I141" s="134">
        <v>9.458412768E9</v>
      </c>
      <c r="J141" s="54">
        <v>30.0</v>
      </c>
      <c r="K141" s="55">
        <v>29.0</v>
      </c>
      <c r="L141" s="55">
        <v>0.0</v>
      </c>
      <c r="M141" s="55">
        <v>1.0</v>
      </c>
      <c r="N141" s="43">
        <f t="shared" si="3"/>
        <v>1</v>
      </c>
      <c r="O141" s="55">
        <v>2.0</v>
      </c>
      <c r="P141" s="55">
        <v>0.0</v>
      </c>
      <c r="Q141" s="43">
        <f t="shared" si="4"/>
        <v>3</v>
      </c>
      <c r="R141" s="43"/>
      <c r="S141" s="43"/>
      <c r="T141" s="43"/>
      <c r="U141" s="43"/>
      <c r="V141" s="43"/>
      <c r="W141" s="56" t="s">
        <v>46</v>
      </c>
      <c r="Z141" s="61"/>
      <c r="AA141" s="61"/>
      <c r="AB141" s="66"/>
      <c r="AC141" s="34"/>
      <c r="AD141" s="34"/>
    </row>
    <row r="142" ht="13.5" customHeight="1">
      <c r="A142" s="28">
        <v>136.0</v>
      </c>
      <c r="B142" s="37" t="s">
        <v>1741</v>
      </c>
      <c r="C142" s="37" t="s">
        <v>5039</v>
      </c>
      <c r="D142" s="37" t="s">
        <v>472</v>
      </c>
      <c r="E142" s="133" t="s">
        <v>338</v>
      </c>
      <c r="F142" s="134">
        <v>33.0</v>
      </c>
      <c r="G142" s="134" t="s">
        <v>584</v>
      </c>
      <c r="H142" s="134" t="s">
        <v>833</v>
      </c>
      <c r="I142" s="134">
        <v>6.39684992181E11</v>
      </c>
      <c r="J142" s="54">
        <v>25.0</v>
      </c>
      <c r="K142" s="55">
        <v>22.0</v>
      </c>
      <c r="L142" s="55">
        <v>0.0</v>
      </c>
      <c r="M142" s="55">
        <v>3.0</v>
      </c>
      <c r="N142" s="43">
        <f t="shared" si="3"/>
        <v>3</v>
      </c>
      <c r="O142" s="55">
        <v>7.0</v>
      </c>
      <c r="P142" s="55">
        <v>0.0</v>
      </c>
      <c r="Q142" s="43">
        <f t="shared" si="4"/>
        <v>10</v>
      </c>
      <c r="R142" s="43"/>
      <c r="S142" s="43"/>
      <c r="T142" s="43"/>
      <c r="U142" s="43"/>
      <c r="V142" s="43"/>
      <c r="W142" s="56" t="s">
        <v>46</v>
      </c>
      <c r="Z142" s="61"/>
      <c r="AA142" s="61"/>
      <c r="AB142" s="66"/>
      <c r="AC142" s="34"/>
      <c r="AD142" s="34"/>
    </row>
    <row r="143" ht="13.5" customHeight="1">
      <c r="A143" s="28">
        <v>137.0</v>
      </c>
      <c r="B143" s="37" t="s">
        <v>5040</v>
      </c>
      <c r="C143" s="409" t="s">
        <v>5041</v>
      </c>
      <c r="D143" s="409" t="s">
        <v>5042</v>
      </c>
      <c r="E143" s="133" t="s">
        <v>338</v>
      </c>
      <c r="F143" s="134">
        <v>33.0</v>
      </c>
      <c r="G143" s="134" t="s">
        <v>584</v>
      </c>
      <c r="H143" s="134" t="s">
        <v>646</v>
      </c>
      <c r="I143" s="134">
        <v>9.915721118E9</v>
      </c>
      <c r="J143" s="54">
        <v>32.0</v>
      </c>
      <c r="K143" s="55">
        <v>31.0</v>
      </c>
      <c r="L143" s="55">
        <v>0.0</v>
      </c>
      <c r="M143" s="55">
        <v>1.0</v>
      </c>
      <c r="N143" s="43">
        <f t="shared" si="3"/>
        <v>1</v>
      </c>
      <c r="O143" s="55">
        <v>0.0</v>
      </c>
      <c r="P143" s="55">
        <v>0.0</v>
      </c>
      <c r="Q143" s="43">
        <f t="shared" si="4"/>
        <v>1</v>
      </c>
      <c r="R143" s="43"/>
      <c r="S143" s="43"/>
      <c r="T143" s="43"/>
      <c r="U143" s="43"/>
      <c r="V143" s="43"/>
      <c r="W143" s="56" t="s">
        <v>46</v>
      </c>
      <c r="Z143" s="61"/>
      <c r="AA143" s="61"/>
      <c r="AB143" s="66"/>
      <c r="AC143" s="34"/>
      <c r="AD143" s="34"/>
    </row>
    <row r="144" ht="13.5" customHeight="1">
      <c r="A144" s="28">
        <v>138.0</v>
      </c>
      <c r="B144" s="37" t="s">
        <v>472</v>
      </c>
      <c r="C144" s="409" t="s">
        <v>5043</v>
      </c>
      <c r="D144" s="409" t="s">
        <v>5044</v>
      </c>
      <c r="E144" s="133" t="s">
        <v>338</v>
      </c>
      <c r="F144" s="134">
        <v>36.0</v>
      </c>
      <c r="G144" s="134" t="s">
        <v>385</v>
      </c>
      <c r="H144" s="134" t="s">
        <v>833</v>
      </c>
      <c r="I144" s="134">
        <v>9.637011668E9</v>
      </c>
      <c r="J144" s="54">
        <v>27.0</v>
      </c>
      <c r="K144" s="55">
        <v>20.0</v>
      </c>
      <c r="L144" s="55">
        <v>0.0</v>
      </c>
      <c r="M144" s="55">
        <v>7.0</v>
      </c>
      <c r="N144" s="43">
        <f t="shared" si="3"/>
        <v>7</v>
      </c>
      <c r="O144" s="55">
        <v>3.0</v>
      </c>
      <c r="P144" s="55">
        <v>0.0</v>
      </c>
      <c r="Q144" s="43">
        <f t="shared" si="4"/>
        <v>10</v>
      </c>
      <c r="R144" s="43"/>
      <c r="S144" s="43"/>
      <c r="T144" s="43"/>
      <c r="U144" s="43"/>
      <c r="V144" s="43"/>
      <c r="W144" s="56" t="s">
        <v>46</v>
      </c>
      <c r="Z144" s="61"/>
      <c r="AA144" s="61"/>
      <c r="AB144" s="66"/>
      <c r="AC144" s="34"/>
      <c r="AD144" s="34"/>
    </row>
    <row r="145" ht="13.5" customHeight="1">
      <c r="A145" s="28">
        <v>139.0</v>
      </c>
      <c r="B145" s="37" t="s">
        <v>472</v>
      </c>
      <c r="C145" s="409" t="s">
        <v>5045</v>
      </c>
      <c r="D145" s="409" t="s">
        <v>2790</v>
      </c>
      <c r="E145" s="133" t="s">
        <v>338</v>
      </c>
      <c r="F145" s="134">
        <v>44.0</v>
      </c>
      <c r="G145" s="134" t="s">
        <v>476</v>
      </c>
      <c r="H145" s="134" t="s">
        <v>833</v>
      </c>
      <c r="I145" s="134">
        <v>9.228498536E9</v>
      </c>
      <c r="J145" s="54">
        <v>32.0</v>
      </c>
      <c r="K145" s="55">
        <v>31.0</v>
      </c>
      <c r="L145" s="55">
        <v>0.0</v>
      </c>
      <c r="M145" s="55">
        <v>1.0</v>
      </c>
      <c r="N145" s="43">
        <f t="shared" si="3"/>
        <v>1</v>
      </c>
      <c r="O145" s="55">
        <v>0.0</v>
      </c>
      <c r="P145" s="55">
        <v>0.0</v>
      </c>
      <c r="Q145" s="43">
        <f t="shared" si="4"/>
        <v>1</v>
      </c>
      <c r="R145" s="43"/>
      <c r="S145" s="43"/>
      <c r="T145" s="43"/>
      <c r="U145" s="43"/>
      <c r="V145" s="55" t="s">
        <v>5046</v>
      </c>
      <c r="W145" s="56" t="s">
        <v>46</v>
      </c>
      <c r="Z145" s="61"/>
      <c r="AA145" s="61"/>
      <c r="AB145" s="66"/>
      <c r="AC145" s="34"/>
      <c r="AD145" s="34"/>
    </row>
    <row r="146" ht="13.5" customHeight="1">
      <c r="A146" s="28">
        <v>140.0</v>
      </c>
      <c r="B146" s="37" t="s">
        <v>5047</v>
      </c>
      <c r="C146" s="37" t="s">
        <v>5048</v>
      </c>
      <c r="D146" s="37" t="s">
        <v>5049</v>
      </c>
      <c r="E146" s="133" t="s">
        <v>338</v>
      </c>
      <c r="F146" s="134">
        <v>34.0</v>
      </c>
      <c r="G146" s="134" t="s">
        <v>339</v>
      </c>
      <c r="H146" s="134" t="s">
        <v>349</v>
      </c>
      <c r="I146" s="134">
        <v>9.332170901E9</v>
      </c>
      <c r="J146" s="54">
        <v>2.0</v>
      </c>
      <c r="K146" s="55">
        <v>27.0</v>
      </c>
      <c r="L146" s="55">
        <v>0.0</v>
      </c>
      <c r="M146" s="55">
        <v>2.0</v>
      </c>
      <c r="N146" s="43">
        <f t="shared" si="3"/>
        <v>2</v>
      </c>
      <c r="O146" s="55">
        <v>3.0</v>
      </c>
      <c r="P146" s="55">
        <v>0.0</v>
      </c>
      <c r="Q146" s="43">
        <f t="shared" si="4"/>
        <v>5</v>
      </c>
      <c r="R146" s="43"/>
      <c r="S146" s="43"/>
      <c r="T146" s="43"/>
      <c r="U146" s="43"/>
      <c r="V146" s="55" t="s">
        <v>692</v>
      </c>
      <c r="W146" s="56" t="s">
        <v>46</v>
      </c>
      <c r="Z146" s="61"/>
      <c r="AA146" s="61"/>
      <c r="AB146" s="66"/>
      <c r="AC146" s="34"/>
      <c r="AD146" s="34"/>
    </row>
    <row r="147" ht="13.5" customHeight="1">
      <c r="A147" s="28">
        <v>141.0</v>
      </c>
      <c r="B147" s="37" t="s">
        <v>5050</v>
      </c>
      <c r="C147" s="37" t="s">
        <v>296</v>
      </c>
      <c r="D147" s="37" t="s">
        <v>2531</v>
      </c>
      <c r="E147" s="133" t="s">
        <v>338</v>
      </c>
      <c r="F147" s="134">
        <v>57.0</v>
      </c>
      <c r="G147" s="134" t="s">
        <v>385</v>
      </c>
      <c r="H147" s="134" t="s">
        <v>340</v>
      </c>
      <c r="I147" s="134">
        <v>9.166669097E9</v>
      </c>
      <c r="J147" s="54">
        <v>27.0</v>
      </c>
      <c r="K147" s="55">
        <v>24.0</v>
      </c>
      <c r="L147" s="55">
        <v>0.0</v>
      </c>
      <c r="M147" s="55">
        <v>2.0</v>
      </c>
      <c r="N147" s="43">
        <f t="shared" si="3"/>
        <v>2</v>
      </c>
      <c r="O147" s="55">
        <v>2.0</v>
      </c>
      <c r="P147" s="55">
        <v>1.0</v>
      </c>
      <c r="Q147" s="43">
        <f t="shared" si="4"/>
        <v>5</v>
      </c>
      <c r="R147" s="43"/>
      <c r="S147" s="43"/>
      <c r="T147" s="43"/>
      <c r="U147" s="43"/>
      <c r="V147" s="43"/>
      <c r="W147" s="56" t="s">
        <v>46</v>
      </c>
      <c r="Z147" s="61"/>
      <c r="AA147" s="61"/>
      <c r="AB147" s="66"/>
      <c r="AC147" s="34"/>
      <c r="AD147" s="34"/>
    </row>
    <row r="148" ht="13.5" customHeight="1">
      <c r="A148" s="28">
        <v>142.0</v>
      </c>
      <c r="B148" s="37" t="s">
        <v>5051</v>
      </c>
      <c r="C148" s="37" t="s">
        <v>5052</v>
      </c>
      <c r="D148" s="37" t="s">
        <v>5053</v>
      </c>
      <c r="E148" s="133" t="s">
        <v>338</v>
      </c>
      <c r="F148" s="134">
        <v>49.0</v>
      </c>
      <c r="G148" s="134" t="s">
        <v>476</v>
      </c>
      <c r="H148" s="134" t="s">
        <v>646</v>
      </c>
      <c r="I148" s="134">
        <v>9.773420938E9</v>
      </c>
      <c r="J148" s="54">
        <v>27.0</v>
      </c>
      <c r="K148" s="55">
        <v>23.0</v>
      </c>
      <c r="L148" s="55">
        <v>0.0</v>
      </c>
      <c r="M148" s="55">
        <v>1.0</v>
      </c>
      <c r="N148" s="43">
        <f t="shared" si="3"/>
        <v>1</v>
      </c>
      <c r="O148" s="55">
        <v>2.0</v>
      </c>
      <c r="P148" s="55">
        <v>3.0</v>
      </c>
      <c r="Q148" s="43">
        <f t="shared" si="4"/>
        <v>6</v>
      </c>
      <c r="R148" s="43"/>
      <c r="S148" s="43"/>
      <c r="T148" s="43"/>
      <c r="U148" s="43"/>
      <c r="V148" s="43"/>
      <c r="W148" s="56" t="s">
        <v>46</v>
      </c>
      <c r="Z148" s="61"/>
      <c r="AA148" s="61"/>
      <c r="AB148" s="66"/>
      <c r="AC148" s="34"/>
      <c r="AD148" s="34"/>
    </row>
    <row r="149" ht="13.5" customHeight="1">
      <c r="A149" s="28">
        <v>143.0</v>
      </c>
      <c r="B149" s="37" t="s">
        <v>3598</v>
      </c>
      <c r="C149" s="37" t="s">
        <v>5054</v>
      </c>
      <c r="D149" s="99"/>
      <c r="E149" s="133" t="s">
        <v>338</v>
      </c>
      <c r="F149" s="142"/>
      <c r="G149" s="142"/>
      <c r="H149" s="142"/>
      <c r="I149" s="142"/>
      <c r="J149" s="54">
        <v>26.0</v>
      </c>
      <c r="K149" s="55">
        <v>18.0</v>
      </c>
      <c r="L149" s="55">
        <v>0.0</v>
      </c>
      <c r="M149" s="55">
        <v>3.0</v>
      </c>
      <c r="N149" s="43">
        <f t="shared" si="3"/>
        <v>3</v>
      </c>
      <c r="O149" s="55">
        <v>3.0</v>
      </c>
      <c r="P149" s="55">
        <v>5.0</v>
      </c>
      <c r="Q149" s="43">
        <f t="shared" si="4"/>
        <v>11</v>
      </c>
      <c r="R149" s="43"/>
      <c r="S149" s="55" t="s">
        <v>277</v>
      </c>
      <c r="T149" s="43"/>
      <c r="U149" s="43"/>
      <c r="V149" s="43"/>
      <c r="W149" s="56" t="s">
        <v>46</v>
      </c>
      <c r="Z149" s="61"/>
      <c r="AA149" s="61"/>
      <c r="AB149" s="66"/>
      <c r="AC149" s="34"/>
      <c r="AD149" s="34"/>
    </row>
    <row r="150" ht="13.5" customHeight="1">
      <c r="A150" s="28">
        <v>144.0</v>
      </c>
      <c r="B150" s="37" t="s">
        <v>3790</v>
      </c>
      <c r="C150" s="37" t="s">
        <v>5055</v>
      </c>
      <c r="D150" s="37" t="s">
        <v>5056</v>
      </c>
      <c r="E150" s="133" t="s">
        <v>338</v>
      </c>
      <c r="F150" s="134">
        <v>35.0</v>
      </c>
      <c r="G150" s="134" t="s">
        <v>339</v>
      </c>
      <c r="H150" s="134" t="s">
        <v>340</v>
      </c>
      <c r="I150" s="134" t="s">
        <v>5057</v>
      </c>
      <c r="J150" s="54">
        <v>31.0</v>
      </c>
      <c r="K150" s="55">
        <v>23.0</v>
      </c>
      <c r="L150" s="55">
        <v>0.0</v>
      </c>
      <c r="M150" s="55">
        <v>3.0</v>
      </c>
      <c r="N150" s="43">
        <f t="shared" si="3"/>
        <v>3</v>
      </c>
      <c r="O150" s="55">
        <v>0.0</v>
      </c>
      <c r="P150" s="55">
        <v>5.0</v>
      </c>
      <c r="Q150" s="43">
        <f t="shared" si="4"/>
        <v>8</v>
      </c>
      <c r="R150" s="43"/>
      <c r="S150" s="43"/>
      <c r="T150" s="43"/>
      <c r="U150" s="43"/>
      <c r="V150" s="43"/>
      <c r="W150" s="56" t="s">
        <v>46</v>
      </c>
      <c r="Z150" s="61"/>
      <c r="AA150" s="61"/>
      <c r="AB150" s="66"/>
      <c r="AC150" s="34"/>
      <c r="AD150" s="34"/>
    </row>
    <row r="151" ht="13.5" customHeight="1">
      <c r="A151" s="28">
        <v>145.0</v>
      </c>
      <c r="B151" s="37" t="s">
        <v>5058</v>
      </c>
      <c r="C151" s="37" t="s">
        <v>5059</v>
      </c>
      <c r="D151" s="257" t="s">
        <v>5060</v>
      </c>
      <c r="E151" s="133" t="s">
        <v>338</v>
      </c>
      <c r="F151" s="208">
        <v>48.0</v>
      </c>
      <c r="G151" s="208" t="s">
        <v>339</v>
      </c>
      <c r="H151" s="208" t="s">
        <v>435</v>
      </c>
      <c r="I151" s="208">
        <v>9.611738399E9</v>
      </c>
      <c r="J151" s="42"/>
      <c r="K151" s="43"/>
      <c r="L151" s="43"/>
      <c r="M151" s="43"/>
      <c r="N151" s="43">
        <f t="shared" si="3"/>
        <v>0</v>
      </c>
      <c r="O151" s="43"/>
      <c r="P151" s="43"/>
      <c r="Q151" s="43">
        <f t="shared" si="4"/>
        <v>0</v>
      </c>
      <c r="R151" s="43"/>
      <c r="S151" s="43"/>
      <c r="T151" s="43"/>
      <c r="U151" s="43"/>
      <c r="V151" s="43"/>
      <c r="W151" s="44"/>
      <c r="Z151" s="61"/>
      <c r="AA151" s="61"/>
      <c r="AB151" s="66"/>
      <c r="AC151" s="34"/>
      <c r="AD151" s="34"/>
    </row>
    <row r="152" ht="13.5" customHeight="1">
      <c r="A152" s="28">
        <v>146.0</v>
      </c>
      <c r="B152" s="37" t="s">
        <v>3613</v>
      </c>
      <c r="C152" s="37" t="s">
        <v>4832</v>
      </c>
      <c r="D152" s="37" t="s">
        <v>1909</v>
      </c>
      <c r="E152" s="133" t="s">
        <v>338</v>
      </c>
      <c r="F152" s="134">
        <v>52.0</v>
      </c>
      <c r="G152" s="134" t="s">
        <v>476</v>
      </c>
      <c r="H152" s="134" t="s">
        <v>646</v>
      </c>
      <c r="I152" s="134">
        <v>9.194468386E9</v>
      </c>
      <c r="J152" s="54">
        <v>28.0</v>
      </c>
      <c r="K152" s="55">
        <v>25.0</v>
      </c>
      <c r="L152" s="55">
        <v>0.0</v>
      </c>
      <c r="M152" s="55">
        <v>0.0</v>
      </c>
      <c r="N152" s="43">
        <f t="shared" si="3"/>
        <v>0</v>
      </c>
      <c r="O152" s="55">
        <v>1.0</v>
      </c>
      <c r="P152" s="55">
        <v>3.0</v>
      </c>
      <c r="Q152" s="43">
        <f t="shared" si="4"/>
        <v>4</v>
      </c>
      <c r="R152" s="43"/>
      <c r="S152" s="43"/>
      <c r="T152" s="43"/>
      <c r="U152" s="43"/>
      <c r="V152" s="43"/>
      <c r="W152" s="56" t="s">
        <v>46</v>
      </c>
      <c r="Z152" s="61"/>
      <c r="AA152" s="61"/>
      <c r="AB152" s="66"/>
      <c r="AC152" s="34"/>
      <c r="AD152" s="34"/>
    </row>
    <row r="153" ht="13.5" customHeight="1">
      <c r="A153" s="28">
        <v>147.0</v>
      </c>
      <c r="B153" s="37" t="s">
        <v>5061</v>
      </c>
      <c r="C153" s="37" t="s">
        <v>4795</v>
      </c>
      <c r="D153" s="37" t="s">
        <v>5062</v>
      </c>
      <c r="E153" s="133" t="s">
        <v>338</v>
      </c>
      <c r="F153" s="134">
        <v>43.0</v>
      </c>
      <c r="G153" s="134" t="s">
        <v>476</v>
      </c>
      <c r="H153" s="134" t="s">
        <v>646</v>
      </c>
      <c r="I153" s="134">
        <v>9.617811436E9</v>
      </c>
      <c r="J153" s="54">
        <v>30.0</v>
      </c>
      <c r="K153" s="55">
        <v>24.0</v>
      </c>
      <c r="L153" s="55">
        <v>0.0</v>
      </c>
      <c r="M153" s="55">
        <v>1.0</v>
      </c>
      <c r="N153" s="43">
        <f t="shared" si="3"/>
        <v>1</v>
      </c>
      <c r="O153" s="55">
        <v>1.0</v>
      </c>
      <c r="P153" s="55">
        <v>5.0</v>
      </c>
      <c r="Q153" s="43">
        <f t="shared" si="4"/>
        <v>7</v>
      </c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37" t="s">
        <v>5063</v>
      </c>
      <c r="C154" s="37" t="s">
        <v>5064</v>
      </c>
      <c r="D154" s="37" t="s">
        <v>5065</v>
      </c>
      <c r="E154" s="133" t="s">
        <v>338</v>
      </c>
      <c r="F154" s="134">
        <v>34.0</v>
      </c>
      <c r="G154" s="134" t="s">
        <v>476</v>
      </c>
      <c r="H154" s="134" t="s">
        <v>435</v>
      </c>
      <c r="I154" s="134">
        <v>9.175749184E9</v>
      </c>
      <c r="J154" s="42"/>
      <c r="K154" s="43"/>
      <c r="L154" s="43"/>
      <c r="M154" s="43"/>
      <c r="N154" s="43">
        <f t="shared" si="3"/>
        <v>0</v>
      </c>
      <c r="O154" s="43"/>
      <c r="P154" s="43"/>
      <c r="Q154" s="43">
        <f t="shared" si="4"/>
        <v>0</v>
      </c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37" t="s">
        <v>5066</v>
      </c>
      <c r="C155" s="37" t="s">
        <v>5067</v>
      </c>
      <c r="D155" s="257" t="s">
        <v>250</v>
      </c>
      <c r="E155" s="133" t="s">
        <v>338</v>
      </c>
      <c r="F155" s="134">
        <v>37.0</v>
      </c>
      <c r="G155" s="208" t="s">
        <v>476</v>
      </c>
      <c r="H155" s="208" t="s">
        <v>5068</v>
      </c>
      <c r="I155" s="134">
        <v>9.234244788E9</v>
      </c>
      <c r="J155" s="54">
        <v>32.0</v>
      </c>
      <c r="K155" s="55">
        <v>24.0</v>
      </c>
      <c r="L155" s="55">
        <v>0.0</v>
      </c>
      <c r="M155" s="55">
        <v>4.0</v>
      </c>
      <c r="N155" s="43">
        <f t="shared" si="3"/>
        <v>4</v>
      </c>
      <c r="O155" s="55">
        <v>0.0</v>
      </c>
      <c r="P155" s="55">
        <v>4.0</v>
      </c>
      <c r="Q155" s="43">
        <f t="shared" si="4"/>
        <v>8</v>
      </c>
      <c r="R155" s="43"/>
      <c r="S155" s="43"/>
      <c r="T155" s="43"/>
      <c r="U155" s="43"/>
      <c r="V155" s="43"/>
      <c r="W155" s="56" t="s">
        <v>46</v>
      </c>
      <c r="Z155" s="61"/>
      <c r="AA155" s="61"/>
      <c r="AB155" s="66"/>
      <c r="AC155" s="34"/>
      <c r="AD155" s="34"/>
    </row>
    <row r="156" ht="13.5" customHeight="1">
      <c r="A156" s="28">
        <v>150.0</v>
      </c>
      <c r="B156" s="37" t="s">
        <v>5069</v>
      </c>
      <c r="C156" s="37" t="s">
        <v>5070</v>
      </c>
      <c r="D156" s="37" t="s">
        <v>5071</v>
      </c>
      <c r="E156" s="133" t="s">
        <v>338</v>
      </c>
      <c r="F156" s="134">
        <v>33.0</v>
      </c>
      <c r="G156" s="134" t="s">
        <v>584</v>
      </c>
      <c r="H156" s="134" t="s">
        <v>3096</v>
      </c>
      <c r="I156" s="134">
        <v>9.155445617E9</v>
      </c>
      <c r="J156" s="54">
        <v>30.0</v>
      </c>
      <c r="K156" s="55">
        <v>27.0</v>
      </c>
      <c r="L156" s="55">
        <v>0.0</v>
      </c>
      <c r="M156" s="55">
        <v>3.0</v>
      </c>
      <c r="N156" s="43">
        <f t="shared" si="3"/>
        <v>3</v>
      </c>
      <c r="O156" s="55">
        <v>2.0</v>
      </c>
      <c r="P156" s="55">
        <v>0.0</v>
      </c>
      <c r="Q156" s="43">
        <f t="shared" si="4"/>
        <v>5</v>
      </c>
      <c r="R156" s="43"/>
      <c r="S156" s="43"/>
      <c r="T156" s="43"/>
      <c r="U156" s="43"/>
      <c r="V156" s="43"/>
      <c r="W156" s="56" t="s">
        <v>46</v>
      </c>
      <c r="Z156" s="61"/>
      <c r="AA156" s="61"/>
      <c r="AB156" s="66"/>
      <c r="AC156" s="34"/>
      <c r="AD156" s="34"/>
    </row>
    <row r="157" ht="13.5" customHeight="1">
      <c r="A157" s="28">
        <v>151.0</v>
      </c>
      <c r="B157" s="37" t="s">
        <v>5069</v>
      </c>
      <c r="C157" s="37" t="s">
        <v>5072</v>
      </c>
      <c r="D157" s="37" t="s">
        <v>5073</v>
      </c>
      <c r="E157" s="133" t="s">
        <v>338</v>
      </c>
      <c r="F157" s="134">
        <v>32.0</v>
      </c>
      <c r="G157" s="134" t="s">
        <v>339</v>
      </c>
      <c r="H157" s="134" t="s">
        <v>3092</v>
      </c>
      <c r="I157" s="134">
        <v>9.45493353E9</v>
      </c>
      <c r="J157" s="54">
        <v>28.0</v>
      </c>
      <c r="K157" s="55">
        <v>24.0</v>
      </c>
      <c r="L157" s="55">
        <v>3.0</v>
      </c>
      <c r="M157" s="55">
        <v>0.0</v>
      </c>
      <c r="N157" s="43">
        <f t="shared" si="3"/>
        <v>3</v>
      </c>
      <c r="O157" s="55">
        <v>4.0</v>
      </c>
      <c r="P157" s="55">
        <v>1.0</v>
      </c>
      <c r="Q157" s="43">
        <f t="shared" si="4"/>
        <v>8</v>
      </c>
      <c r="R157" s="43"/>
      <c r="S157" s="43"/>
      <c r="T157" s="43"/>
      <c r="U157" s="55"/>
      <c r="V157" s="55" t="s">
        <v>1049</v>
      </c>
      <c r="W157" s="56" t="s">
        <v>46</v>
      </c>
      <c r="Z157" s="61"/>
      <c r="AA157" s="61"/>
      <c r="AB157" s="66"/>
      <c r="AC157" s="34"/>
      <c r="AD157" s="34"/>
    </row>
    <row r="158" ht="13.5" customHeight="1">
      <c r="A158" s="28">
        <v>152.0</v>
      </c>
      <c r="B158" s="37" t="s">
        <v>367</v>
      </c>
      <c r="C158" s="37" t="s">
        <v>5074</v>
      </c>
      <c r="D158" s="37" t="s">
        <v>5024</v>
      </c>
      <c r="E158" s="133" t="s">
        <v>338</v>
      </c>
      <c r="F158" s="134">
        <v>48.0</v>
      </c>
      <c r="G158" s="134" t="s">
        <v>584</v>
      </c>
      <c r="H158" s="134" t="s">
        <v>5075</v>
      </c>
      <c r="I158" s="134">
        <v>9.605311169E9</v>
      </c>
      <c r="J158" s="54">
        <v>18.0</v>
      </c>
      <c r="K158" s="55">
        <v>8.0</v>
      </c>
      <c r="L158" s="55">
        <v>0.0</v>
      </c>
      <c r="M158" s="55">
        <v>3.0</v>
      </c>
      <c r="N158" s="43">
        <f t="shared" si="3"/>
        <v>3</v>
      </c>
      <c r="O158" s="55">
        <v>14.0</v>
      </c>
      <c r="P158" s="55">
        <v>7.0</v>
      </c>
      <c r="Q158" s="43">
        <f t="shared" si="4"/>
        <v>24</v>
      </c>
      <c r="R158" s="43"/>
      <c r="S158" s="43"/>
      <c r="T158" s="43"/>
      <c r="U158" s="43"/>
      <c r="V158" s="55" t="s">
        <v>5076</v>
      </c>
      <c r="W158" s="56" t="s">
        <v>46</v>
      </c>
      <c r="Z158" s="34"/>
      <c r="AA158" s="34"/>
      <c r="AB158" s="34"/>
      <c r="AC158" s="34"/>
      <c r="AD158" s="34"/>
    </row>
    <row r="159" ht="13.5" customHeight="1">
      <c r="A159" s="28">
        <v>153.0</v>
      </c>
      <c r="B159" s="37" t="s">
        <v>1586</v>
      </c>
      <c r="C159" s="37" t="s">
        <v>1193</v>
      </c>
      <c r="D159" s="37" t="s">
        <v>5077</v>
      </c>
      <c r="E159" s="133" t="s">
        <v>338</v>
      </c>
      <c r="F159" s="134">
        <v>34.0</v>
      </c>
      <c r="G159" s="208" t="s">
        <v>1690</v>
      </c>
      <c r="H159" s="134" t="s">
        <v>435</v>
      </c>
      <c r="I159" s="134">
        <v>9.947112603E9</v>
      </c>
      <c r="J159" s="54">
        <v>30.0</v>
      </c>
      <c r="K159" s="55">
        <v>21.0</v>
      </c>
      <c r="L159" s="55">
        <v>0.0</v>
      </c>
      <c r="M159" s="55">
        <v>4.0</v>
      </c>
      <c r="N159" s="43">
        <f t="shared" si="3"/>
        <v>4</v>
      </c>
      <c r="O159" s="55">
        <v>2.0</v>
      </c>
      <c r="P159" s="55">
        <v>5.0</v>
      </c>
      <c r="Q159" s="43">
        <f t="shared" si="4"/>
        <v>11</v>
      </c>
      <c r="R159" s="43"/>
      <c r="S159" s="43"/>
      <c r="T159" s="43"/>
      <c r="U159" s="43"/>
      <c r="V159" s="43"/>
      <c r="W159" s="56" t="s">
        <v>46</v>
      </c>
      <c r="Z159" s="34"/>
      <c r="AA159" s="34"/>
      <c r="AB159" s="34"/>
      <c r="AC159" s="34"/>
      <c r="AD159" s="34"/>
    </row>
    <row r="160" ht="13.5" customHeight="1">
      <c r="A160" s="28">
        <v>154.0</v>
      </c>
      <c r="B160" s="37" t="s">
        <v>5078</v>
      </c>
      <c r="C160" s="37" t="s">
        <v>76</v>
      </c>
      <c r="D160" s="37" t="s">
        <v>5079</v>
      </c>
      <c r="E160" s="133" t="s">
        <v>338</v>
      </c>
      <c r="F160" s="134">
        <v>40.0</v>
      </c>
      <c r="G160" s="134" t="s">
        <v>476</v>
      </c>
      <c r="H160" s="134" t="s">
        <v>435</v>
      </c>
      <c r="I160" s="134">
        <v>9.945221299E9</v>
      </c>
      <c r="J160" s="54">
        <v>22.0</v>
      </c>
      <c r="K160" s="55">
        <v>15.0</v>
      </c>
      <c r="L160" s="55">
        <v>0.0</v>
      </c>
      <c r="M160" s="55">
        <v>6.0</v>
      </c>
      <c r="N160" s="43">
        <f t="shared" si="3"/>
        <v>6</v>
      </c>
      <c r="O160" s="55">
        <v>10.0</v>
      </c>
      <c r="P160" s="55">
        <v>1.0</v>
      </c>
      <c r="Q160" s="43">
        <f t="shared" si="4"/>
        <v>17</v>
      </c>
      <c r="R160" s="43"/>
      <c r="S160" s="43"/>
      <c r="T160" s="43"/>
      <c r="U160" s="43"/>
      <c r="V160" s="55" t="s">
        <v>5080</v>
      </c>
      <c r="W160" s="56" t="s">
        <v>46</v>
      </c>
      <c r="Z160" s="34"/>
      <c r="AA160" s="34"/>
      <c r="AB160" s="34"/>
      <c r="AC160" s="34"/>
      <c r="AD160" s="34"/>
    </row>
    <row r="161" ht="13.5" customHeight="1">
      <c r="A161" s="28">
        <v>155.0</v>
      </c>
      <c r="B161" s="37" t="s">
        <v>4959</v>
      </c>
      <c r="C161" s="37" t="s">
        <v>5081</v>
      </c>
      <c r="D161" s="37" t="s">
        <v>1730</v>
      </c>
      <c r="E161" s="133" t="s">
        <v>338</v>
      </c>
      <c r="F161" s="134">
        <v>36.0</v>
      </c>
      <c r="G161" s="134" t="s">
        <v>385</v>
      </c>
      <c r="H161" s="134" t="s">
        <v>839</v>
      </c>
      <c r="I161" s="134">
        <v>9.088158416E9</v>
      </c>
      <c r="J161" s="54">
        <v>28.0</v>
      </c>
      <c r="K161" s="55">
        <v>24.0</v>
      </c>
      <c r="L161" s="55">
        <v>0.0</v>
      </c>
      <c r="M161" s="55">
        <v>3.0</v>
      </c>
      <c r="N161" s="43">
        <f t="shared" si="3"/>
        <v>3</v>
      </c>
      <c r="O161" s="55">
        <v>4.0</v>
      </c>
      <c r="P161" s="55">
        <v>1.0</v>
      </c>
      <c r="Q161" s="43">
        <f t="shared" si="4"/>
        <v>8</v>
      </c>
      <c r="R161" s="43"/>
      <c r="S161" s="43"/>
      <c r="T161" s="43"/>
      <c r="U161" s="43"/>
      <c r="V161" s="55" t="s">
        <v>4893</v>
      </c>
      <c r="W161" s="56" t="s">
        <v>46</v>
      </c>
      <c r="Z161" s="34"/>
      <c r="AA161" s="34"/>
      <c r="AB161" s="34"/>
      <c r="AC161" s="34"/>
      <c r="AD161" s="34"/>
    </row>
    <row r="162" ht="13.5" customHeight="1">
      <c r="A162" s="28">
        <v>156.0</v>
      </c>
      <c r="B162" s="37" t="s">
        <v>5082</v>
      </c>
      <c r="C162" s="37" t="s">
        <v>2549</v>
      </c>
      <c r="D162" s="37" t="s">
        <v>5083</v>
      </c>
      <c r="E162" s="133" t="s">
        <v>338</v>
      </c>
      <c r="F162" s="134">
        <v>34.0</v>
      </c>
      <c r="G162" s="134" t="s">
        <v>339</v>
      </c>
      <c r="H162" s="134" t="s">
        <v>833</v>
      </c>
      <c r="I162" s="134">
        <v>9.50037756E9</v>
      </c>
      <c r="J162" s="42"/>
      <c r="K162" s="43"/>
      <c r="L162" s="43"/>
      <c r="M162" s="43"/>
      <c r="N162" s="43">
        <f t="shared" si="3"/>
        <v>0</v>
      </c>
      <c r="O162" s="43"/>
      <c r="P162" s="43"/>
      <c r="Q162" s="43">
        <v>0.0</v>
      </c>
      <c r="R162" s="43"/>
      <c r="S162" s="43"/>
      <c r="T162" s="43"/>
      <c r="U162" s="43"/>
      <c r="V162" s="43"/>
      <c r="W162" s="44"/>
      <c r="Z162" s="34"/>
      <c r="AA162" s="34"/>
      <c r="AB162" s="34"/>
      <c r="AC162" s="34"/>
      <c r="AD162" s="34"/>
    </row>
    <row r="163" ht="24.75" customHeight="1">
      <c r="A163" s="28">
        <v>157.0</v>
      </c>
      <c r="B163" s="37" t="s">
        <v>5084</v>
      </c>
      <c r="C163" s="37" t="s">
        <v>5085</v>
      </c>
      <c r="D163" s="37" t="s">
        <v>5086</v>
      </c>
      <c r="E163" s="133" t="s">
        <v>338</v>
      </c>
      <c r="F163" s="134">
        <v>30.0</v>
      </c>
      <c r="G163" s="134" t="s">
        <v>385</v>
      </c>
      <c r="H163" s="134" t="s">
        <v>2368</v>
      </c>
      <c r="I163" s="134">
        <v>9.291989559E9</v>
      </c>
      <c r="J163" s="54">
        <v>29.0</v>
      </c>
      <c r="K163" s="55">
        <v>26.0</v>
      </c>
      <c r="L163" s="55">
        <v>0.0</v>
      </c>
      <c r="M163" s="55">
        <v>0.0</v>
      </c>
      <c r="N163" s="43">
        <f t="shared" si="3"/>
        <v>0</v>
      </c>
      <c r="O163" s="55">
        <v>3.0</v>
      </c>
      <c r="P163" s="55">
        <v>3.0</v>
      </c>
      <c r="Q163" s="43">
        <f t="shared" ref="Q163:Q172" si="5">(N163+O163+P163)</f>
        <v>6</v>
      </c>
      <c r="R163" s="43"/>
      <c r="S163" s="43"/>
      <c r="T163" s="43"/>
      <c r="U163" s="43"/>
      <c r="V163" s="55" t="s">
        <v>5087</v>
      </c>
      <c r="W163" s="56" t="s">
        <v>46</v>
      </c>
      <c r="Z163" s="34"/>
      <c r="AA163" s="34"/>
      <c r="AB163" s="34"/>
      <c r="AC163" s="34"/>
      <c r="AD163" s="34"/>
    </row>
    <row r="164" ht="13.5" customHeight="1">
      <c r="A164" s="28">
        <v>158.0</v>
      </c>
      <c r="B164" s="37" t="s">
        <v>4063</v>
      </c>
      <c r="C164" s="37" t="s">
        <v>5088</v>
      </c>
      <c r="D164" s="37" t="s">
        <v>3720</v>
      </c>
      <c r="E164" s="133" t="s">
        <v>338</v>
      </c>
      <c r="F164" s="134">
        <v>30.0</v>
      </c>
      <c r="G164" s="134" t="s">
        <v>339</v>
      </c>
      <c r="H164" s="134" t="s">
        <v>2368</v>
      </c>
      <c r="I164" s="134">
        <v>9.091199038E9</v>
      </c>
      <c r="J164" s="54">
        <v>29.0</v>
      </c>
      <c r="K164" s="55">
        <v>26.0</v>
      </c>
      <c r="L164" s="55">
        <v>0.0</v>
      </c>
      <c r="M164" s="55">
        <v>1.0</v>
      </c>
      <c r="N164" s="43">
        <f t="shared" si="3"/>
        <v>1</v>
      </c>
      <c r="O164" s="55">
        <v>3.0</v>
      </c>
      <c r="P164" s="55">
        <v>2.0</v>
      </c>
      <c r="Q164" s="43">
        <f t="shared" si="5"/>
        <v>6</v>
      </c>
      <c r="R164" s="43"/>
      <c r="S164" s="43"/>
      <c r="T164" s="43"/>
      <c r="U164" s="43"/>
      <c r="V164" s="43"/>
      <c r="W164" s="56" t="s">
        <v>46</v>
      </c>
      <c r="Z164" s="34"/>
      <c r="AA164" s="34"/>
      <c r="AB164" s="34"/>
      <c r="AC164" s="34"/>
      <c r="AD164" s="34"/>
    </row>
    <row r="165" ht="13.5" customHeight="1">
      <c r="A165" s="28">
        <v>159.0</v>
      </c>
      <c r="B165" s="37" t="s">
        <v>5089</v>
      </c>
      <c r="C165" s="37" t="s">
        <v>5090</v>
      </c>
      <c r="D165" s="37" t="s">
        <v>5091</v>
      </c>
      <c r="E165" s="133" t="s">
        <v>338</v>
      </c>
      <c r="F165" s="134">
        <v>50.0</v>
      </c>
      <c r="G165" s="134" t="s">
        <v>339</v>
      </c>
      <c r="H165" s="134" t="s">
        <v>594</v>
      </c>
      <c r="I165" s="134">
        <v>9.294818191E9</v>
      </c>
      <c r="J165" s="54">
        <v>21.0</v>
      </c>
      <c r="K165" s="55">
        <v>16.0</v>
      </c>
      <c r="L165" s="55">
        <v>0.0</v>
      </c>
      <c r="M165" s="55">
        <v>4.0</v>
      </c>
      <c r="N165" s="43">
        <f t="shared" si="3"/>
        <v>4</v>
      </c>
      <c r="O165" s="55">
        <v>11.0</v>
      </c>
      <c r="P165" s="55">
        <v>0.0</v>
      </c>
      <c r="Q165" s="43">
        <f t="shared" si="5"/>
        <v>15</v>
      </c>
      <c r="R165" s="43"/>
      <c r="S165" s="43"/>
      <c r="T165" s="43"/>
      <c r="U165" s="43"/>
      <c r="V165" s="43"/>
      <c r="W165" s="56" t="s">
        <v>46</v>
      </c>
      <c r="Z165" s="34"/>
      <c r="AA165" s="34"/>
      <c r="AB165" s="34"/>
      <c r="AC165" s="34"/>
      <c r="AD165" s="34"/>
    </row>
    <row r="166" ht="13.5" customHeight="1">
      <c r="A166" s="28">
        <v>160.0</v>
      </c>
      <c r="B166" s="37" t="s">
        <v>5092</v>
      </c>
      <c r="C166" s="37" t="s">
        <v>5093</v>
      </c>
      <c r="D166" s="37" t="s">
        <v>5094</v>
      </c>
      <c r="E166" s="133" t="s">
        <v>338</v>
      </c>
      <c r="F166" s="134">
        <v>48.0</v>
      </c>
      <c r="G166" s="134" t="s">
        <v>339</v>
      </c>
      <c r="H166" s="134" t="s">
        <v>1773</v>
      </c>
      <c r="I166" s="134">
        <v>9.171147504E9</v>
      </c>
      <c r="J166" s="54">
        <v>13.0</v>
      </c>
      <c r="K166" s="55">
        <v>10.0</v>
      </c>
      <c r="L166" s="55">
        <v>1.0</v>
      </c>
      <c r="M166" s="55">
        <v>1.0</v>
      </c>
      <c r="N166" s="43">
        <f t="shared" si="3"/>
        <v>2</v>
      </c>
      <c r="O166" s="55">
        <v>19.0</v>
      </c>
      <c r="P166" s="55">
        <v>1.0</v>
      </c>
      <c r="Q166" s="43">
        <f t="shared" si="5"/>
        <v>22</v>
      </c>
      <c r="R166" s="43"/>
      <c r="S166" s="43"/>
      <c r="T166" s="43"/>
      <c r="U166" s="43"/>
      <c r="V166" s="55" t="s">
        <v>648</v>
      </c>
      <c r="W166" s="56" t="s">
        <v>46</v>
      </c>
      <c r="Z166" s="34"/>
      <c r="AA166" s="34"/>
      <c r="AB166" s="34"/>
      <c r="AC166" s="34"/>
      <c r="AD166" s="34"/>
    </row>
    <row r="167" ht="13.5" customHeight="1">
      <c r="A167" s="28">
        <v>161.0</v>
      </c>
      <c r="B167" s="37" t="s">
        <v>5095</v>
      </c>
      <c r="C167" s="37" t="s">
        <v>5096</v>
      </c>
      <c r="D167" s="37" t="s">
        <v>3688</v>
      </c>
      <c r="E167" s="133" t="s">
        <v>338</v>
      </c>
      <c r="F167" s="134">
        <v>32.0</v>
      </c>
      <c r="G167" s="134" t="s">
        <v>339</v>
      </c>
      <c r="H167" s="134" t="s">
        <v>594</v>
      </c>
      <c r="I167" s="134">
        <v>9.684992254E9</v>
      </c>
      <c r="J167" s="54">
        <v>23.0</v>
      </c>
      <c r="K167" s="55">
        <v>10.0</v>
      </c>
      <c r="L167" s="55">
        <v>3.0</v>
      </c>
      <c r="M167" s="55">
        <v>6.0</v>
      </c>
      <c r="N167" s="43">
        <f t="shared" si="3"/>
        <v>9</v>
      </c>
      <c r="O167" s="55">
        <v>9.0</v>
      </c>
      <c r="P167" s="55">
        <v>4.0</v>
      </c>
      <c r="Q167" s="43">
        <f t="shared" si="5"/>
        <v>22</v>
      </c>
      <c r="R167" s="43"/>
      <c r="S167" s="43"/>
      <c r="T167" s="43"/>
      <c r="U167" s="43"/>
      <c r="V167" s="55" t="s">
        <v>3675</v>
      </c>
      <c r="W167" s="56" t="s">
        <v>46</v>
      </c>
      <c r="Z167" s="34"/>
      <c r="AA167" s="34"/>
      <c r="AB167" s="34"/>
      <c r="AC167" s="34"/>
      <c r="AD167" s="34"/>
    </row>
    <row r="168" ht="13.5" customHeight="1">
      <c r="A168" s="28">
        <v>162.0</v>
      </c>
      <c r="B168" s="37" t="s">
        <v>5097</v>
      </c>
      <c r="C168" s="37" t="s">
        <v>5098</v>
      </c>
      <c r="D168" s="37" t="s">
        <v>5099</v>
      </c>
      <c r="E168" s="133" t="s">
        <v>338</v>
      </c>
      <c r="F168" s="134">
        <v>32.0</v>
      </c>
      <c r="G168" s="134" t="s">
        <v>385</v>
      </c>
      <c r="H168" s="134" t="s">
        <v>519</v>
      </c>
      <c r="I168" s="134">
        <v>9.183301839E9</v>
      </c>
      <c r="J168" s="54">
        <v>32.0</v>
      </c>
      <c r="K168" s="55">
        <v>24.0</v>
      </c>
      <c r="L168" s="55">
        <v>6.0</v>
      </c>
      <c r="M168" s="55">
        <v>2.0</v>
      </c>
      <c r="N168" s="43">
        <f t="shared" si="3"/>
        <v>8</v>
      </c>
      <c r="O168" s="55">
        <v>0.0</v>
      </c>
      <c r="P168" s="55">
        <v>0.0</v>
      </c>
      <c r="Q168" s="43">
        <f t="shared" si="5"/>
        <v>8</v>
      </c>
      <c r="R168" s="43"/>
      <c r="S168" s="43"/>
      <c r="T168" s="43"/>
      <c r="U168" s="43"/>
      <c r="V168" s="43"/>
      <c r="W168" s="56" t="s">
        <v>46</v>
      </c>
      <c r="Z168" s="34"/>
      <c r="AA168" s="34"/>
      <c r="AB168" s="34"/>
      <c r="AC168" s="34"/>
      <c r="AD168" s="34"/>
    </row>
    <row r="169" ht="13.5" customHeight="1">
      <c r="A169" s="28">
        <v>163.0</v>
      </c>
      <c r="B169" s="411"/>
      <c r="C169" s="412"/>
      <c r="D169" s="412"/>
      <c r="E169" s="47"/>
      <c r="F169" s="413"/>
      <c r="G169" s="413"/>
      <c r="H169" s="413"/>
      <c r="I169" s="413"/>
      <c r="J169" s="42"/>
      <c r="K169" s="43"/>
      <c r="L169" s="43"/>
      <c r="M169" s="43"/>
      <c r="N169" s="43">
        <f t="shared" si="3"/>
        <v>0</v>
      </c>
      <c r="O169" s="43"/>
      <c r="P169" s="43"/>
      <c r="Q169" s="43">
        <f t="shared" si="5"/>
        <v>0</v>
      </c>
      <c r="R169" s="43"/>
      <c r="S169" s="43"/>
      <c r="T169" s="43"/>
      <c r="U169" s="43"/>
      <c r="V169" s="43"/>
      <c r="W169" s="44"/>
      <c r="Z169" s="34"/>
      <c r="AA169" s="34"/>
      <c r="AB169" s="34"/>
      <c r="AC169" s="34"/>
      <c r="AD169" s="34"/>
    </row>
    <row r="170" ht="13.5" customHeight="1">
      <c r="A170" s="28">
        <v>164.0</v>
      </c>
      <c r="B170" s="414"/>
      <c r="C170" s="415"/>
      <c r="D170" s="415"/>
      <c r="E170" s="47"/>
      <c r="F170" s="413"/>
      <c r="G170" s="413"/>
      <c r="H170" s="413"/>
      <c r="I170" s="413"/>
      <c r="J170" s="42"/>
      <c r="K170" s="43"/>
      <c r="L170" s="43"/>
      <c r="M170" s="43"/>
      <c r="N170" s="43"/>
      <c r="O170" s="43"/>
      <c r="P170" s="43"/>
      <c r="Q170" s="43">
        <f t="shared" si="5"/>
        <v>0</v>
      </c>
      <c r="R170" s="43"/>
      <c r="S170" s="43"/>
      <c r="T170" s="43"/>
      <c r="U170" s="43"/>
      <c r="V170" s="43"/>
      <c r="W170" s="44"/>
      <c r="Z170" s="34"/>
      <c r="AA170" s="34"/>
      <c r="AB170" s="34"/>
      <c r="AC170" s="34"/>
      <c r="AD170" s="34"/>
    </row>
    <row r="171" ht="13.5" customHeight="1">
      <c r="A171" s="28">
        <v>165.0</v>
      </c>
      <c r="B171" s="414"/>
      <c r="C171" s="415"/>
      <c r="D171" s="415"/>
      <c r="E171" s="47"/>
      <c r="F171" s="413"/>
      <c r="G171" s="413"/>
      <c r="H171" s="413"/>
      <c r="I171" s="413"/>
      <c r="J171" s="42"/>
      <c r="K171" s="43"/>
      <c r="L171" s="43"/>
      <c r="M171" s="43"/>
      <c r="N171" s="43"/>
      <c r="O171" s="43"/>
      <c r="P171" s="43"/>
      <c r="Q171" s="43">
        <f t="shared" si="5"/>
        <v>0</v>
      </c>
      <c r="R171" s="43"/>
      <c r="S171" s="43"/>
      <c r="T171" s="43"/>
      <c r="U171" s="43"/>
      <c r="V171" s="43"/>
      <c r="W171" s="44"/>
      <c r="Z171" s="34"/>
      <c r="AA171" s="34"/>
      <c r="AB171" s="34"/>
      <c r="AC171" s="34"/>
      <c r="AD171" s="34"/>
    </row>
    <row r="172" ht="13.5" customHeight="1">
      <c r="A172" s="28">
        <v>166.0</v>
      </c>
      <c r="B172" s="416"/>
      <c r="C172" s="415"/>
      <c r="D172" s="415"/>
      <c r="E172" s="47"/>
      <c r="F172" s="284"/>
      <c r="G172" s="284"/>
      <c r="H172" s="413"/>
      <c r="I172" s="284"/>
      <c r="J172" s="42"/>
      <c r="K172" s="43"/>
      <c r="L172" s="43"/>
      <c r="M172" s="43"/>
      <c r="N172" s="43"/>
      <c r="O172" s="43"/>
      <c r="P172" s="43"/>
      <c r="Q172" s="43">
        <f t="shared" si="5"/>
        <v>0</v>
      </c>
      <c r="R172" s="43"/>
      <c r="S172" s="43"/>
      <c r="T172" s="43"/>
      <c r="U172" s="43"/>
      <c r="V172" s="43"/>
      <c r="W172" s="44"/>
      <c r="Z172" s="34"/>
      <c r="AA172" s="34"/>
      <c r="AB172" s="34"/>
      <c r="AC172" s="34"/>
      <c r="AD172" s="34"/>
    </row>
    <row r="173" ht="13.5" customHeight="1">
      <c r="A173" s="417"/>
      <c r="B173" s="418"/>
      <c r="C173" s="418"/>
      <c r="D173" s="419"/>
      <c r="E173" s="420"/>
      <c r="F173" s="420"/>
      <c r="G173" s="420"/>
      <c r="H173" s="420"/>
      <c r="I173" s="421" t="s">
        <v>329</v>
      </c>
      <c r="J173" s="422">
        <f t="shared" ref="J173:Q173" si="6">SUM(J7:J172)</f>
        <v>3786</v>
      </c>
      <c r="K173" s="422">
        <f t="shared" si="6"/>
        <v>3094</v>
      </c>
      <c r="L173" s="422">
        <f t="shared" si="6"/>
        <v>80</v>
      </c>
      <c r="M173" s="422">
        <f t="shared" si="6"/>
        <v>268</v>
      </c>
      <c r="N173" s="422">
        <f t="shared" si="6"/>
        <v>348</v>
      </c>
      <c r="O173" s="422">
        <f t="shared" si="6"/>
        <v>938</v>
      </c>
      <c r="P173" s="422">
        <f t="shared" si="6"/>
        <v>393</v>
      </c>
      <c r="Q173" s="123">
        <f t="shared" si="6"/>
        <v>1679</v>
      </c>
      <c r="R173" s="124"/>
      <c r="S173" s="124"/>
      <c r="T173" s="125"/>
      <c r="U173" s="145" t="s">
        <v>330</v>
      </c>
      <c r="V173" s="5"/>
      <c r="W173" s="126">
        <f>countif(W7:W172,"YES")</f>
        <v>150</v>
      </c>
      <c r="Z173" s="34"/>
      <c r="AA173" s="34"/>
      <c r="AB173" s="34"/>
      <c r="AC173" s="34"/>
      <c r="AD173" s="34"/>
    </row>
    <row r="174" ht="13.5" customHeight="1">
      <c r="A174" s="127"/>
      <c r="B174" s="128"/>
      <c r="C174" s="128"/>
      <c r="D174" s="129"/>
      <c r="E174" s="130"/>
      <c r="F174" s="130"/>
      <c r="G174" s="130"/>
      <c r="H174" s="130"/>
      <c r="I174" s="130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46" t="s">
        <v>331</v>
      </c>
      <c r="V174" s="147"/>
      <c r="W174" s="126"/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1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73:V173"/>
    <mergeCell ref="U174:V174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72">
      <formula1>"YES,NO"</formula1>
    </dataValidation>
    <dataValidation type="list" allowBlank="1" showErrorMessage="1" sqref="E173:E174">
      <formula1>'Data Dont Use'!$A$8:$A$9</formula1>
    </dataValidation>
    <dataValidation type="list" allowBlank="1" showErrorMessage="1" sqref="G173:G174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20.25"/>
    <col customWidth="1" min="3" max="3" width="30.38"/>
    <col customWidth="1" min="4" max="4" width="17.75"/>
    <col customWidth="1" min="5" max="5" width="14.25"/>
    <col customWidth="1" min="6" max="6" width="5.63"/>
    <col customWidth="1" min="7" max="7" width="11.13"/>
    <col customWidth="1" min="8" max="8" width="37.63"/>
    <col customWidth="1" min="9" max="9" width="16.25"/>
    <col customWidth="1" min="10" max="10" width="12.13"/>
    <col customWidth="1" min="11" max="11" width="11.13"/>
    <col customWidth="1" min="12" max="12" width="11.5"/>
    <col customWidth="1" min="13" max="13" width="11.63"/>
    <col customWidth="1" min="14" max="18" width="8.63"/>
    <col customWidth="1" min="19" max="19" width="18.25"/>
    <col customWidth="1" min="20" max="21" width="8.63"/>
    <col customWidth="1" min="22" max="22" width="15.0"/>
    <col customWidth="1" min="23" max="23" width="8.0"/>
    <col customWidth="1" min="24" max="25" width="8.63"/>
    <col customWidth="1" min="26" max="26" width="23.38"/>
    <col customWidth="1" min="27" max="27" width="14.13"/>
    <col customWidth="1" min="28" max="28" width="22.63"/>
    <col customWidth="1" min="29" max="30" width="8.0"/>
  </cols>
  <sheetData>
    <row r="1" ht="13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</row>
    <row r="2" ht="15.75" customHeight="1">
      <c r="A2" s="6" t="s">
        <v>1</v>
      </c>
      <c r="B2" s="5"/>
      <c r="C2" s="423" t="s">
        <v>5100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</row>
    <row r="3" ht="15.75" customHeight="1">
      <c r="A3" s="6" t="s">
        <v>3</v>
      </c>
      <c r="B3" s="5"/>
      <c r="C3" s="423" t="s">
        <v>5101</v>
      </c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</row>
    <row r="4" ht="17.25" customHeight="1">
      <c r="A4" s="12" t="s">
        <v>5</v>
      </c>
      <c r="B4" s="5"/>
      <c r="C4" s="423" t="s">
        <v>5102</v>
      </c>
      <c r="D4" s="8"/>
      <c r="E4" s="8"/>
      <c r="F4" s="8"/>
      <c r="G4" s="8"/>
      <c r="H4" s="8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4"/>
      <c r="W4" s="15"/>
    </row>
    <row r="5" ht="13.5" customHeight="1">
      <c r="A5" s="16"/>
      <c r="B5" s="17" t="s">
        <v>6</v>
      </c>
      <c r="C5" s="18"/>
      <c r="D5" s="5"/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1" t="s">
        <v>12</v>
      </c>
      <c r="K5" s="21" t="s">
        <v>13</v>
      </c>
      <c r="L5" s="22" t="s">
        <v>14</v>
      </c>
      <c r="M5" s="23"/>
      <c r="N5" s="23"/>
      <c r="O5" s="23"/>
      <c r="P5" s="24"/>
      <c r="Q5" s="25" t="s">
        <v>15</v>
      </c>
      <c r="R5" s="25" t="s">
        <v>16</v>
      </c>
      <c r="S5" s="26" t="s">
        <v>17</v>
      </c>
      <c r="T5" s="26" t="s">
        <v>18</v>
      </c>
      <c r="U5" s="26" t="s">
        <v>19</v>
      </c>
      <c r="V5" s="26" t="s">
        <v>20</v>
      </c>
      <c r="W5" s="27" t="s">
        <v>21</v>
      </c>
    </row>
    <row r="6" ht="13.5" customHeight="1">
      <c r="A6" s="28" t="s">
        <v>22</v>
      </c>
      <c r="B6" s="28" t="s">
        <v>23</v>
      </c>
      <c r="C6" s="28" t="s">
        <v>24</v>
      </c>
      <c r="D6" s="28" t="s">
        <v>25</v>
      </c>
      <c r="E6" s="29"/>
      <c r="F6" s="29"/>
      <c r="G6" s="29"/>
      <c r="H6" s="29"/>
      <c r="I6" s="30"/>
      <c r="J6" s="31"/>
      <c r="K6" s="31"/>
      <c r="L6" s="32" t="s">
        <v>26</v>
      </c>
      <c r="M6" s="33" t="s">
        <v>27</v>
      </c>
      <c r="N6" s="32" t="s">
        <v>28</v>
      </c>
      <c r="O6" s="32" t="s">
        <v>29</v>
      </c>
      <c r="P6" s="32" t="s">
        <v>30</v>
      </c>
      <c r="Q6" s="31"/>
      <c r="R6" s="31"/>
      <c r="S6" s="31"/>
      <c r="T6" s="31"/>
      <c r="U6" s="31"/>
      <c r="V6" s="31"/>
      <c r="W6" s="31"/>
      <c r="Z6" s="34"/>
      <c r="AA6" s="35" t="s">
        <v>31</v>
      </c>
      <c r="AB6" s="18"/>
      <c r="AC6" s="18"/>
      <c r="AD6" s="5"/>
    </row>
    <row r="7" ht="13.5" customHeight="1">
      <c r="A7" s="28">
        <v>1.0</v>
      </c>
      <c r="B7" s="37" t="s">
        <v>3721</v>
      </c>
      <c r="C7" s="37" t="s">
        <v>2168</v>
      </c>
      <c r="D7" s="37" t="s">
        <v>1158</v>
      </c>
      <c r="E7" s="133" t="s">
        <v>338</v>
      </c>
      <c r="F7" s="134">
        <v>59.0</v>
      </c>
      <c r="G7" s="134" t="s">
        <v>339</v>
      </c>
      <c r="H7" s="134" t="s">
        <v>824</v>
      </c>
      <c r="I7" s="134">
        <v>9.684993043E9</v>
      </c>
      <c r="J7" s="54">
        <v>13.0</v>
      </c>
      <c r="K7" s="55">
        <v>10.0</v>
      </c>
      <c r="L7" s="55">
        <v>0.0</v>
      </c>
      <c r="M7" s="55">
        <v>3.0</v>
      </c>
      <c r="N7" s="43">
        <f t="shared" ref="N7:N39" si="1">sum(L7,M7)</f>
        <v>3</v>
      </c>
      <c r="O7" s="55">
        <v>19.0</v>
      </c>
      <c r="P7" s="55">
        <v>0.0</v>
      </c>
      <c r="Q7" s="43">
        <f t="shared" ref="Q7:Q156" si="2">sum(N7,O7,P7)</f>
        <v>22</v>
      </c>
      <c r="R7" s="43"/>
      <c r="S7" s="43"/>
      <c r="T7" s="43"/>
      <c r="U7" s="43"/>
      <c r="V7" s="43"/>
      <c r="W7" s="56" t="s">
        <v>46</v>
      </c>
      <c r="Z7" s="34"/>
      <c r="AA7" s="45" t="s">
        <v>36</v>
      </c>
      <c r="AB7" s="18"/>
      <c r="AC7" s="5"/>
      <c r="AD7" s="46">
        <f>COUNTIF(D8:D157, "Male")</f>
        <v>0</v>
      </c>
    </row>
    <row r="8" ht="13.5" customHeight="1">
      <c r="A8" s="28">
        <v>2.0</v>
      </c>
      <c r="B8" s="37" t="s">
        <v>5103</v>
      </c>
      <c r="C8" s="37" t="s">
        <v>1555</v>
      </c>
      <c r="D8" s="37" t="s">
        <v>5104</v>
      </c>
      <c r="E8" s="133" t="s">
        <v>338</v>
      </c>
      <c r="F8" s="134">
        <v>38.0</v>
      </c>
      <c r="G8" s="134" t="s">
        <v>339</v>
      </c>
      <c r="H8" s="134" t="s">
        <v>340</v>
      </c>
      <c r="I8" s="134">
        <v>9.305560532E9</v>
      </c>
      <c r="J8" s="54">
        <v>30.0</v>
      </c>
      <c r="K8" s="55">
        <v>23.0</v>
      </c>
      <c r="L8" s="55">
        <v>0.0</v>
      </c>
      <c r="M8" s="55">
        <v>0.0</v>
      </c>
      <c r="N8" s="43">
        <f t="shared" si="1"/>
        <v>0</v>
      </c>
      <c r="O8" s="55">
        <v>2.0</v>
      </c>
      <c r="P8" s="55">
        <v>7.0</v>
      </c>
      <c r="Q8" s="43">
        <f t="shared" si="2"/>
        <v>9</v>
      </c>
      <c r="R8" s="43"/>
      <c r="S8" s="55" t="s">
        <v>277</v>
      </c>
      <c r="T8" s="43"/>
      <c r="U8" s="43"/>
      <c r="V8" s="43"/>
      <c r="W8" s="56" t="s">
        <v>46</v>
      </c>
      <c r="Z8" s="34"/>
      <c r="AA8" s="45" t="s">
        <v>41</v>
      </c>
      <c r="AB8" s="18"/>
      <c r="AC8" s="5"/>
      <c r="AD8" s="46">
        <f>COUNTIF(D8:D157, "Female")</f>
        <v>0</v>
      </c>
    </row>
    <row r="9" ht="13.5" customHeight="1">
      <c r="A9" s="28">
        <v>3.0</v>
      </c>
      <c r="B9" s="237" t="s">
        <v>3670</v>
      </c>
      <c r="C9" s="37" t="s">
        <v>253</v>
      </c>
      <c r="D9" s="37" t="s">
        <v>1856</v>
      </c>
      <c r="E9" s="133" t="s">
        <v>338</v>
      </c>
      <c r="F9" s="134">
        <v>40.0</v>
      </c>
      <c r="G9" s="134" t="s">
        <v>339</v>
      </c>
      <c r="H9" s="134" t="s">
        <v>340</v>
      </c>
      <c r="I9" s="134">
        <v>9.061909772E9</v>
      </c>
      <c r="J9" s="54">
        <v>28.0</v>
      </c>
      <c r="K9" s="55">
        <v>15.0</v>
      </c>
      <c r="L9" s="55">
        <v>0.0</v>
      </c>
      <c r="M9" s="55">
        <v>0.0</v>
      </c>
      <c r="N9" s="43">
        <f t="shared" si="1"/>
        <v>0</v>
      </c>
      <c r="O9" s="55">
        <v>4.0</v>
      </c>
      <c r="P9" s="55">
        <v>13.0</v>
      </c>
      <c r="Q9" s="43">
        <f t="shared" si="2"/>
        <v>17</v>
      </c>
      <c r="R9" s="43"/>
      <c r="S9" s="55" t="s">
        <v>5105</v>
      </c>
      <c r="T9" s="43"/>
      <c r="U9" s="43"/>
      <c r="V9" s="55" t="s">
        <v>5106</v>
      </c>
      <c r="W9" s="56" t="s">
        <v>46</v>
      </c>
      <c r="Z9" s="34"/>
      <c r="AA9" s="45" t="s">
        <v>47</v>
      </c>
      <c r="AB9" s="18"/>
      <c r="AC9" s="5"/>
      <c r="AD9" s="46">
        <f>COUNTIF(B8:B157, "National")</f>
        <v>0</v>
      </c>
    </row>
    <row r="10" ht="13.5" customHeight="1">
      <c r="A10" s="28">
        <v>4.0</v>
      </c>
      <c r="B10" s="237" t="s">
        <v>3673</v>
      </c>
      <c r="C10" s="289" t="s">
        <v>5107</v>
      </c>
      <c r="D10" s="37" t="s">
        <v>5108</v>
      </c>
      <c r="E10" s="133" t="s">
        <v>338</v>
      </c>
      <c r="F10" s="134">
        <v>32.0</v>
      </c>
      <c r="G10" s="134" t="s">
        <v>339</v>
      </c>
      <c r="H10" s="134" t="s">
        <v>833</v>
      </c>
      <c r="I10" s="134">
        <v>9.935398356E9</v>
      </c>
      <c r="J10" s="54">
        <v>30.0</v>
      </c>
      <c r="K10" s="55">
        <v>30.0</v>
      </c>
      <c r="L10" s="55">
        <v>0.0</v>
      </c>
      <c r="M10" s="55">
        <v>0.0</v>
      </c>
      <c r="N10" s="43">
        <f t="shared" si="1"/>
        <v>0</v>
      </c>
      <c r="O10" s="55">
        <v>2.0</v>
      </c>
      <c r="P10" s="55">
        <v>0.0</v>
      </c>
      <c r="Q10" s="43">
        <f t="shared" si="2"/>
        <v>2</v>
      </c>
      <c r="R10" s="43"/>
      <c r="S10" s="43"/>
      <c r="T10" s="43"/>
      <c r="U10" s="43"/>
      <c r="V10" s="43"/>
      <c r="W10" s="56" t="s">
        <v>46</v>
      </c>
      <c r="Z10" s="34"/>
      <c r="AA10" s="58" t="s">
        <v>52</v>
      </c>
      <c r="AB10" s="58"/>
      <c r="AC10" s="58"/>
      <c r="AD10" s="46">
        <f>COUNTIF(B8:B157, "Local School Board")</f>
        <v>0</v>
      </c>
    </row>
    <row r="11" ht="13.5" customHeight="1">
      <c r="A11" s="28">
        <v>5.0</v>
      </c>
      <c r="B11" s="237" t="s">
        <v>834</v>
      </c>
      <c r="C11" s="37" t="s">
        <v>1786</v>
      </c>
      <c r="D11" s="37" t="s">
        <v>1384</v>
      </c>
      <c r="E11" s="133" t="s">
        <v>338</v>
      </c>
      <c r="F11" s="134">
        <v>30.0</v>
      </c>
      <c r="G11" s="134" t="s">
        <v>339</v>
      </c>
      <c r="H11" s="134" t="s">
        <v>833</v>
      </c>
      <c r="I11" s="134">
        <v>9.753125836E9</v>
      </c>
      <c r="J11" s="54">
        <v>26.0</v>
      </c>
      <c r="K11" s="55">
        <v>22.0</v>
      </c>
      <c r="L11" s="55">
        <v>0.0</v>
      </c>
      <c r="M11" s="55">
        <v>2.0</v>
      </c>
      <c r="N11" s="43">
        <f t="shared" si="1"/>
        <v>2</v>
      </c>
      <c r="O11" s="55">
        <v>2.0</v>
      </c>
      <c r="P11" s="55">
        <v>2.0</v>
      </c>
      <c r="Q11" s="43">
        <f t="shared" si="2"/>
        <v>6</v>
      </c>
      <c r="R11" s="43"/>
      <c r="S11" s="55"/>
      <c r="T11" s="43"/>
      <c r="U11" s="43"/>
      <c r="V11" s="55" t="s">
        <v>5109</v>
      </c>
      <c r="W11" s="56" t="s">
        <v>46</v>
      </c>
      <c r="Z11" s="34"/>
      <c r="AA11" s="58" t="s">
        <v>57</v>
      </c>
      <c r="AB11" s="58"/>
      <c r="AC11" s="58"/>
      <c r="AD11" s="46">
        <f>SUM(AD7:AD8)</f>
        <v>0</v>
      </c>
    </row>
    <row r="12" ht="13.5" customHeight="1">
      <c r="A12" s="28">
        <v>6.0</v>
      </c>
      <c r="B12" s="239" t="s">
        <v>5110</v>
      </c>
      <c r="C12" s="37" t="s">
        <v>5111</v>
      </c>
      <c r="D12" s="37" t="s">
        <v>5112</v>
      </c>
      <c r="E12" s="133" t="s">
        <v>338</v>
      </c>
      <c r="F12" s="134">
        <v>35.0</v>
      </c>
      <c r="G12" s="134" t="s">
        <v>385</v>
      </c>
      <c r="H12" s="134" t="s">
        <v>340</v>
      </c>
      <c r="I12" s="134">
        <v>9.631696539E9</v>
      </c>
      <c r="J12" s="54">
        <v>29.0</v>
      </c>
      <c r="K12" s="55">
        <v>24.0</v>
      </c>
      <c r="L12" s="55">
        <v>2.0</v>
      </c>
      <c r="M12" s="55">
        <v>3.0</v>
      </c>
      <c r="N12" s="43">
        <f t="shared" si="1"/>
        <v>5</v>
      </c>
      <c r="O12" s="55">
        <v>3.0</v>
      </c>
      <c r="P12" s="55">
        <v>0.0</v>
      </c>
      <c r="Q12" s="43">
        <f t="shared" si="2"/>
        <v>8</v>
      </c>
      <c r="R12" s="43"/>
      <c r="S12" s="43"/>
      <c r="T12" s="43"/>
      <c r="U12" s="43"/>
      <c r="V12" s="43"/>
      <c r="W12" s="56" t="s">
        <v>46</v>
      </c>
      <c r="Z12" s="34"/>
      <c r="AA12" s="60" t="s">
        <v>62</v>
      </c>
      <c r="AB12" s="58"/>
      <c r="AC12" s="58"/>
      <c r="AD12" s="46">
        <f>W157</f>
        <v>140</v>
      </c>
    </row>
    <row r="13" ht="13.5" customHeight="1">
      <c r="A13" s="28">
        <v>7.0</v>
      </c>
      <c r="B13" s="240" t="s">
        <v>5113</v>
      </c>
      <c r="C13" s="37" t="s">
        <v>5114</v>
      </c>
      <c r="D13" s="37" t="s">
        <v>5115</v>
      </c>
      <c r="E13" s="133" t="s">
        <v>338</v>
      </c>
      <c r="F13" s="134">
        <v>44.0</v>
      </c>
      <c r="G13" s="134" t="s">
        <v>385</v>
      </c>
      <c r="H13" s="134" t="s">
        <v>833</v>
      </c>
      <c r="I13" s="134">
        <v>9.173220636E9</v>
      </c>
      <c r="J13" s="42"/>
      <c r="K13" s="43"/>
      <c r="L13" s="43"/>
      <c r="M13" s="43"/>
      <c r="N13" s="43">
        <f t="shared" si="1"/>
        <v>0</v>
      </c>
      <c r="O13" s="43"/>
      <c r="P13" s="43"/>
      <c r="Q13" s="43">
        <f t="shared" si="2"/>
        <v>0</v>
      </c>
      <c r="R13" s="43"/>
      <c r="S13" s="43"/>
      <c r="T13" s="43"/>
      <c r="U13" s="43"/>
      <c r="V13" s="43"/>
      <c r="W13" s="44"/>
      <c r="Z13" s="34"/>
      <c r="AA13" s="34"/>
      <c r="AB13" s="34"/>
      <c r="AC13" s="34"/>
      <c r="AD13" s="34"/>
    </row>
    <row r="14" ht="13.5" customHeight="1">
      <c r="A14" s="28">
        <v>8.0</v>
      </c>
      <c r="B14" s="237" t="s">
        <v>5116</v>
      </c>
      <c r="C14" s="37" t="s">
        <v>3404</v>
      </c>
      <c r="D14" s="37" t="s">
        <v>1192</v>
      </c>
      <c r="E14" s="133" t="s">
        <v>338</v>
      </c>
      <c r="F14" s="134">
        <v>32.0</v>
      </c>
      <c r="G14" s="134" t="s">
        <v>339</v>
      </c>
      <c r="H14" s="134" t="s">
        <v>833</v>
      </c>
      <c r="I14" s="134">
        <v>9.657224459E9</v>
      </c>
      <c r="J14" s="54">
        <v>30.0</v>
      </c>
      <c r="K14" s="55">
        <v>26.0</v>
      </c>
      <c r="L14" s="55">
        <v>0.0</v>
      </c>
      <c r="M14" s="55">
        <v>4.0</v>
      </c>
      <c r="N14" s="43">
        <f t="shared" si="1"/>
        <v>4</v>
      </c>
      <c r="O14" s="55">
        <v>2.0</v>
      </c>
      <c r="P14" s="55">
        <v>4.0</v>
      </c>
      <c r="Q14" s="43">
        <f t="shared" si="2"/>
        <v>10</v>
      </c>
      <c r="R14" s="43"/>
      <c r="S14" s="43"/>
      <c r="T14" s="43"/>
      <c r="U14" s="43"/>
      <c r="V14" s="43"/>
      <c r="W14" s="56" t="s">
        <v>46</v>
      </c>
      <c r="Z14" s="61" t="s">
        <v>70</v>
      </c>
      <c r="AA14" s="34"/>
      <c r="AB14" s="34"/>
      <c r="AC14" s="34"/>
      <c r="AD14" s="34"/>
    </row>
    <row r="15" ht="13.5" customHeight="1">
      <c r="A15" s="28">
        <v>9.0</v>
      </c>
      <c r="B15" s="237" t="s">
        <v>1272</v>
      </c>
      <c r="C15" s="37" t="s">
        <v>1150</v>
      </c>
      <c r="D15" s="37" t="s">
        <v>5117</v>
      </c>
      <c r="E15" s="133" t="s">
        <v>338</v>
      </c>
      <c r="F15" s="134">
        <v>48.0</v>
      </c>
      <c r="G15" s="134" t="s">
        <v>385</v>
      </c>
      <c r="H15" s="134" t="s">
        <v>340</v>
      </c>
      <c r="I15" s="134">
        <v>9.956658068E9</v>
      </c>
      <c r="J15" s="54">
        <v>30.0</v>
      </c>
      <c r="K15" s="55">
        <v>30.0</v>
      </c>
      <c r="L15" s="55">
        <v>0.0</v>
      </c>
      <c r="M15" s="55">
        <v>0.0</v>
      </c>
      <c r="N15" s="43">
        <f t="shared" si="1"/>
        <v>0</v>
      </c>
      <c r="O15" s="55">
        <v>2.0</v>
      </c>
      <c r="P15" s="55">
        <v>0.0</v>
      </c>
      <c r="Q15" s="43">
        <f t="shared" si="2"/>
        <v>2</v>
      </c>
      <c r="R15" s="43"/>
      <c r="S15" s="43"/>
      <c r="T15" s="43"/>
      <c r="U15" s="43"/>
      <c r="V15" s="43"/>
      <c r="W15" s="56" t="s">
        <v>46</v>
      </c>
      <c r="Z15" s="62"/>
      <c r="AA15" s="63" t="s">
        <v>74</v>
      </c>
      <c r="AB15" s="64">
        <f>COUNTIF(S7:S157, "CD")</f>
        <v>0</v>
      </c>
      <c r="AC15" s="62"/>
      <c r="AD15" s="62"/>
    </row>
    <row r="16" ht="13.5" customHeight="1">
      <c r="A16" s="28">
        <v>10.0</v>
      </c>
      <c r="B16" s="237" t="s">
        <v>5118</v>
      </c>
      <c r="C16" s="37" t="s">
        <v>3363</v>
      </c>
      <c r="D16" s="37" t="s">
        <v>5119</v>
      </c>
      <c r="E16" s="133" t="s">
        <v>338</v>
      </c>
      <c r="F16" s="134">
        <v>36.0</v>
      </c>
      <c r="G16" s="134" t="s">
        <v>339</v>
      </c>
      <c r="H16" s="134" t="s">
        <v>833</v>
      </c>
      <c r="I16" s="134">
        <v>9.515229408E9</v>
      </c>
      <c r="J16" s="54">
        <v>27.0</v>
      </c>
      <c r="K16" s="55">
        <v>26.0</v>
      </c>
      <c r="L16" s="55">
        <v>0.0</v>
      </c>
      <c r="M16" s="55">
        <v>1.0</v>
      </c>
      <c r="N16" s="43">
        <f t="shared" si="1"/>
        <v>1</v>
      </c>
      <c r="O16" s="55">
        <v>1.0</v>
      </c>
      <c r="P16" s="55">
        <v>0.0</v>
      </c>
      <c r="Q16" s="43">
        <f t="shared" si="2"/>
        <v>2</v>
      </c>
      <c r="R16" s="43"/>
      <c r="S16" s="43"/>
      <c r="T16" s="43"/>
      <c r="U16" s="43"/>
      <c r="V16" s="43"/>
      <c r="W16" s="56" t="s">
        <v>46</v>
      </c>
      <c r="Z16" s="34"/>
      <c r="AA16" s="65" t="s">
        <v>79</v>
      </c>
      <c r="AB16" s="66">
        <f>COUNTIF(S7:S157, "CDU")</f>
        <v>0</v>
      </c>
      <c r="AC16" s="34"/>
      <c r="AD16" s="34"/>
    </row>
    <row r="17" ht="13.5" customHeight="1">
      <c r="A17" s="28">
        <v>11.0</v>
      </c>
      <c r="B17" s="237" t="s">
        <v>5120</v>
      </c>
      <c r="C17" s="37" t="s">
        <v>5121</v>
      </c>
      <c r="D17" s="37" t="s">
        <v>5122</v>
      </c>
      <c r="E17" s="133" t="s">
        <v>338</v>
      </c>
      <c r="F17" s="134">
        <v>29.0</v>
      </c>
      <c r="G17" s="134" t="s">
        <v>339</v>
      </c>
      <c r="H17" s="134" t="s">
        <v>340</v>
      </c>
      <c r="I17" s="134">
        <v>9.062396752E9</v>
      </c>
      <c r="J17" s="54">
        <v>32.0</v>
      </c>
      <c r="K17" s="55">
        <v>29.0</v>
      </c>
      <c r="L17" s="55">
        <v>0.0</v>
      </c>
      <c r="M17" s="55">
        <v>3.0</v>
      </c>
      <c r="N17" s="43">
        <f t="shared" si="1"/>
        <v>3</v>
      </c>
      <c r="O17" s="55">
        <v>0.0</v>
      </c>
      <c r="P17" s="55">
        <v>0.0</v>
      </c>
      <c r="Q17" s="43">
        <f t="shared" si="2"/>
        <v>3</v>
      </c>
      <c r="R17" s="43"/>
      <c r="S17" s="43"/>
      <c r="T17" s="43"/>
      <c r="U17" s="43"/>
      <c r="V17" s="43"/>
      <c r="W17" s="56" t="s">
        <v>46</v>
      </c>
      <c r="Z17" s="34"/>
      <c r="AA17" s="65" t="s">
        <v>83</v>
      </c>
      <c r="AB17" s="66">
        <f>COUNTIF(S7:S157, "CDL")</f>
        <v>0</v>
      </c>
      <c r="AC17" s="34"/>
      <c r="AD17" s="34"/>
    </row>
    <row r="18" ht="13.5" customHeight="1">
      <c r="A18" s="28">
        <v>12.0</v>
      </c>
      <c r="B18" s="241" t="s">
        <v>5123</v>
      </c>
      <c r="C18" s="37" t="s">
        <v>5124</v>
      </c>
      <c r="D18" s="37" t="s">
        <v>2582</v>
      </c>
      <c r="E18" s="133" t="s">
        <v>338</v>
      </c>
      <c r="F18" s="134">
        <v>41.0</v>
      </c>
      <c r="G18" s="134" t="s">
        <v>339</v>
      </c>
      <c r="H18" s="134" t="s">
        <v>839</v>
      </c>
      <c r="I18" s="134">
        <v>9.605311231E9</v>
      </c>
      <c r="J18" s="54">
        <v>30.0</v>
      </c>
      <c r="K18" s="55">
        <v>25.0</v>
      </c>
      <c r="L18" s="55">
        <v>1.0</v>
      </c>
      <c r="M18" s="55">
        <v>1.0</v>
      </c>
      <c r="N18" s="43">
        <f t="shared" si="1"/>
        <v>2</v>
      </c>
      <c r="O18" s="55">
        <v>2.0</v>
      </c>
      <c r="P18" s="55">
        <v>3.0</v>
      </c>
      <c r="Q18" s="43">
        <f t="shared" si="2"/>
        <v>7</v>
      </c>
      <c r="R18" s="43"/>
      <c r="S18" s="43"/>
      <c r="T18" s="43"/>
      <c r="U18" s="43"/>
      <c r="V18" s="43"/>
      <c r="W18" s="56" t="s">
        <v>46</v>
      </c>
      <c r="Z18" s="34"/>
      <c r="AA18" s="61" t="s">
        <v>88</v>
      </c>
      <c r="AB18" s="66">
        <f>COUNTIF(S7:S157, "RPDU")</f>
        <v>7</v>
      </c>
      <c r="AC18" s="34"/>
      <c r="AD18" s="34"/>
    </row>
    <row r="19" ht="13.5" customHeight="1">
      <c r="A19" s="28">
        <v>13.0</v>
      </c>
      <c r="B19" s="242" t="s">
        <v>5125</v>
      </c>
      <c r="C19" s="37" t="s">
        <v>2571</v>
      </c>
      <c r="D19" s="37" t="s">
        <v>1923</v>
      </c>
      <c r="E19" s="133" t="s">
        <v>338</v>
      </c>
      <c r="F19" s="134">
        <v>31.0</v>
      </c>
      <c r="G19" s="134" t="s">
        <v>339</v>
      </c>
      <c r="H19" s="134" t="s">
        <v>839</v>
      </c>
      <c r="I19" s="134">
        <v>9.090850718E9</v>
      </c>
      <c r="J19" s="54">
        <v>26.0</v>
      </c>
      <c r="K19" s="55">
        <v>19.0</v>
      </c>
      <c r="L19" s="55">
        <v>0.0</v>
      </c>
      <c r="M19" s="55">
        <v>1.0</v>
      </c>
      <c r="N19" s="43">
        <f t="shared" si="1"/>
        <v>1</v>
      </c>
      <c r="O19" s="55">
        <v>2.0</v>
      </c>
      <c r="P19" s="55">
        <v>6.0</v>
      </c>
      <c r="Q19" s="43">
        <f t="shared" si="2"/>
        <v>9</v>
      </c>
      <c r="R19" s="43"/>
      <c r="S19" s="55" t="s">
        <v>93</v>
      </c>
      <c r="T19" s="43"/>
      <c r="U19" s="43"/>
      <c r="V19" s="55" t="s">
        <v>3100</v>
      </c>
      <c r="W19" s="56" t="s">
        <v>46</v>
      </c>
      <c r="Z19" s="34"/>
      <c r="AA19" s="61" t="s">
        <v>93</v>
      </c>
      <c r="AB19" s="66">
        <f>COUNTIF(S7:S157, "RPDL")</f>
        <v>2</v>
      </c>
      <c r="AC19" s="34"/>
      <c r="AD19" s="34"/>
    </row>
    <row r="20" ht="13.5" customHeight="1">
      <c r="A20" s="28">
        <v>14.0</v>
      </c>
      <c r="B20" s="240" t="s">
        <v>5126</v>
      </c>
      <c r="C20" s="37" t="s">
        <v>5127</v>
      </c>
      <c r="D20" s="37" t="s">
        <v>3474</v>
      </c>
      <c r="E20" s="133" t="s">
        <v>338</v>
      </c>
      <c r="F20" s="134">
        <v>42.0</v>
      </c>
      <c r="G20" s="134" t="s">
        <v>339</v>
      </c>
      <c r="H20" s="134" t="s">
        <v>839</v>
      </c>
      <c r="I20" s="134">
        <v>9.772304034E9</v>
      </c>
      <c r="J20" s="54">
        <v>28.0</v>
      </c>
      <c r="K20" s="55">
        <v>25.0</v>
      </c>
      <c r="L20" s="55">
        <v>0.0</v>
      </c>
      <c r="M20" s="55">
        <v>2.0</v>
      </c>
      <c r="N20" s="43">
        <f t="shared" si="1"/>
        <v>2</v>
      </c>
      <c r="O20" s="55">
        <v>4.0</v>
      </c>
      <c r="P20" s="55">
        <v>1.0</v>
      </c>
      <c r="Q20" s="43">
        <f t="shared" si="2"/>
        <v>7</v>
      </c>
      <c r="R20" s="43"/>
      <c r="S20" s="43"/>
      <c r="T20" s="43"/>
      <c r="U20" s="43"/>
      <c r="V20" s="43"/>
      <c r="W20" s="56" t="s">
        <v>46</v>
      </c>
      <c r="Z20" s="34"/>
      <c r="AA20" s="61" t="s">
        <v>97</v>
      </c>
      <c r="AB20" s="66">
        <f>COUNTIF(S7:S157, "RPDUL")</f>
        <v>1</v>
      </c>
      <c r="AC20" s="34"/>
      <c r="AD20" s="34"/>
    </row>
    <row r="21" ht="13.5" customHeight="1">
      <c r="A21" s="28">
        <v>15.0</v>
      </c>
      <c r="B21" s="237" t="s">
        <v>5128</v>
      </c>
      <c r="C21" s="37" t="s">
        <v>5129</v>
      </c>
      <c r="D21" s="37" t="s">
        <v>5130</v>
      </c>
      <c r="E21" s="133" t="s">
        <v>338</v>
      </c>
      <c r="F21" s="134">
        <v>36.0</v>
      </c>
      <c r="G21" s="134" t="s">
        <v>339</v>
      </c>
      <c r="H21" s="134" t="s">
        <v>340</v>
      </c>
      <c r="I21" s="134">
        <v>9.274958325E9</v>
      </c>
      <c r="J21" s="54">
        <v>31.0</v>
      </c>
      <c r="K21" s="55">
        <v>21.0</v>
      </c>
      <c r="L21" s="55">
        <v>0.0</v>
      </c>
      <c r="M21" s="55">
        <v>4.0</v>
      </c>
      <c r="N21" s="43">
        <f t="shared" si="1"/>
        <v>4</v>
      </c>
      <c r="O21" s="55">
        <v>1.0</v>
      </c>
      <c r="P21" s="55">
        <v>5.0</v>
      </c>
      <c r="Q21" s="43">
        <f t="shared" si="2"/>
        <v>10</v>
      </c>
      <c r="R21" s="43"/>
      <c r="S21" s="43"/>
      <c r="T21" s="43"/>
      <c r="U21" s="43"/>
      <c r="V21" s="43"/>
      <c r="W21" s="56" t="s">
        <v>46</v>
      </c>
      <c r="Z21" s="34"/>
      <c r="AA21" s="61" t="s">
        <v>101</v>
      </c>
      <c r="AB21" s="66">
        <f>COUNTIF(U7:U157, "JC")</f>
        <v>0</v>
      </c>
      <c r="AC21" s="34"/>
      <c r="AD21" s="34"/>
    </row>
    <row r="22" ht="13.5" customHeight="1">
      <c r="A22" s="28">
        <v>16.0</v>
      </c>
      <c r="B22" s="237" t="s">
        <v>5131</v>
      </c>
      <c r="C22" s="37" t="s">
        <v>5132</v>
      </c>
      <c r="D22" s="37" t="s">
        <v>5133</v>
      </c>
      <c r="E22" s="133" t="s">
        <v>338</v>
      </c>
      <c r="F22" s="134">
        <v>40.0</v>
      </c>
      <c r="G22" s="134" t="s">
        <v>339</v>
      </c>
      <c r="H22" s="134" t="s">
        <v>340</v>
      </c>
      <c r="I22" s="134">
        <v>9.761796727E9</v>
      </c>
      <c r="J22" s="54">
        <v>17.0</v>
      </c>
      <c r="K22" s="55">
        <v>14.0</v>
      </c>
      <c r="L22" s="55">
        <v>0.0</v>
      </c>
      <c r="M22" s="55">
        <v>0.0</v>
      </c>
      <c r="N22" s="43">
        <f t="shared" si="1"/>
        <v>0</v>
      </c>
      <c r="O22" s="55">
        <v>15.0</v>
      </c>
      <c r="P22" s="55">
        <v>2.0</v>
      </c>
      <c r="Q22" s="43">
        <f t="shared" si="2"/>
        <v>17</v>
      </c>
      <c r="R22" s="43"/>
      <c r="S22" s="55" t="s">
        <v>88</v>
      </c>
      <c r="T22" s="43"/>
      <c r="U22" s="43"/>
      <c r="V22" s="43"/>
      <c r="W22" s="56" t="s">
        <v>46</v>
      </c>
      <c r="Z22" s="62"/>
      <c r="AA22" s="63" t="s">
        <v>105</v>
      </c>
      <c r="AB22" s="64">
        <f>COUNTIF(U7:U157, "FPD")</f>
        <v>0</v>
      </c>
      <c r="AC22" s="62"/>
      <c r="AD22" s="62"/>
    </row>
    <row r="23" ht="13.5" customHeight="1">
      <c r="A23" s="28">
        <v>17.0</v>
      </c>
      <c r="B23" s="237" t="s">
        <v>5134</v>
      </c>
      <c r="C23" s="37" t="s">
        <v>5135</v>
      </c>
      <c r="D23" s="37" t="s">
        <v>202</v>
      </c>
      <c r="E23" s="133" t="s">
        <v>338</v>
      </c>
      <c r="F23" s="134">
        <v>31.0</v>
      </c>
      <c r="G23" s="134" t="s">
        <v>339</v>
      </c>
      <c r="H23" s="134" t="s">
        <v>340</v>
      </c>
      <c r="I23" s="134">
        <v>9.763202126E9</v>
      </c>
      <c r="J23" s="54">
        <v>28.0</v>
      </c>
      <c r="K23" s="55">
        <v>25.0</v>
      </c>
      <c r="L23" s="55">
        <v>0.0</v>
      </c>
      <c r="M23" s="55">
        <v>0.0</v>
      </c>
      <c r="N23" s="43">
        <f t="shared" si="1"/>
        <v>0</v>
      </c>
      <c r="O23" s="55">
        <v>4.0</v>
      </c>
      <c r="P23" s="55">
        <v>3.0</v>
      </c>
      <c r="Q23" s="43">
        <f t="shared" si="2"/>
        <v>7</v>
      </c>
      <c r="R23" s="43"/>
      <c r="S23" s="55" t="s">
        <v>277</v>
      </c>
      <c r="T23" s="43"/>
      <c r="U23" s="43"/>
      <c r="V23" s="43"/>
      <c r="W23" s="56" t="s">
        <v>46</v>
      </c>
      <c r="X23" s="138"/>
      <c r="Z23" s="34"/>
      <c r="AA23" s="61" t="s">
        <v>109</v>
      </c>
      <c r="AB23" s="66">
        <f>COUNTIF(S7:S157, "Ortho")</f>
        <v>13</v>
      </c>
      <c r="AC23" s="34"/>
      <c r="AD23" s="34"/>
    </row>
    <row r="24" ht="13.5" customHeight="1">
      <c r="A24" s="28">
        <v>18.0</v>
      </c>
      <c r="B24" s="237" t="s">
        <v>4899</v>
      </c>
      <c r="C24" s="37" t="s">
        <v>5136</v>
      </c>
      <c r="D24" s="37" t="s">
        <v>5137</v>
      </c>
      <c r="E24" s="133" t="s">
        <v>338</v>
      </c>
      <c r="F24" s="134">
        <v>34.0</v>
      </c>
      <c r="G24" s="134" t="s">
        <v>385</v>
      </c>
      <c r="H24" s="134" t="s">
        <v>833</v>
      </c>
      <c r="I24" s="134">
        <v>9.38934447E9</v>
      </c>
      <c r="J24" s="54">
        <v>30.0</v>
      </c>
      <c r="K24" s="55">
        <v>28.0</v>
      </c>
      <c r="L24" s="55">
        <v>0.0</v>
      </c>
      <c r="M24" s="55">
        <v>2.0</v>
      </c>
      <c r="N24" s="43">
        <f t="shared" si="1"/>
        <v>2</v>
      </c>
      <c r="O24" s="55">
        <v>2.0</v>
      </c>
      <c r="P24" s="55">
        <v>2.0</v>
      </c>
      <c r="Q24" s="43">
        <f t="shared" si="2"/>
        <v>6</v>
      </c>
      <c r="R24" s="43"/>
      <c r="S24" s="55" t="s">
        <v>648</v>
      </c>
      <c r="T24" s="43"/>
      <c r="U24" s="43"/>
      <c r="V24" s="43"/>
      <c r="W24" s="56" t="s">
        <v>46</v>
      </c>
      <c r="Z24" s="34"/>
      <c r="AA24" s="34"/>
      <c r="AB24" s="34"/>
      <c r="AC24" s="34"/>
      <c r="AD24" s="34"/>
    </row>
    <row r="25" ht="13.5" customHeight="1">
      <c r="A25" s="424">
        <v>19.0</v>
      </c>
      <c r="B25" s="237" t="s">
        <v>5138</v>
      </c>
      <c r="C25" s="37" t="s">
        <v>5139</v>
      </c>
      <c r="D25" s="37" t="s">
        <v>5140</v>
      </c>
      <c r="E25" s="133" t="s">
        <v>338</v>
      </c>
      <c r="F25" s="134">
        <v>28.0</v>
      </c>
      <c r="G25" s="134" t="s">
        <v>339</v>
      </c>
      <c r="H25" s="134" t="s">
        <v>340</v>
      </c>
      <c r="I25" s="134">
        <v>9.488960996E9</v>
      </c>
      <c r="J25" s="54">
        <v>27.0</v>
      </c>
      <c r="K25" s="55">
        <v>22.0</v>
      </c>
      <c r="L25" s="55">
        <v>1.0</v>
      </c>
      <c r="M25" s="55">
        <v>4.0</v>
      </c>
      <c r="N25" s="43">
        <f t="shared" si="1"/>
        <v>5</v>
      </c>
      <c r="O25" s="55">
        <v>5.0</v>
      </c>
      <c r="P25" s="55">
        <v>0.0</v>
      </c>
      <c r="Q25" s="43">
        <f t="shared" si="2"/>
        <v>10</v>
      </c>
      <c r="R25" s="43"/>
      <c r="S25" s="43"/>
      <c r="T25" s="43"/>
      <c r="U25" s="43"/>
      <c r="V25" s="43"/>
      <c r="W25" s="425" t="s">
        <v>46</v>
      </c>
      <c r="X25" s="426"/>
      <c r="Y25" s="426"/>
      <c r="Z25" s="34"/>
      <c r="AA25" s="34"/>
      <c r="AB25" s="34"/>
      <c r="AC25" s="34"/>
      <c r="AD25" s="34"/>
    </row>
    <row r="26" ht="13.5" customHeight="1">
      <c r="A26" s="28">
        <v>20.0</v>
      </c>
      <c r="B26" s="237" t="s">
        <v>5141</v>
      </c>
      <c r="C26" s="37" t="s">
        <v>5142</v>
      </c>
      <c r="D26" s="37" t="s">
        <v>5143</v>
      </c>
      <c r="E26" s="133" t="s">
        <v>338</v>
      </c>
      <c r="F26" s="134">
        <v>28.0</v>
      </c>
      <c r="G26" s="134" t="s">
        <v>385</v>
      </c>
      <c r="H26" s="134" t="s">
        <v>839</v>
      </c>
      <c r="I26" s="134">
        <v>9.760333572E9</v>
      </c>
      <c r="J26" s="54">
        <v>30.0</v>
      </c>
      <c r="K26" s="55">
        <v>26.0</v>
      </c>
      <c r="L26" s="55">
        <v>0.0</v>
      </c>
      <c r="M26" s="55">
        <v>2.0</v>
      </c>
      <c r="N26" s="43">
        <f t="shared" si="1"/>
        <v>2</v>
      </c>
      <c r="O26" s="55">
        <v>2.0</v>
      </c>
      <c r="P26" s="55">
        <v>2.0</v>
      </c>
      <c r="Q26" s="43">
        <f t="shared" si="2"/>
        <v>6</v>
      </c>
      <c r="R26" s="43"/>
      <c r="S26" s="43"/>
      <c r="T26" s="43"/>
      <c r="U26" s="43"/>
      <c r="V26" s="43"/>
      <c r="W26" s="56" t="s">
        <v>46</v>
      </c>
      <c r="Z26" s="34"/>
      <c r="AA26" s="34"/>
      <c r="AB26" s="34"/>
      <c r="AC26" s="34"/>
      <c r="AD26" s="34"/>
    </row>
    <row r="27" ht="13.5" customHeight="1">
      <c r="A27" s="28">
        <v>21.0</v>
      </c>
      <c r="B27" s="241" t="s">
        <v>4770</v>
      </c>
      <c r="C27" s="37" t="s">
        <v>5144</v>
      </c>
      <c r="D27" s="37" t="s">
        <v>5145</v>
      </c>
      <c r="E27" s="133" t="s">
        <v>338</v>
      </c>
      <c r="F27" s="134">
        <v>29.0</v>
      </c>
      <c r="G27" s="134" t="s">
        <v>339</v>
      </c>
      <c r="H27" s="134" t="s">
        <v>833</v>
      </c>
      <c r="I27" s="134">
        <v>9.284728216E9</v>
      </c>
      <c r="J27" s="54">
        <v>29.0</v>
      </c>
      <c r="K27" s="55">
        <v>27.0</v>
      </c>
      <c r="L27" s="55">
        <v>0.0</v>
      </c>
      <c r="M27" s="55">
        <v>0.0</v>
      </c>
      <c r="N27" s="43">
        <f t="shared" si="1"/>
        <v>0</v>
      </c>
      <c r="O27" s="55">
        <v>3.0</v>
      </c>
      <c r="P27" s="55">
        <v>2.0</v>
      </c>
      <c r="Q27" s="43">
        <f t="shared" si="2"/>
        <v>5</v>
      </c>
      <c r="R27" s="43"/>
      <c r="S27" s="43"/>
      <c r="T27" s="43"/>
      <c r="U27" s="43"/>
      <c r="V27" s="43"/>
      <c r="W27" s="56" t="s">
        <v>46</v>
      </c>
      <c r="X27" s="138"/>
      <c r="Z27" s="34"/>
      <c r="AA27" s="34"/>
      <c r="AB27" s="34"/>
      <c r="AC27" s="34"/>
      <c r="AD27" s="34"/>
    </row>
    <row r="28" ht="13.5" customHeight="1">
      <c r="A28" s="28">
        <v>22.0</v>
      </c>
      <c r="B28" s="240" t="s">
        <v>5146</v>
      </c>
      <c r="C28" s="37" t="s">
        <v>1877</v>
      </c>
      <c r="D28" s="37" t="s">
        <v>2832</v>
      </c>
      <c r="E28" s="133" t="s">
        <v>338</v>
      </c>
      <c r="F28" s="134">
        <v>31.0</v>
      </c>
      <c r="G28" s="134" t="s">
        <v>339</v>
      </c>
      <c r="H28" s="134" t="s">
        <v>839</v>
      </c>
      <c r="I28" s="134">
        <v>9.069418368E9</v>
      </c>
      <c r="J28" s="54">
        <v>31.0</v>
      </c>
      <c r="K28" s="55">
        <v>26.0</v>
      </c>
      <c r="L28" s="55">
        <v>0.0</v>
      </c>
      <c r="M28" s="55">
        <v>4.0</v>
      </c>
      <c r="N28" s="43">
        <f t="shared" si="1"/>
        <v>4</v>
      </c>
      <c r="O28" s="55">
        <v>1.0</v>
      </c>
      <c r="P28" s="55">
        <v>1.0</v>
      </c>
      <c r="Q28" s="43">
        <f t="shared" si="2"/>
        <v>6</v>
      </c>
      <c r="R28" s="43"/>
      <c r="S28" s="55" t="s">
        <v>277</v>
      </c>
      <c r="T28" s="43"/>
      <c r="U28" s="43"/>
      <c r="V28" s="43"/>
      <c r="W28" s="56" t="s">
        <v>46</v>
      </c>
      <c r="Z28" s="34"/>
      <c r="AA28" s="34"/>
      <c r="AB28" s="34"/>
      <c r="AC28" s="34"/>
      <c r="AD28" s="34"/>
    </row>
    <row r="29" ht="13.5" customHeight="1">
      <c r="A29" s="28">
        <v>23.0</v>
      </c>
      <c r="B29" s="237" t="s">
        <v>5147</v>
      </c>
      <c r="C29" s="37" t="s">
        <v>4440</v>
      </c>
      <c r="D29" s="37" t="s">
        <v>5148</v>
      </c>
      <c r="E29" s="133" t="s">
        <v>338</v>
      </c>
      <c r="F29" s="134">
        <v>32.0</v>
      </c>
      <c r="G29" s="134" t="s">
        <v>339</v>
      </c>
      <c r="H29" s="134" t="s">
        <v>340</v>
      </c>
      <c r="I29" s="134">
        <v>9.765611694E9</v>
      </c>
      <c r="J29" s="54">
        <v>32.0</v>
      </c>
      <c r="K29" s="55">
        <v>31.0</v>
      </c>
      <c r="L29" s="55">
        <v>0.0</v>
      </c>
      <c r="M29" s="55">
        <v>0.0</v>
      </c>
      <c r="N29" s="43">
        <f t="shared" si="1"/>
        <v>0</v>
      </c>
      <c r="O29" s="55">
        <v>0.0</v>
      </c>
      <c r="P29" s="55">
        <v>1.0</v>
      </c>
      <c r="Q29" s="43">
        <f t="shared" si="2"/>
        <v>1</v>
      </c>
      <c r="R29" s="43"/>
      <c r="S29" s="43"/>
      <c r="T29" s="43"/>
      <c r="U29" s="43"/>
      <c r="V29" s="43"/>
      <c r="W29" s="56" t="s">
        <v>46</v>
      </c>
      <c r="Z29" s="34"/>
      <c r="AA29" s="34"/>
      <c r="AB29" s="34"/>
      <c r="AC29" s="34"/>
      <c r="AD29" s="34"/>
    </row>
    <row r="30" ht="13.5" customHeight="1">
      <c r="A30" s="28">
        <v>24.0</v>
      </c>
      <c r="B30" s="237" t="s">
        <v>5149</v>
      </c>
      <c r="C30" s="37" t="s">
        <v>5150</v>
      </c>
      <c r="D30" s="37" t="s">
        <v>5151</v>
      </c>
      <c r="E30" s="133" t="s">
        <v>338</v>
      </c>
      <c r="F30" s="134">
        <v>28.0</v>
      </c>
      <c r="G30" s="134" t="s">
        <v>385</v>
      </c>
      <c r="H30" s="134" t="s">
        <v>833</v>
      </c>
      <c r="I30" s="134">
        <v>9.199783904E9</v>
      </c>
      <c r="J30" s="54">
        <v>30.0</v>
      </c>
      <c r="K30" s="55">
        <v>25.0</v>
      </c>
      <c r="L30" s="55">
        <v>0.0</v>
      </c>
      <c r="M30" s="55">
        <v>0.0</v>
      </c>
      <c r="N30" s="43">
        <f t="shared" si="1"/>
        <v>0</v>
      </c>
      <c r="O30" s="55">
        <v>0.0</v>
      </c>
      <c r="P30" s="55">
        <v>5.0</v>
      </c>
      <c r="Q30" s="43">
        <f t="shared" si="2"/>
        <v>5</v>
      </c>
      <c r="R30" s="43"/>
      <c r="S30" s="43"/>
      <c r="T30" s="43"/>
      <c r="U30" s="43"/>
      <c r="V30" s="43"/>
      <c r="W30" s="56" t="s">
        <v>46</v>
      </c>
      <c r="Z30" s="77" t="s">
        <v>18</v>
      </c>
      <c r="AA30" s="78"/>
      <c r="AB30" s="78"/>
      <c r="AC30" s="78"/>
      <c r="AD30" s="78"/>
    </row>
    <row r="31" ht="13.5" customHeight="1">
      <c r="A31" s="28">
        <v>25.0</v>
      </c>
      <c r="B31" s="237" t="s">
        <v>1461</v>
      </c>
      <c r="C31" s="37" t="s">
        <v>1095</v>
      </c>
      <c r="D31" s="37" t="s">
        <v>5152</v>
      </c>
      <c r="E31" s="133" t="s">
        <v>338</v>
      </c>
      <c r="F31" s="134">
        <v>28.0</v>
      </c>
      <c r="G31" s="134" t="s">
        <v>339</v>
      </c>
      <c r="H31" s="134" t="s">
        <v>833</v>
      </c>
      <c r="I31" s="134">
        <v>9.369487684E9</v>
      </c>
      <c r="J31" s="54">
        <v>23.0</v>
      </c>
      <c r="K31" s="55">
        <v>18.0</v>
      </c>
      <c r="L31" s="55">
        <v>0.0</v>
      </c>
      <c r="M31" s="55">
        <v>2.0</v>
      </c>
      <c r="N31" s="43">
        <f t="shared" si="1"/>
        <v>2</v>
      </c>
      <c r="O31" s="55">
        <v>9.0</v>
      </c>
      <c r="P31" s="55">
        <v>3.0</v>
      </c>
      <c r="Q31" s="43">
        <f t="shared" si="2"/>
        <v>14</v>
      </c>
      <c r="R31" s="43"/>
      <c r="S31" s="43"/>
      <c r="T31" s="43"/>
      <c r="U31" s="43"/>
      <c r="V31" s="43"/>
      <c r="W31" s="56" t="s">
        <v>46</v>
      </c>
      <c r="Z31" s="78"/>
      <c r="AA31" s="78"/>
      <c r="AB31" s="78"/>
      <c r="AC31" s="78"/>
      <c r="AD31" s="78"/>
    </row>
    <row r="32" ht="13.5" customHeight="1">
      <c r="A32" s="28">
        <v>26.0</v>
      </c>
      <c r="B32" s="237" t="s">
        <v>3881</v>
      </c>
      <c r="C32" s="257" t="s">
        <v>3355</v>
      </c>
      <c r="D32" s="257" t="s">
        <v>5153</v>
      </c>
      <c r="E32" s="133" t="s">
        <v>338</v>
      </c>
      <c r="F32" s="134">
        <v>31.0</v>
      </c>
      <c r="G32" s="134" t="s">
        <v>339</v>
      </c>
      <c r="H32" s="134" t="s">
        <v>833</v>
      </c>
      <c r="I32" s="134">
        <v>9.150593841E9</v>
      </c>
      <c r="J32" s="54">
        <v>29.0</v>
      </c>
      <c r="K32" s="55">
        <v>26.0</v>
      </c>
      <c r="L32" s="55">
        <v>0.0</v>
      </c>
      <c r="M32" s="55">
        <v>0.0</v>
      </c>
      <c r="N32" s="43">
        <f t="shared" si="1"/>
        <v>0</v>
      </c>
      <c r="O32" s="55">
        <v>4.0</v>
      </c>
      <c r="P32" s="55">
        <v>1.0</v>
      </c>
      <c r="Q32" s="43">
        <f t="shared" si="2"/>
        <v>5</v>
      </c>
      <c r="R32" s="43"/>
      <c r="S32" s="55" t="s">
        <v>277</v>
      </c>
      <c r="T32" s="43"/>
      <c r="U32" s="43"/>
      <c r="V32" s="43"/>
      <c r="W32" s="56" t="s">
        <v>46</v>
      </c>
      <c r="Z32" s="61" t="s">
        <v>139</v>
      </c>
      <c r="AA32" s="61" t="s">
        <v>140</v>
      </c>
      <c r="AB32" s="66">
        <f>COUNTIF(T7:T157, "G")</f>
        <v>0</v>
      </c>
      <c r="AC32" s="34"/>
      <c r="AD32" s="34"/>
    </row>
    <row r="33" ht="13.5" customHeight="1">
      <c r="A33" s="28">
        <v>27.0</v>
      </c>
      <c r="B33" s="237" t="s">
        <v>5154</v>
      </c>
      <c r="C33" s="37" t="s">
        <v>1197</v>
      </c>
      <c r="D33" s="37" t="s">
        <v>5155</v>
      </c>
      <c r="E33" s="133" t="s">
        <v>338</v>
      </c>
      <c r="F33" s="134">
        <v>41.0</v>
      </c>
      <c r="G33" s="134" t="s">
        <v>339</v>
      </c>
      <c r="H33" s="134" t="s">
        <v>833</v>
      </c>
      <c r="I33" s="134">
        <v>9.213122998E9</v>
      </c>
      <c r="J33" s="54">
        <v>26.0</v>
      </c>
      <c r="K33" s="55">
        <v>18.0</v>
      </c>
      <c r="L33" s="55">
        <v>0.0</v>
      </c>
      <c r="M33" s="55">
        <v>6.0</v>
      </c>
      <c r="N33" s="43">
        <f t="shared" si="1"/>
        <v>6</v>
      </c>
      <c r="O33" s="55">
        <v>6.0</v>
      </c>
      <c r="P33" s="55">
        <v>2.0</v>
      </c>
      <c r="Q33" s="43">
        <f t="shared" si="2"/>
        <v>14</v>
      </c>
      <c r="R33" s="43"/>
      <c r="S33" s="43"/>
      <c r="T33" s="43"/>
      <c r="U33" s="43"/>
      <c r="V33" s="43"/>
      <c r="W33" s="56" t="s">
        <v>46</v>
      </c>
      <c r="Z33" s="61" t="s">
        <v>144</v>
      </c>
      <c r="AA33" s="61" t="s">
        <v>145</v>
      </c>
      <c r="AB33" s="66">
        <f>COUNTIF(T7:T157, "O")</f>
        <v>0</v>
      </c>
      <c r="AC33" s="34"/>
      <c r="AD33" s="34"/>
    </row>
    <row r="34" ht="13.5" customHeight="1">
      <c r="A34" s="28">
        <v>28.0</v>
      </c>
      <c r="B34" s="241" t="s">
        <v>5156</v>
      </c>
      <c r="C34" s="37" t="s">
        <v>4948</v>
      </c>
      <c r="D34" s="37" t="s">
        <v>5157</v>
      </c>
      <c r="E34" s="133" t="s">
        <v>338</v>
      </c>
      <c r="F34" s="134">
        <v>27.0</v>
      </c>
      <c r="G34" s="134" t="s">
        <v>339</v>
      </c>
      <c r="H34" s="134" t="s">
        <v>340</v>
      </c>
      <c r="I34" s="134">
        <v>9.365336595E9</v>
      </c>
      <c r="J34" s="54">
        <v>29.0</v>
      </c>
      <c r="K34" s="55">
        <v>24.0</v>
      </c>
      <c r="L34" s="55">
        <v>0.0</v>
      </c>
      <c r="M34" s="55">
        <v>5.0</v>
      </c>
      <c r="N34" s="43">
        <f t="shared" si="1"/>
        <v>5</v>
      </c>
      <c r="O34" s="55">
        <v>2.0</v>
      </c>
      <c r="P34" s="55">
        <v>4.0</v>
      </c>
      <c r="Q34" s="43">
        <f t="shared" si="2"/>
        <v>11</v>
      </c>
      <c r="R34" s="43"/>
      <c r="S34" s="43"/>
      <c r="T34" s="43"/>
      <c r="U34" s="43"/>
      <c r="V34" s="43"/>
      <c r="W34" s="56" t="s">
        <v>46</v>
      </c>
      <c r="X34" s="138"/>
      <c r="Z34" s="61"/>
      <c r="AA34" s="61"/>
      <c r="AB34" s="66"/>
      <c r="AC34" s="34"/>
      <c r="AD34" s="34"/>
    </row>
    <row r="35" ht="13.5" customHeight="1">
      <c r="A35" s="28">
        <v>29.0</v>
      </c>
      <c r="B35" s="244" t="s">
        <v>5158</v>
      </c>
      <c r="C35" s="37" t="s">
        <v>2683</v>
      </c>
      <c r="D35" s="37" t="s">
        <v>5159</v>
      </c>
      <c r="E35" s="133" t="s">
        <v>338</v>
      </c>
      <c r="F35" s="134">
        <v>40.0</v>
      </c>
      <c r="G35" s="134" t="s">
        <v>339</v>
      </c>
      <c r="H35" s="134" t="s">
        <v>839</v>
      </c>
      <c r="I35" s="134">
        <v>9.561346082E9</v>
      </c>
      <c r="J35" s="161">
        <v>32.0</v>
      </c>
      <c r="K35" s="55">
        <v>29.0</v>
      </c>
      <c r="L35" s="55">
        <v>0.0</v>
      </c>
      <c r="M35" s="55">
        <v>0.0</v>
      </c>
      <c r="N35" s="43">
        <f t="shared" si="1"/>
        <v>0</v>
      </c>
      <c r="O35" s="55">
        <v>0.0</v>
      </c>
      <c r="P35" s="55">
        <v>3.0</v>
      </c>
      <c r="Q35" s="43">
        <f t="shared" si="2"/>
        <v>3</v>
      </c>
      <c r="R35" s="43"/>
      <c r="S35" s="43"/>
      <c r="T35" s="43"/>
      <c r="U35" s="43"/>
      <c r="V35" s="43"/>
      <c r="W35" s="56" t="s">
        <v>46</v>
      </c>
      <c r="Z35" s="61"/>
      <c r="AA35" s="61"/>
      <c r="AB35" s="66"/>
      <c r="AC35" s="34"/>
      <c r="AD35" s="34"/>
    </row>
    <row r="36" ht="13.5" customHeight="1">
      <c r="A36" s="28">
        <v>30.0</v>
      </c>
      <c r="B36" s="237" t="s">
        <v>5160</v>
      </c>
      <c r="C36" s="37" t="s">
        <v>5161</v>
      </c>
      <c r="D36" s="257" t="s">
        <v>39</v>
      </c>
      <c r="E36" s="133" t="s">
        <v>338</v>
      </c>
      <c r="F36" s="134">
        <v>28.0</v>
      </c>
      <c r="G36" s="134" t="s">
        <v>385</v>
      </c>
      <c r="H36" s="134" t="s">
        <v>839</v>
      </c>
      <c r="I36" s="134">
        <v>9.150593841E9</v>
      </c>
      <c r="J36" s="87">
        <v>29.0</v>
      </c>
      <c r="K36" s="55">
        <v>27.0</v>
      </c>
      <c r="L36" s="55">
        <v>0.0</v>
      </c>
      <c r="M36" s="55">
        <v>0.0</v>
      </c>
      <c r="N36" s="43">
        <f t="shared" si="1"/>
        <v>0</v>
      </c>
      <c r="O36" s="55">
        <v>3.0</v>
      </c>
      <c r="P36" s="55">
        <v>2.0</v>
      </c>
      <c r="Q36" s="43">
        <f t="shared" si="2"/>
        <v>5</v>
      </c>
      <c r="R36" s="43"/>
      <c r="S36" s="55" t="s">
        <v>277</v>
      </c>
      <c r="T36" s="43"/>
      <c r="U36" s="43"/>
      <c r="V36" s="43"/>
      <c r="W36" s="56" t="s">
        <v>46</v>
      </c>
      <c r="Z36" s="61"/>
      <c r="AA36" s="61"/>
      <c r="AB36" s="66"/>
      <c r="AC36" s="34"/>
      <c r="AD36" s="34"/>
    </row>
    <row r="37" ht="13.5" customHeight="1">
      <c r="A37" s="28">
        <v>31.0</v>
      </c>
      <c r="B37" s="237" t="s">
        <v>4410</v>
      </c>
      <c r="C37" s="37" t="s">
        <v>5162</v>
      </c>
      <c r="D37" s="37" t="s">
        <v>5163</v>
      </c>
      <c r="E37" s="133" t="s">
        <v>338</v>
      </c>
      <c r="F37" s="134">
        <v>26.0</v>
      </c>
      <c r="G37" s="134" t="s">
        <v>339</v>
      </c>
      <c r="H37" s="134" t="s">
        <v>833</v>
      </c>
      <c r="I37" s="134">
        <v>9.652833744E9</v>
      </c>
      <c r="J37" s="87">
        <v>32.0</v>
      </c>
      <c r="K37" s="55">
        <v>28.0</v>
      </c>
      <c r="L37" s="55">
        <v>0.0</v>
      </c>
      <c r="M37" s="55">
        <v>0.0</v>
      </c>
      <c r="N37" s="43">
        <f t="shared" si="1"/>
        <v>0</v>
      </c>
      <c r="O37" s="55">
        <v>0.0</v>
      </c>
      <c r="P37" s="55">
        <v>4.0</v>
      </c>
      <c r="Q37" s="43">
        <f t="shared" si="2"/>
        <v>4</v>
      </c>
      <c r="R37" s="43"/>
      <c r="S37" s="55" t="s">
        <v>5164</v>
      </c>
      <c r="T37" s="43"/>
      <c r="U37" s="43"/>
      <c r="V37" s="55" t="s">
        <v>5165</v>
      </c>
      <c r="W37" s="56" t="s">
        <v>46</v>
      </c>
      <c r="Z37" s="84"/>
      <c r="AA37" s="84"/>
      <c r="AB37" s="85"/>
      <c r="AC37" s="86"/>
      <c r="AD37" s="86"/>
    </row>
    <row r="38" ht="13.5" customHeight="1">
      <c r="A38" s="28">
        <v>32.0</v>
      </c>
      <c r="B38" s="237" t="s">
        <v>5166</v>
      </c>
      <c r="C38" s="37" t="s">
        <v>1477</v>
      </c>
      <c r="D38" s="37" t="s">
        <v>5167</v>
      </c>
      <c r="E38" s="133" t="s">
        <v>338</v>
      </c>
      <c r="F38" s="134">
        <v>42.0</v>
      </c>
      <c r="G38" s="134" t="s">
        <v>339</v>
      </c>
      <c r="H38" s="134" t="s">
        <v>368</v>
      </c>
      <c r="I38" s="134">
        <v>9.159413816E9</v>
      </c>
      <c r="J38" s="87">
        <v>25.0</v>
      </c>
      <c r="K38" s="55">
        <v>19.0</v>
      </c>
      <c r="L38" s="55">
        <v>0.0</v>
      </c>
      <c r="M38" s="55">
        <v>0.0</v>
      </c>
      <c r="N38" s="43">
        <f t="shared" si="1"/>
        <v>0</v>
      </c>
      <c r="O38" s="55">
        <v>7.0</v>
      </c>
      <c r="P38" s="55">
        <v>4.0</v>
      </c>
      <c r="Q38" s="43">
        <f t="shared" si="2"/>
        <v>11</v>
      </c>
      <c r="R38" s="43"/>
      <c r="S38" s="43"/>
      <c r="T38" s="43"/>
      <c r="U38" s="43"/>
      <c r="V38" s="43"/>
      <c r="W38" s="56" t="s">
        <v>46</v>
      </c>
      <c r="Z38" s="61"/>
      <c r="AA38" s="61"/>
      <c r="AB38" s="66"/>
      <c r="AC38" s="34"/>
      <c r="AD38" s="34"/>
    </row>
    <row r="39" ht="13.5" customHeight="1">
      <c r="A39" s="28">
        <v>33.0</v>
      </c>
      <c r="B39" s="237" t="s">
        <v>5168</v>
      </c>
      <c r="C39" s="37" t="s">
        <v>5169</v>
      </c>
      <c r="D39" s="37" t="s">
        <v>4810</v>
      </c>
      <c r="E39" s="133" t="s">
        <v>338</v>
      </c>
      <c r="F39" s="134">
        <v>29.0</v>
      </c>
      <c r="G39" s="134" t="s">
        <v>339</v>
      </c>
      <c r="H39" s="134" t="s">
        <v>340</v>
      </c>
      <c r="I39" s="134">
        <v>9.070223839E9</v>
      </c>
      <c r="J39" s="87">
        <v>30.0</v>
      </c>
      <c r="K39" s="55">
        <v>29.0</v>
      </c>
      <c r="L39" s="55">
        <v>0.0</v>
      </c>
      <c r="M39" s="55">
        <v>1.0</v>
      </c>
      <c r="N39" s="43">
        <f t="shared" si="1"/>
        <v>1</v>
      </c>
      <c r="O39" s="55">
        <v>2.0</v>
      </c>
      <c r="P39" s="55">
        <v>0.0</v>
      </c>
      <c r="Q39" s="43">
        <f t="shared" si="2"/>
        <v>3</v>
      </c>
      <c r="R39" s="43"/>
      <c r="S39" s="55" t="s">
        <v>5170</v>
      </c>
      <c r="T39" s="43"/>
      <c r="U39" s="43"/>
      <c r="V39" s="43"/>
      <c r="W39" s="56" t="s">
        <v>46</v>
      </c>
      <c r="Z39" s="61"/>
      <c r="AA39" s="61"/>
      <c r="AB39" s="66"/>
      <c r="AC39" s="34"/>
      <c r="AD39" s="34"/>
    </row>
    <row r="40" ht="13.5" customHeight="1">
      <c r="A40" s="28">
        <v>34.0</v>
      </c>
      <c r="B40" s="237" t="s">
        <v>5171</v>
      </c>
      <c r="C40" s="37" t="s">
        <v>5172</v>
      </c>
      <c r="D40" s="37" t="s">
        <v>5173</v>
      </c>
      <c r="E40" s="133" t="s">
        <v>338</v>
      </c>
      <c r="F40" s="134">
        <v>51.0</v>
      </c>
      <c r="G40" s="134" t="s">
        <v>339</v>
      </c>
      <c r="H40" s="134" t="s">
        <v>368</v>
      </c>
      <c r="I40" s="134">
        <v>9.384573956E9</v>
      </c>
      <c r="J40" s="87">
        <v>9.0</v>
      </c>
      <c r="K40" s="55">
        <v>3.0</v>
      </c>
      <c r="L40" s="55">
        <v>0.0</v>
      </c>
      <c r="M40" s="55">
        <v>6.0</v>
      </c>
      <c r="N40" s="43">
        <v>1.0</v>
      </c>
      <c r="O40" s="55">
        <v>23.0</v>
      </c>
      <c r="P40" s="55">
        <v>0.0</v>
      </c>
      <c r="Q40" s="43">
        <f t="shared" si="2"/>
        <v>24</v>
      </c>
      <c r="R40" s="43"/>
      <c r="S40" s="55" t="s">
        <v>3723</v>
      </c>
      <c r="T40" s="43"/>
      <c r="U40" s="43"/>
      <c r="V40" s="43"/>
      <c r="W40" s="56" t="s">
        <v>46</v>
      </c>
      <c r="Z40" s="61"/>
      <c r="AA40" s="61"/>
      <c r="AB40" s="66"/>
      <c r="AC40" s="34"/>
      <c r="AD40" s="34"/>
    </row>
    <row r="41" ht="13.5" customHeight="1">
      <c r="A41" s="28">
        <v>35.0</v>
      </c>
      <c r="B41" s="241" t="s">
        <v>5174</v>
      </c>
      <c r="C41" s="37" t="s">
        <v>3935</v>
      </c>
      <c r="D41" s="37" t="s">
        <v>1349</v>
      </c>
      <c r="E41" s="133" t="s">
        <v>338</v>
      </c>
      <c r="F41" s="134">
        <v>46.0</v>
      </c>
      <c r="G41" s="134" t="s">
        <v>339</v>
      </c>
      <c r="H41" s="134" t="s">
        <v>839</v>
      </c>
      <c r="I41" s="134">
        <v>9.928332803E9</v>
      </c>
      <c r="J41" s="87">
        <v>24.0</v>
      </c>
      <c r="K41" s="55">
        <v>18.0</v>
      </c>
      <c r="L41" s="55">
        <v>0.0</v>
      </c>
      <c r="M41" s="55">
        <v>6.0</v>
      </c>
      <c r="N41" s="43">
        <f t="shared" ref="N41:N46" si="3">sum(L41,M41)</f>
        <v>6</v>
      </c>
      <c r="O41" s="55">
        <v>8.0</v>
      </c>
      <c r="P41" s="55">
        <v>0.0</v>
      </c>
      <c r="Q41" s="43">
        <f t="shared" si="2"/>
        <v>14</v>
      </c>
      <c r="R41" s="43"/>
      <c r="S41" s="55" t="s">
        <v>97</v>
      </c>
      <c r="T41" s="43"/>
      <c r="U41" s="43"/>
      <c r="V41" s="43"/>
      <c r="W41" s="56" t="s">
        <v>46</v>
      </c>
      <c r="Z41" s="61"/>
      <c r="AA41" s="61"/>
      <c r="AB41" s="66"/>
      <c r="AC41" s="34"/>
      <c r="AD41" s="34"/>
    </row>
    <row r="42" ht="13.5" customHeight="1">
      <c r="A42" s="28">
        <v>36.0</v>
      </c>
      <c r="B42" s="240" t="s">
        <v>5175</v>
      </c>
      <c r="C42" s="37" t="s">
        <v>5176</v>
      </c>
      <c r="D42" s="37" t="s">
        <v>5177</v>
      </c>
      <c r="E42" s="133" t="s">
        <v>338</v>
      </c>
      <c r="F42" s="134">
        <v>30.0</v>
      </c>
      <c r="G42" s="134" t="s">
        <v>385</v>
      </c>
      <c r="H42" s="134" t="s">
        <v>833</v>
      </c>
      <c r="I42" s="163" t="s">
        <v>5178</v>
      </c>
      <c r="J42" s="87">
        <v>29.0</v>
      </c>
      <c r="K42" s="55">
        <v>27.0</v>
      </c>
      <c r="L42" s="55">
        <v>1.0</v>
      </c>
      <c r="M42" s="55">
        <v>1.0</v>
      </c>
      <c r="N42" s="43">
        <f t="shared" si="3"/>
        <v>2</v>
      </c>
      <c r="O42" s="55">
        <v>3.0</v>
      </c>
      <c r="P42" s="55">
        <v>1.0</v>
      </c>
      <c r="Q42" s="43">
        <f t="shared" si="2"/>
        <v>6</v>
      </c>
      <c r="R42" s="43"/>
      <c r="S42" s="43"/>
      <c r="T42" s="43"/>
      <c r="U42" s="43"/>
      <c r="V42" s="55" t="s">
        <v>457</v>
      </c>
      <c r="W42" s="56" t="s">
        <v>46</v>
      </c>
      <c r="Z42" s="61"/>
      <c r="AA42" s="61"/>
      <c r="AB42" s="66"/>
      <c r="AC42" s="34"/>
      <c r="AD42" s="34"/>
    </row>
    <row r="43" ht="13.5" customHeight="1">
      <c r="A43" s="28">
        <v>37.0</v>
      </c>
      <c r="B43" s="237" t="s">
        <v>5175</v>
      </c>
      <c r="C43" s="37" t="s">
        <v>5179</v>
      </c>
      <c r="D43" s="37" t="s">
        <v>5180</v>
      </c>
      <c r="E43" s="133" t="s">
        <v>338</v>
      </c>
      <c r="F43" s="134">
        <v>35.0</v>
      </c>
      <c r="G43" s="134" t="s">
        <v>339</v>
      </c>
      <c r="H43" s="134" t="s">
        <v>5181</v>
      </c>
      <c r="I43" s="163" t="s">
        <v>5182</v>
      </c>
      <c r="J43" s="87">
        <v>28.0</v>
      </c>
      <c r="K43" s="55">
        <v>20.0</v>
      </c>
      <c r="L43" s="55">
        <v>0.0</v>
      </c>
      <c r="M43" s="55">
        <v>0.0</v>
      </c>
      <c r="N43" s="43">
        <f t="shared" si="3"/>
        <v>0</v>
      </c>
      <c r="O43" s="55">
        <v>4.0</v>
      </c>
      <c r="P43" s="55">
        <v>7.0</v>
      </c>
      <c r="Q43" s="43">
        <f t="shared" si="2"/>
        <v>11</v>
      </c>
      <c r="R43" s="43"/>
      <c r="S43" s="55" t="s">
        <v>277</v>
      </c>
      <c r="T43" s="43"/>
      <c r="U43" s="43"/>
      <c r="V43" s="43"/>
      <c r="W43" s="56" t="s">
        <v>46</v>
      </c>
      <c r="Z43" s="61"/>
      <c r="AA43" s="61"/>
      <c r="AB43" s="66"/>
      <c r="AC43" s="34"/>
      <c r="AD43" s="34"/>
    </row>
    <row r="44" ht="13.5" customHeight="1">
      <c r="A44" s="424">
        <v>38.0</v>
      </c>
      <c r="B44" s="237" t="s">
        <v>5183</v>
      </c>
      <c r="C44" s="37" t="s">
        <v>5184</v>
      </c>
      <c r="D44" s="37" t="s">
        <v>5185</v>
      </c>
      <c r="E44" s="133" t="s">
        <v>338</v>
      </c>
      <c r="F44" s="134">
        <v>55.0</v>
      </c>
      <c r="G44" s="134" t="s">
        <v>385</v>
      </c>
      <c r="H44" s="134" t="s">
        <v>484</v>
      </c>
      <c r="I44" s="134">
        <v>9.088638081E9</v>
      </c>
      <c r="J44" s="87">
        <v>25.0</v>
      </c>
      <c r="K44" s="55">
        <v>19.0</v>
      </c>
      <c r="L44" s="55">
        <v>0.0</v>
      </c>
      <c r="M44" s="55">
        <v>0.0</v>
      </c>
      <c r="N44" s="43">
        <f t="shared" si="3"/>
        <v>0</v>
      </c>
      <c r="O44" s="55">
        <v>7.0</v>
      </c>
      <c r="P44" s="55">
        <v>6.0</v>
      </c>
      <c r="Q44" s="43">
        <f t="shared" si="2"/>
        <v>13</v>
      </c>
      <c r="R44" s="43"/>
      <c r="S44" s="43"/>
      <c r="T44" s="43"/>
      <c r="U44" s="43"/>
      <c r="V44" s="43"/>
      <c r="W44" s="425" t="s">
        <v>46</v>
      </c>
      <c r="X44" s="426"/>
      <c r="Y44" s="426"/>
      <c r="Z44" s="61"/>
      <c r="AA44" s="61"/>
      <c r="AB44" s="66"/>
      <c r="AC44" s="34"/>
      <c r="AD44" s="34"/>
    </row>
    <row r="45" ht="13.5" customHeight="1">
      <c r="A45" s="28">
        <v>39.0</v>
      </c>
      <c r="B45" s="237" t="s">
        <v>5186</v>
      </c>
      <c r="C45" s="37" t="s">
        <v>2066</v>
      </c>
      <c r="D45" s="37" t="s">
        <v>2538</v>
      </c>
      <c r="E45" s="133" t="s">
        <v>338</v>
      </c>
      <c r="F45" s="134">
        <v>41.0</v>
      </c>
      <c r="G45" s="134" t="s">
        <v>385</v>
      </c>
      <c r="H45" s="134" t="s">
        <v>368</v>
      </c>
      <c r="I45" s="134">
        <v>9.951345958E9</v>
      </c>
      <c r="J45" s="87">
        <v>29.0</v>
      </c>
      <c r="K45" s="55">
        <v>27.0</v>
      </c>
      <c r="L45" s="55">
        <v>0.0</v>
      </c>
      <c r="M45" s="55">
        <v>1.0</v>
      </c>
      <c r="N45" s="43">
        <f t="shared" si="3"/>
        <v>1</v>
      </c>
      <c r="O45" s="55">
        <v>3.0</v>
      </c>
      <c r="P45" s="55">
        <v>1.0</v>
      </c>
      <c r="Q45" s="43">
        <f t="shared" si="2"/>
        <v>5</v>
      </c>
      <c r="R45" s="43"/>
      <c r="S45" s="43"/>
      <c r="T45" s="43"/>
      <c r="U45" s="43"/>
      <c r="V45" s="43"/>
      <c r="W45" s="56" t="s">
        <v>46</v>
      </c>
      <c r="Z45" s="61"/>
      <c r="AA45" s="61"/>
      <c r="AB45" s="66"/>
      <c r="AC45" s="34"/>
      <c r="AD45" s="34"/>
    </row>
    <row r="46" ht="13.5" customHeight="1">
      <c r="A46" s="28">
        <v>40.0</v>
      </c>
      <c r="B46" s="237" t="s">
        <v>1007</v>
      </c>
      <c r="C46" s="37" t="s">
        <v>1555</v>
      </c>
      <c r="D46" s="37" t="s">
        <v>5187</v>
      </c>
      <c r="E46" s="133" t="s">
        <v>338</v>
      </c>
      <c r="F46" s="134">
        <v>33.0</v>
      </c>
      <c r="G46" s="134" t="s">
        <v>339</v>
      </c>
      <c r="H46" s="134" t="s">
        <v>833</v>
      </c>
      <c r="I46" s="134">
        <v>9.63695567E9</v>
      </c>
      <c r="J46" s="87">
        <v>28.0</v>
      </c>
      <c r="K46" s="55">
        <v>25.0</v>
      </c>
      <c r="L46" s="55">
        <v>0.0</v>
      </c>
      <c r="M46" s="55">
        <v>1.0</v>
      </c>
      <c r="N46" s="43">
        <f t="shared" si="3"/>
        <v>1</v>
      </c>
      <c r="O46" s="55">
        <v>4.0</v>
      </c>
      <c r="P46" s="55">
        <v>2.0</v>
      </c>
      <c r="Q46" s="43">
        <f t="shared" si="2"/>
        <v>7</v>
      </c>
      <c r="R46" s="43"/>
      <c r="S46" s="55" t="s">
        <v>277</v>
      </c>
      <c r="T46" s="43"/>
      <c r="U46" s="43"/>
      <c r="V46" s="43"/>
      <c r="W46" s="56" t="s">
        <v>46</v>
      </c>
      <c r="Z46" s="61"/>
      <c r="AA46" s="61"/>
      <c r="AB46" s="66"/>
      <c r="AC46" s="34"/>
      <c r="AD46" s="34"/>
    </row>
    <row r="47" ht="13.5" customHeight="1">
      <c r="A47" s="28">
        <v>41.0</v>
      </c>
      <c r="B47" s="237" t="s">
        <v>1007</v>
      </c>
      <c r="C47" s="37" t="s">
        <v>5188</v>
      </c>
      <c r="D47" s="37" t="s">
        <v>3846</v>
      </c>
      <c r="E47" s="133" t="s">
        <v>338</v>
      </c>
      <c r="F47" s="134">
        <v>32.0</v>
      </c>
      <c r="G47" s="134" t="s">
        <v>339</v>
      </c>
      <c r="H47" s="134" t="s">
        <v>340</v>
      </c>
      <c r="I47" s="134">
        <v>9.095679271E9</v>
      </c>
      <c r="J47" s="87">
        <v>25.0</v>
      </c>
      <c r="K47" s="55">
        <v>13.0</v>
      </c>
      <c r="L47" s="55">
        <v>0.0</v>
      </c>
      <c r="M47" s="55">
        <v>12.0</v>
      </c>
      <c r="N47" s="43">
        <v>0.0</v>
      </c>
      <c r="O47" s="55">
        <v>7.0</v>
      </c>
      <c r="P47" s="55">
        <v>0.0</v>
      </c>
      <c r="Q47" s="43">
        <f t="shared" si="2"/>
        <v>7</v>
      </c>
      <c r="R47" s="43"/>
      <c r="S47" s="55" t="s">
        <v>88</v>
      </c>
      <c r="T47" s="43"/>
      <c r="U47" s="43"/>
      <c r="V47" s="43"/>
      <c r="W47" s="56" t="s">
        <v>46</v>
      </c>
      <c r="Z47" s="61"/>
      <c r="AA47" s="61"/>
      <c r="AB47" s="66"/>
      <c r="AC47" s="34"/>
      <c r="AD47" s="34"/>
    </row>
    <row r="48" ht="13.5" customHeight="1">
      <c r="A48" s="28">
        <v>42.0</v>
      </c>
      <c r="B48" s="241" t="s">
        <v>5189</v>
      </c>
      <c r="C48" s="37" t="s">
        <v>2165</v>
      </c>
      <c r="D48" s="37" t="s">
        <v>5190</v>
      </c>
      <c r="E48" s="133" t="s">
        <v>338</v>
      </c>
      <c r="F48" s="134">
        <v>34.0</v>
      </c>
      <c r="G48" s="134" t="s">
        <v>339</v>
      </c>
      <c r="H48" s="134" t="s">
        <v>340</v>
      </c>
      <c r="I48" s="134">
        <v>9.615553307E9</v>
      </c>
      <c r="J48" s="87">
        <v>24.0</v>
      </c>
      <c r="K48" s="55">
        <v>17.0</v>
      </c>
      <c r="L48" s="55">
        <v>0.0</v>
      </c>
      <c r="M48" s="55">
        <v>4.0</v>
      </c>
      <c r="N48" s="43">
        <f t="shared" ref="N48:N110" si="4">sum(L48,M48)</f>
        <v>4</v>
      </c>
      <c r="O48" s="55">
        <v>8.0</v>
      </c>
      <c r="P48" s="55">
        <v>3.0</v>
      </c>
      <c r="Q48" s="43">
        <f t="shared" si="2"/>
        <v>15</v>
      </c>
      <c r="R48" s="43"/>
      <c r="S48" s="55"/>
      <c r="T48" s="43"/>
      <c r="U48" s="43"/>
      <c r="V48" s="43"/>
      <c r="W48" s="56" t="s">
        <v>46</v>
      </c>
      <c r="Z48" s="61"/>
      <c r="AA48" s="61"/>
      <c r="AB48" s="66"/>
      <c r="AC48" s="34"/>
      <c r="AD48" s="34"/>
    </row>
    <row r="49" ht="13.5" customHeight="1">
      <c r="A49" s="28">
        <v>43.0</v>
      </c>
      <c r="B49" s="244" t="s">
        <v>5191</v>
      </c>
      <c r="C49" s="37" t="s">
        <v>4471</v>
      </c>
      <c r="D49" s="37" t="s">
        <v>2009</v>
      </c>
      <c r="E49" s="133" t="s">
        <v>338</v>
      </c>
      <c r="F49" s="134">
        <v>52.0</v>
      </c>
      <c r="G49" s="134" t="s">
        <v>339</v>
      </c>
      <c r="H49" s="134" t="s">
        <v>839</v>
      </c>
      <c r="I49" s="134">
        <v>9.203576766E9</v>
      </c>
      <c r="J49" s="87">
        <v>1.0</v>
      </c>
      <c r="K49" s="55">
        <v>1.0</v>
      </c>
      <c r="L49" s="55">
        <v>0.0</v>
      </c>
      <c r="M49" s="55">
        <v>0.0</v>
      </c>
      <c r="N49" s="43">
        <f t="shared" si="4"/>
        <v>0</v>
      </c>
      <c r="O49" s="55">
        <v>31.0</v>
      </c>
      <c r="P49" s="55">
        <v>0.0</v>
      </c>
      <c r="Q49" s="43">
        <f t="shared" si="2"/>
        <v>31</v>
      </c>
      <c r="R49" s="43"/>
      <c r="S49" s="55" t="s">
        <v>5192</v>
      </c>
      <c r="T49" s="43"/>
      <c r="U49" s="43"/>
      <c r="V49" s="43"/>
      <c r="W49" s="56" t="s">
        <v>46</v>
      </c>
      <c r="Z49" s="61"/>
      <c r="AA49" s="61"/>
      <c r="AB49" s="66"/>
      <c r="AC49" s="34"/>
      <c r="AD49" s="34"/>
    </row>
    <row r="50" ht="13.5" customHeight="1">
      <c r="A50" s="28">
        <v>44.0</v>
      </c>
      <c r="B50" s="237" t="s">
        <v>4421</v>
      </c>
      <c r="C50" s="37" t="s">
        <v>5193</v>
      </c>
      <c r="D50" s="37" t="s">
        <v>1192</v>
      </c>
      <c r="E50" s="133" t="s">
        <v>338</v>
      </c>
      <c r="F50" s="134">
        <v>56.0</v>
      </c>
      <c r="G50" s="134" t="s">
        <v>385</v>
      </c>
      <c r="H50" s="134" t="s">
        <v>833</v>
      </c>
      <c r="I50" s="134">
        <v>9.076795559E9</v>
      </c>
      <c r="J50" s="87">
        <v>6.0</v>
      </c>
      <c r="K50" s="55">
        <v>4.0</v>
      </c>
      <c r="L50" s="55">
        <v>0.0</v>
      </c>
      <c r="M50" s="55">
        <v>2.0</v>
      </c>
      <c r="N50" s="43">
        <f t="shared" si="4"/>
        <v>2</v>
      </c>
      <c r="O50" s="55">
        <v>26.0</v>
      </c>
      <c r="P50" s="55">
        <v>0.0</v>
      </c>
      <c r="Q50" s="43">
        <f t="shared" si="2"/>
        <v>28</v>
      </c>
      <c r="R50" s="43"/>
      <c r="S50" s="55" t="s">
        <v>3723</v>
      </c>
      <c r="T50" s="43"/>
      <c r="U50" s="43"/>
      <c r="V50" s="43"/>
      <c r="W50" s="56" t="s">
        <v>46</v>
      </c>
      <c r="Z50" s="61"/>
      <c r="AA50" s="61"/>
      <c r="AB50" s="66"/>
      <c r="AC50" s="34"/>
      <c r="AD50" s="34"/>
    </row>
    <row r="51" ht="13.5" customHeight="1">
      <c r="A51" s="28">
        <v>45.0</v>
      </c>
      <c r="B51" s="37" t="s">
        <v>5194</v>
      </c>
      <c r="C51" s="37" t="s">
        <v>5195</v>
      </c>
      <c r="D51" s="37" t="s">
        <v>5196</v>
      </c>
      <c r="E51" s="133" t="s">
        <v>338</v>
      </c>
      <c r="F51" s="134">
        <v>32.0</v>
      </c>
      <c r="G51" s="134" t="s">
        <v>362</v>
      </c>
      <c r="H51" s="134" t="s">
        <v>340</v>
      </c>
      <c r="I51" s="134">
        <v>9.068371986E9</v>
      </c>
      <c r="J51" s="87">
        <v>26.0</v>
      </c>
      <c r="K51" s="55">
        <v>24.0</v>
      </c>
      <c r="L51" s="55">
        <v>0.0</v>
      </c>
      <c r="M51" s="55">
        <v>2.0</v>
      </c>
      <c r="N51" s="43">
        <f t="shared" si="4"/>
        <v>2</v>
      </c>
      <c r="O51" s="55">
        <v>2.0</v>
      </c>
      <c r="P51" s="55">
        <v>0.0</v>
      </c>
      <c r="Q51" s="43">
        <f t="shared" si="2"/>
        <v>4</v>
      </c>
      <c r="R51" s="43"/>
      <c r="S51" s="43"/>
      <c r="T51" s="43"/>
      <c r="U51" s="43"/>
      <c r="V51" s="43"/>
      <c r="W51" s="56" t="s">
        <v>46</v>
      </c>
      <c r="Z51" s="61"/>
      <c r="AA51" s="61"/>
      <c r="AB51" s="66"/>
      <c r="AC51" s="34"/>
      <c r="AD51" s="34"/>
    </row>
    <row r="52" ht="13.5" customHeight="1">
      <c r="A52" s="28">
        <v>46.0</v>
      </c>
      <c r="B52" s="37" t="s">
        <v>5197</v>
      </c>
      <c r="C52" s="37" t="s">
        <v>5198</v>
      </c>
      <c r="D52" s="37" t="s">
        <v>5199</v>
      </c>
      <c r="E52" s="133" t="s">
        <v>338</v>
      </c>
      <c r="F52" s="134">
        <v>31.0</v>
      </c>
      <c r="G52" s="134" t="s">
        <v>385</v>
      </c>
      <c r="H52" s="134" t="s">
        <v>839</v>
      </c>
      <c r="I52" s="134">
        <v>9.168310419E9</v>
      </c>
      <c r="J52" s="87">
        <v>27.0</v>
      </c>
      <c r="K52" s="55">
        <v>26.0</v>
      </c>
      <c r="L52" s="55">
        <v>0.0</v>
      </c>
      <c r="M52" s="55">
        <v>1.0</v>
      </c>
      <c r="N52" s="43">
        <f t="shared" si="4"/>
        <v>1</v>
      </c>
      <c r="O52" s="55">
        <v>5.0</v>
      </c>
      <c r="P52" s="55">
        <v>0.0</v>
      </c>
      <c r="Q52" s="43">
        <f t="shared" si="2"/>
        <v>6</v>
      </c>
      <c r="R52" s="43"/>
      <c r="S52" s="43"/>
      <c r="T52" s="43"/>
      <c r="U52" s="43"/>
      <c r="V52" s="43"/>
      <c r="W52" s="56" t="s">
        <v>46</v>
      </c>
      <c r="Z52" s="61"/>
      <c r="AA52" s="61"/>
      <c r="AB52" s="66"/>
      <c r="AC52" s="34"/>
      <c r="AD52" s="34"/>
    </row>
    <row r="53" ht="13.5" customHeight="1">
      <c r="A53" s="28">
        <v>47.0</v>
      </c>
      <c r="B53" s="37" t="s">
        <v>475</v>
      </c>
      <c r="C53" s="37" t="s">
        <v>1957</v>
      </c>
      <c r="D53" s="37" t="s">
        <v>5200</v>
      </c>
      <c r="E53" s="133" t="s">
        <v>338</v>
      </c>
      <c r="F53" s="208">
        <v>42.0</v>
      </c>
      <c r="G53" s="134" t="s">
        <v>339</v>
      </c>
      <c r="H53" s="134" t="s">
        <v>833</v>
      </c>
      <c r="I53" s="208">
        <v>9.298377424E9</v>
      </c>
      <c r="J53" s="87">
        <v>29.0</v>
      </c>
      <c r="K53" s="55">
        <v>15.0</v>
      </c>
      <c r="L53" s="55">
        <v>7.0</v>
      </c>
      <c r="M53" s="55">
        <v>7.0</v>
      </c>
      <c r="N53" s="43">
        <f t="shared" si="4"/>
        <v>14</v>
      </c>
      <c r="O53" s="55">
        <v>3.0</v>
      </c>
      <c r="P53" s="55">
        <v>0.0</v>
      </c>
      <c r="Q53" s="43">
        <f t="shared" si="2"/>
        <v>17</v>
      </c>
      <c r="R53" s="43"/>
      <c r="S53" s="43"/>
      <c r="T53" s="43"/>
      <c r="U53" s="43"/>
      <c r="V53" s="43"/>
      <c r="W53" s="56" t="s">
        <v>46</v>
      </c>
      <c r="Z53" s="61"/>
      <c r="AA53" s="61"/>
      <c r="AB53" s="66"/>
      <c r="AC53" s="34"/>
      <c r="AD53" s="34"/>
    </row>
    <row r="54" ht="13.5" customHeight="1">
      <c r="A54" s="28">
        <v>48.0</v>
      </c>
      <c r="B54" s="37" t="s">
        <v>5201</v>
      </c>
      <c r="C54" s="37" t="s">
        <v>5202</v>
      </c>
      <c r="D54" s="37" t="s">
        <v>981</v>
      </c>
      <c r="E54" s="133" t="s">
        <v>338</v>
      </c>
      <c r="F54" s="134">
        <v>35.0</v>
      </c>
      <c r="G54" s="134" t="s">
        <v>339</v>
      </c>
      <c r="H54" s="134" t="s">
        <v>5203</v>
      </c>
      <c r="I54" s="134">
        <v>9.770368382E9</v>
      </c>
      <c r="J54" s="87">
        <v>29.0</v>
      </c>
      <c r="K54" s="55">
        <v>27.0</v>
      </c>
      <c r="L54" s="55">
        <v>0.0</v>
      </c>
      <c r="M54" s="55">
        <v>2.0</v>
      </c>
      <c r="N54" s="43">
        <f t="shared" si="4"/>
        <v>2</v>
      </c>
      <c r="O54" s="55">
        <v>0.0</v>
      </c>
      <c r="P54" s="55">
        <v>0.0</v>
      </c>
      <c r="Q54" s="43">
        <f t="shared" si="2"/>
        <v>2</v>
      </c>
      <c r="R54" s="43"/>
      <c r="S54" s="43"/>
      <c r="T54" s="43"/>
      <c r="U54" s="43"/>
      <c r="V54" s="43"/>
      <c r="W54" s="56" t="s">
        <v>46</v>
      </c>
      <c r="Z54" s="61"/>
      <c r="AA54" s="61"/>
      <c r="AB54" s="66"/>
      <c r="AC54" s="34"/>
      <c r="AD54" s="34"/>
    </row>
    <row r="55" ht="13.5" customHeight="1">
      <c r="A55" s="28">
        <v>49.0</v>
      </c>
      <c r="B55" s="241" t="s">
        <v>5204</v>
      </c>
      <c r="C55" s="257" t="s">
        <v>5205</v>
      </c>
      <c r="D55" s="257" t="s">
        <v>5206</v>
      </c>
      <c r="E55" s="133" t="s">
        <v>338</v>
      </c>
      <c r="F55" s="134">
        <v>28.0</v>
      </c>
      <c r="G55" s="134" t="s">
        <v>339</v>
      </c>
      <c r="H55" s="134" t="s">
        <v>833</v>
      </c>
      <c r="I55" s="134">
        <v>9.956354712E9</v>
      </c>
      <c r="J55" s="87">
        <v>29.0</v>
      </c>
      <c r="K55" s="55">
        <v>20.0</v>
      </c>
      <c r="L55" s="55">
        <v>0.0</v>
      </c>
      <c r="M55" s="55">
        <v>7.0</v>
      </c>
      <c r="N55" s="43">
        <f t="shared" si="4"/>
        <v>7</v>
      </c>
      <c r="O55" s="55">
        <v>3.0</v>
      </c>
      <c r="P55" s="55">
        <v>2.0</v>
      </c>
      <c r="Q55" s="43">
        <f t="shared" si="2"/>
        <v>12</v>
      </c>
      <c r="R55" s="43"/>
      <c r="S55" s="43"/>
      <c r="T55" s="43"/>
      <c r="U55" s="43"/>
      <c r="V55" s="43"/>
      <c r="W55" s="56" t="s">
        <v>46</v>
      </c>
      <c r="Z55" s="61"/>
      <c r="AA55" s="61"/>
      <c r="AB55" s="66"/>
      <c r="AC55" s="34"/>
      <c r="AD55" s="34"/>
    </row>
    <row r="56" ht="13.5" customHeight="1">
      <c r="A56" s="28">
        <v>50.0</v>
      </c>
      <c r="B56" s="37" t="s">
        <v>4751</v>
      </c>
      <c r="C56" s="37" t="s">
        <v>5207</v>
      </c>
      <c r="D56" s="37" t="s">
        <v>5208</v>
      </c>
      <c r="E56" s="133" t="s">
        <v>338</v>
      </c>
      <c r="F56" s="134">
        <v>28.0</v>
      </c>
      <c r="G56" s="134" t="s">
        <v>339</v>
      </c>
      <c r="H56" s="427" t="s">
        <v>340</v>
      </c>
      <c r="I56" s="134">
        <v>9.532153297E9</v>
      </c>
      <c r="J56" s="87">
        <v>32.0</v>
      </c>
      <c r="K56" s="55">
        <v>30.0</v>
      </c>
      <c r="L56" s="55">
        <v>0.0</v>
      </c>
      <c r="M56" s="55">
        <v>1.0</v>
      </c>
      <c r="N56" s="43">
        <f t="shared" si="4"/>
        <v>1</v>
      </c>
      <c r="O56" s="55">
        <v>0.0</v>
      </c>
      <c r="P56" s="55">
        <v>1.0</v>
      </c>
      <c r="Q56" s="43">
        <f t="shared" si="2"/>
        <v>2</v>
      </c>
      <c r="R56" s="43"/>
      <c r="S56" s="43"/>
      <c r="T56" s="43"/>
      <c r="U56" s="43"/>
      <c r="V56" s="43"/>
      <c r="W56" s="56" t="s">
        <v>46</v>
      </c>
      <c r="Z56" s="61"/>
      <c r="AA56" s="61"/>
      <c r="AB56" s="66"/>
      <c r="AC56" s="34"/>
      <c r="AD56" s="34"/>
    </row>
    <row r="57" ht="13.5" customHeight="1">
      <c r="A57" s="28">
        <v>51.0</v>
      </c>
      <c r="B57" s="37" t="s">
        <v>5209</v>
      </c>
      <c r="C57" s="37" t="s">
        <v>336</v>
      </c>
      <c r="D57" s="37" t="s">
        <v>5210</v>
      </c>
      <c r="E57" s="133" t="s">
        <v>338</v>
      </c>
      <c r="F57" s="134">
        <v>38.0</v>
      </c>
      <c r="G57" s="134" t="s">
        <v>339</v>
      </c>
      <c r="H57" s="134" t="s">
        <v>833</v>
      </c>
      <c r="I57" s="134">
        <v>9.216276226E9</v>
      </c>
      <c r="J57" s="87">
        <v>30.0</v>
      </c>
      <c r="K57" s="55">
        <v>29.0</v>
      </c>
      <c r="L57" s="55">
        <v>0.0</v>
      </c>
      <c r="M57" s="55">
        <v>1.0</v>
      </c>
      <c r="N57" s="43">
        <f t="shared" si="4"/>
        <v>1</v>
      </c>
      <c r="O57" s="55">
        <v>2.0</v>
      </c>
      <c r="P57" s="55">
        <v>0.0</v>
      </c>
      <c r="Q57" s="43">
        <f t="shared" si="2"/>
        <v>3</v>
      </c>
      <c r="R57" s="43"/>
      <c r="S57" s="43"/>
      <c r="T57" s="43"/>
      <c r="U57" s="43"/>
      <c r="V57" s="43"/>
      <c r="W57" s="56" t="s">
        <v>46</v>
      </c>
      <c r="Z57" s="61"/>
      <c r="AA57" s="61"/>
      <c r="AB57" s="66"/>
      <c r="AC57" s="34"/>
      <c r="AD57" s="34"/>
    </row>
    <row r="58" ht="13.5" customHeight="1">
      <c r="A58" s="28">
        <v>52.0</v>
      </c>
      <c r="B58" s="37" t="s">
        <v>5211</v>
      </c>
      <c r="C58" s="37" t="s">
        <v>5212</v>
      </c>
      <c r="D58" s="37" t="s">
        <v>5213</v>
      </c>
      <c r="E58" s="133" t="s">
        <v>338</v>
      </c>
      <c r="F58" s="134">
        <v>28.0</v>
      </c>
      <c r="G58" s="134" t="s">
        <v>385</v>
      </c>
      <c r="H58" s="134" t="s">
        <v>340</v>
      </c>
      <c r="I58" s="134">
        <v>9.75231064E9</v>
      </c>
      <c r="J58" s="87">
        <v>27.0</v>
      </c>
      <c r="K58" s="55">
        <v>18.0</v>
      </c>
      <c r="L58" s="55">
        <v>4.0</v>
      </c>
      <c r="M58" s="55">
        <v>5.0</v>
      </c>
      <c r="N58" s="43">
        <f t="shared" si="4"/>
        <v>9</v>
      </c>
      <c r="O58" s="55">
        <v>5.0</v>
      </c>
      <c r="P58" s="55">
        <v>0.0</v>
      </c>
      <c r="Q58" s="43">
        <f t="shared" si="2"/>
        <v>14</v>
      </c>
      <c r="R58" s="43"/>
      <c r="S58" s="43"/>
      <c r="T58" s="43"/>
      <c r="U58" s="43"/>
      <c r="V58" s="43"/>
      <c r="W58" s="56" t="s">
        <v>46</v>
      </c>
      <c r="Z58" s="61"/>
      <c r="AA58" s="61"/>
      <c r="AB58" s="66"/>
      <c r="AC58" s="34"/>
      <c r="AD58" s="34"/>
    </row>
    <row r="59" ht="13.5" customHeight="1">
      <c r="A59" s="28">
        <v>53.0</v>
      </c>
      <c r="B59" s="37" t="s">
        <v>32</v>
      </c>
      <c r="C59" s="37" t="s">
        <v>5214</v>
      </c>
      <c r="D59" s="37" t="s">
        <v>5215</v>
      </c>
      <c r="E59" s="133" t="s">
        <v>338</v>
      </c>
      <c r="F59" s="134">
        <v>45.0</v>
      </c>
      <c r="G59" s="134" t="s">
        <v>339</v>
      </c>
      <c r="H59" s="134" t="s">
        <v>340</v>
      </c>
      <c r="I59" s="134">
        <v>9.777852578E9</v>
      </c>
      <c r="J59" s="87">
        <v>25.0</v>
      </c>
      <c r="K59" s="55">
        <v>21.0</v>
      </c>
      <c r="L59" s="55">
        <v>0.0</v>
      </c>
      <c r="M59" s="55">
        <v>1.0</v>
      </c>
      <c r="N59" s="43">
        <f t="shared" si="4"/>
        <v>1</v>
      </c>
      <c r="O59" s="55">
        <v>7.0</v>
      </c>
      <c r="P59" s="55">
        <v>2.0</v>
      </c>
      <c r="Q59" s="43">
        <f t="shared" si="2"/>
        <v>10</v>
      </c>
      <c r="R59" s="43"/>
      <c r="S59" s="43"/>
      <c r="T59" s="43"/>
      <c r="U59" s="43"/>
      <c r="V59" s="43"/>
      <c r="W59" s="56" t="s">
        <v>46</v>
      </c>
      <c r="Z59" s="61"/>
      <c r="AA59" s="61"/>
      <c r="AB59" s="66"/>
      <c r="AC59" s="34"/>
      <c r="AD59" s="34"/>
    </row>
    <row r="60" ht="13.5" customHeight="1">
      <c r="A60" s="424">
        <v>54.0</v>
      </c>
      <c r="B60" s="37" t="s">
        <v>32</v>
      </c>
      <c r="C60" s="37" t="s">
        <v>5216</v>
      </c>
      <c r="D60" s="37" t="s">
        <v>5217</v>
      </c>
      <c r="E60" s="133" t="s">
        <v>338</v>
      </c>
      <c r="F60" s="134">
        <v>42.0</v>
      </c>
      <c r="G60" s="134" t="s">
        <v>339</v>
      </c>
      <c r="H60" s="134" t="s">
        <v>340</v>
      </c>
      <c r="I60" s="134">
        <v>9.461154173E9</v>
      </c>
      <c r="J60" s="87">
        <v>32.0</v>
      </c>
      <c r="K60" s="55">
        <v>30.0</v>
      </c>
      <c r="L60" s="55">
        <v>0.0</v>
      </c>
      <c r="M60" s="55">
        <v>2.0</v>
      </c>
      <c r="N60" s="43">
        <f t="shared" si="4"/>
        <v>2</v>
      </c>
      <c r="O60" s="55">
        <v>0.0</v>
      </c>
      <c r="P60" s="55">
        <v>0.0</v>
      </c>
      <c r="Q60" s="43">
        <f t="shared" si="2"/>
        <v>2</v>
      </c>
      <c r="R60" s="43"/>
      <c r="S60" s="43"/>
      <c r="T60" s="43"/>
      <c r="U60" s="43"/>
      <c r="V60" s="43"/>
      <c r="W60" s="425" t="s">
        <v>46</v>
      </c>
      <c r="X60" s="426"/>
      <c r="Y60" s="426"/>
      <c r="Z60" s="61"/>
      <c r="AA60" s="61"/>
      <c r="AB60" s="66"/>
      <c r="AC60" s="34"/>
      <c r="AD60" s="34"/>
    </row>
    <row r="61" ht="13.5" customHeight="1">
      <c r="A61" s="28">
        <v>55.0</v>
      </c>
      <c r="B61" s="37" t="s">
        <v>2529</v>
      </c>
      <c r="C61" s="37" t="s">
        <v>5218</v>
      </c>
      <c r="D61" s="37" t="s">
        <v>5219</v>
      </c>
      <c r="E61" s="133" t="s">
        <v>338</v>
      </c>
      <c r="F61" s="134">
        <v>44.0</v>
      </c>
      <c r="G61" s="134" t="s">
        <v>339</v>
      </c>
      <c r="H61" s="134" t="s">
        <v>839</v>
      </c>
      <c r="I61" s="134">
        <v>9.605311242E9</v>
      </c>
      <c r="J61" s="87">
        <v>28.0</v>
      </c>
      <c r="K61" s="55">
        <v>24.0</v>
      </c>
      <c r="L61" s="55">
        <v>0.0</v>
      </c>
      <c r="M61" s="55">
        <v>3.0</v>
      </c>
      <c r="N61" s="43">
        <f t="shared" si="4"/>
        <v>3</v>
      </c>
      <c r="O61" s="55">
        <v>4.0</v>
      </c>
      <c r="P61" s="55">
        <v>0.0</v>
      </c>
      <c r="Q61" s="43">
        <f t="shared" si="2"/>
        <v>7</v>
      </c>
      <c r="R61" s="43"/>
      <c r="S61" s="43"/>
      <c r="T61" s="43"/>
      <c r="U61" s="43"/>
      <c r="V61" s="43"/>
      <c r="W61" s="56" t="s">
        <v>46</v>
      </c>
      <c r="Z61" s="61"/>
      <c r="AA61" s="61"/>
      <c r="AB61" s="66"/>
      <c r="AC61" s="34"/>
      <c r="AD61" s="34"/>
    </row>
    <row r="62" ht="13.5" customHeight="1">
      <c r="A62" s="28">
        <v>56.0</v>
      </c>
      <c r="B62" s="37" t="s">
        <v>5220</v>
      </c>
      <c r="C62" s="37" t="s">
        <v>5221</v>
      </c>
      <c r="D62" s="37" t="s">
        <v>4456</v>
      </c>
      <c r="E62" s="133" t="s">
        <v>338</v>
      </c>
      <c r="F62" s="134">
        <v>51.0</v>
      </c>
      <c r="G62" s="134" t="s">
        <v>339</v>
      </c>
      <c r="H62" s="134" t="s">
        <v>340</v>
      </c>
      <c r="I62" s="134">
        <v>9.063127082E9</v>
      </c>
      <c r="J62" s="87">
        <v>28.0</v>
      </c>
      <c r="K62" s="55">
        <v>21.0</v>
      </c>
      <c r="L62" s="55">
        <v>0.0</v>
      </c>
      <c r="M62" s="55">
        <v>2.0</v>
      </c>
      <c r="N62" s="43">
        <f t="shared" si="4"/>
        <v>2</v>
      </c>
      <c r="O62" s="55">
        <v>4.0</v>
      </c>
      <c r="P62" s="55">
        <v>5.0</v>
      </c>
      <c r="Q62" s="43">
        <f t="shared" si="2"/>
        <v>11</v>
      </c>
      <c r="R62" s="43"/>
      <c r="S62" s="43"/>
      <c r="T62" s="43"/>
      <c r="U62" s="43"/>
      <c r="V62" s="43"/>
      <c r="W62" s="56" t="s">
        <v>46</v>
      </c>
      <c r="X62" s="138"/>
      <c r="Z62" s="61"/>
      <c r="AA62" s="61"/>
      <c r="AB62" s="66"/>
      <c r="AC62" s="34"/>
      <c r="AD62" s="34"/>
    </row>
    <row r="63" ht="13.5" customHeight="1">
      <c r="A63" s="28">
        <v>57.0</v>
      </c>
      <c r="B63" s="37" t="s">
        <v>3829</v>
      </c>
      <c r="C63" s="37" t="s">
        <v>1590</v>
      </c>
      <c r="D63" s="37" t="s">
        <v>5222</v>
      </c>
      <c r="E63" s="133" t="s">
        <v>338</v>
      </c>
      <c r="F63" s="134">
        <v>27.0</v>
      </c>
      <c r="G63" s="134" t="s">
        <v>339</v>
      </c>
      <c r="H63" s="134" t="s">
        <v>340</v>
      </c>
      <c r="I63" s="134">
        <v>9.284659436E9</v>
      </c>
      <c r="J63" s="87">
        <v>30.0</v>
      </c>
      <c r="K63" s="55">
        <v>22.0</v>
      </c>
      <c r="L63" s="55">
        <v>2.0</v>
      </c>
      <c r="M63" s="55">
        <v>6.0</v>
      </c>
      <c r="N63" s="43">
        <f t="shared" si="4"/>
        <v>8</v>
      </c>
      <c r="O63" s="55">
        <v>2.0</v>
      </c>
      <c r="P63" s="55">
        <v>0.0</v>
      </c>
      <c r="Q63" s="43">
        <f t="shared" si="2"/>
        <v>10</v>
      </c>
      <c r="R63" s="43"/>
      <c r="S63" s="43"/>
      <c r="T63" s="43"/>
      <c r="U63" s="43"/>
      <c r="V63" s="43"/>
      <c r="W63" s="56" t="s">
        <v>46</v>
      </c>
      <c r="X63" s="138"/>
      <c r="Z63" s="61"/>
      <c r="AA63" s="61"/>
      <c r="AB63" s="66"/>
      <c r="AC63" s="34"/>
      <c r="AD63" s="34"/>
    </row>
    <row r="64" ht="13.5" customHeight="1">
      <c r="A64" s="28">
        <v>58.0</v>
      </c>
      <c r="B64" s="37" t="s">
        <v>5223</v>
      </c>
      <c r="C64" s="37" t="s">
        <v>949</v>
      </c>
      <c r="D64" s="37" t="s">
        <v>492</v>
      </c>
      <c r="E64" s="133" t="s">
        <v>338</v>
      </c>
      <c r="F64" s="134">
        <v>49.0</v>
      </c>
      <c r="G64" s="134" t="s">
        <v>339</v>
      </c>
      <c r="H64" s="134" t="s">
        <v>833</v>
      </c>
      <c r="I64" s="134">
        <v>9.327194966E9</v>
      </c>
      <c r="J64" s="87">
        <v>25.0</v>
      </c>
      <c r="K64" s="55">
        <v>18.0</v>
      </c>
      <c r="L64" s="55">
        <v>0.0</v>
      </c>
      <c r="M64" s="55">
        <v>0.0</v>
      </c>
      <c r="N64" s="43">
        <f t="shared" si="4"/>
        <v>0</v>
      </c>
      <c r="O64" s="55">
        <v>7.0</v>
      </c>
      <c r="P64" s="55">
        <v>5.0</v>
      </c>
      <c r="Q64" s="43">
        <f t="shared" si="2"/>
        <v>12</v>
      </c>
      <c r="R64" s="43"/>
      <c r="S64" s="55" t="s">
        <v>88</v>
      </c>
      <c r="T64" s="43"/>
      <c r="U64" s="43"/>
      <c r="V64" s="43"/>
      <c r="W64" s="56" t="s">
        <v>46</v>
      </c>
      <c r="Z64" s="61"/>
      <c r="AA64" s="61"/>
      <c r="AB64" s="66"/>
      <c r="AC64" s="34"/>
      <c r="AD64" s="34"/>
    </row>
    <row r="65" ht="13.5" customHeight="1">
      <c r="A65" s="28">
        <v>59.0</v>
      </c>
      <c r="B65" s="37" t="s">
        <v>3488</v>
      </c>
      <c r="C65" s="37" t="s">
        <v>5224</v>
      </c>
      <c r="D65" s="37" t="s">
        <v>1353</v>
      </c>
      <c r="E65" s="133" t="s">
        <v>338</v>
      </c>
      <c r="F65" s="134">
        <v>28.0</v>
      </c>
      <c r="G65" s="134" t="s">
        <v>339</v>
      </c>
      <c r="H65" s="134" t="s">
        <v>340</v>
      </c>
      <c r="I65" s="134">
        <v>9.05449078E9</v>
      </c>
      <c r="J65" s="87">
        <v>27.0</v>
      </c>
      <c r="K65" s="55">
        <v>21.0</v>
      </c>
      <c r="L65" s="55">
        <v>1.0</v>
      </c>
      <c r="M65" s="55">
        <v>0.0</v>
      </c>
      <c r="N65" s="43">
        <f t="shared" si="4"/>
        <v>1</v>
      </c>
      <c r="O65" s="55">
        <v>5.0</v>
      </c>
      <c r="P65" s="55">
        <v>5.0</v>
      </c>
      <c r="Q65" s="43">
        <f t="shared" si="2"/>
        <v>11</v>
      </c>
      <c r="R65" s="43"/>
      <c r="S65" s="55" t="s">
        <v>5225</v>
      </c>
      <c r="T65" s="43"/>
      <c r="U65" s="43"/>
      <c r="V65" s="55" t="s">
        <v>5226</v>
      </c>
      <c r="W65" s="56" t="s">
        <v>46</v>
      </c>
      <c r="Z65" s="61"/>
      <c r="AA65" s="61"/>
      <c r="AB65" s="66"/>
      <c r="AC65" s="34"/>
      <c r="AD65" s="34"/>
    </row>
    <row r="66" ht="13.5" customHeight="1">
      <c r="A66" s="28">
        <v>60.0</v>
      </c>
      <c r="B66" s="257" t="s">
        <v>5227</v>
      </c>
      <c r="C66" s="257" t="s">
        <v>5228</v>
      </c>
      <c r="D66" s="99"/>
      <c r="E66" s="133" t="s">
        <v>338</v>
      </c>
      <c r="F66" s="134">
        <v>33.0</v>
      </c>
      <c r="G66" s="134" t="s">
        <v>339</v>
      </c>
      <c r="H66" s="134" t="s">
        <v>340</v>
      </c>
      <c r="I66" s="134">
        <v>9.18234837E8</v>
      </c>
      <c r="J66" s="87">
        <v>29.0</v>
      </c>
      <c r="K66" s="55">
        <v>26.0</v>
      </c>
      <c r="L66" s="55">
        <v>0.0</v>
      </c>
      <c r="M66" s="55">
        <v>3.0</v>
      </c>
      <c r="N66" s="43">
        <f t="shared" si="4"/>
        <v>3</v>
      </c>
      <c r="O66" s="55">
        <v>3.0</v>
      </c>
      <c r="P66" s="55">
        <v>0.0</v>
      </c>
      <c r="Q66" s="43">
        <f t="shared" si="2"/>
        <v>6</v>
      </c>
      <c r="R66" s="43"/>
      <c r="S66" s="43"/>
      <c r="T66" s="43"/>
      <c r="U66" s="43"/>
      <c r="V66" s="43"/>
      <c r="W66" s="56" t="s">
        <v>46</v>
      </c>
      <c r="Z66" s="61"/>
      <c r="AA66" s="61"/>
      <c r="AB66" s="66"/>
      <c r="AC66" s="34"/>
      <c r="AD66" s="34"/>
    </row>
    <row r="67" ht="13.5" customHeight="1">
      <c r="A67" s="28">
        <v>61.0</v>
      </c>
      <c r="B67" s="257" t="s">
        <v>4466</v>
      </c>
      <c r="C67" s="257" t="s">
        <v>5229</v>
      </c>
      <c r="D67" s="37" t="s">
        <v>5230</v>
      </c>
      <c r="E67" s="133" t="s">
        <v>338</v>
      </c>
      <c r="F67" s="134">
        <v>27.0</v>
      </c>
      <c r="G67" s="134" t="s">
        <v>339</v>
      </c>
      <c r="H67" s="134" t="s">
        <v>833</v>
      </c>
      <c r="I67" s="134">
        <v>9.453757147E9</v>
      </c>
      <c r="J67" s="87">
        <v>29.0</v>
      </c>
      <c r="K67" s="55">
        <v>26.0</v>
      </c>
      <c r="L67" s="55">
        <v>0.0</v>
      </c>
      <c r="M67" s="55">
        <v>1.0</v>
      </c>
      <c r="N67" s="43">
        <f t="shared" si="4"/>
        <v>1</v>
      </c>
      <c r="O67" s="55">
        <v>3.0</v>
      </c>
      <c r="P67" s="55">
        <v>2.0</v>
      </c>
      <c r="Q67" s="43">
        <f t="shared" si="2"/>
        <v>6</v>
      </c>
      <c r="R67" s="43"/>
      <c r="S67" s="43"/>
      <c r="T67" s="43"/>
      <c r="U67" s="43"/>
      <c r="V67" s="43"/>
      <c r="W67" s="56" t="s">
        <v>46</v>
      </c>
      <c r="Z67" s="61"/>
      <c r="AA67" s="61"/>
      <c r="AB67" s="66"/>
      <c r="AC67" s="34"/>
      <c r="AD67" s="34"/>
    </row>
    <row r="68" ht="13.5" customHeight="1">
      <c r="A68" s="28">
        <v>62.0</v>
      </c>
      <c r="B68" s="37" t="s">
        <v>2072</v>
      </c>
      <c r="C68" s="37" t="s">
        <v>2234</v>
      </c>
      <c r="D68" s="37" t="s">
        <v>5231</v>
      </c>
      <c r="E68" s="133" t="s">
        <v>338</v>
      </c>
      <c r="F68" s="134">
        <v>30.0</v>
      </c>
      <c r="G68" s="134" t="s">
        <v>339</v>
      </c>
      <c r="H68" s="134" t="s">
        <v>839</v>
      </c>
      <c r="I68" s="134">
        <v>9.192650416E9</v>
      </c>
      <c r="J68" s="87">
        <v>30.0</v>
      </c>
      <c r="K68" s="55">
        <v>23.0</v>
      </c>
      <c r="L68" s="55">
        <v>0.0</v>
      </c>
      <c r="M68" s="55">
        <v>0.0</v>
      </c>
      <c r="N68" s="43">
        <f t="shared" si="4"/>
        <v>0</v>
      </c>
      <c r="O68" s="55">
        <v>2.0</v>
      </c>
      <c r="P68" s="55">
        <v>7.0</v>
      </c>
      <c r="Q68" s="43">
        <f t="shared" si="2"/>
        <v>9</v>
      </c>
      <c r="R68" s="43"/>
      <c r="S68" s="43"/>
      <c r="T68" s="43"/>
      <c r="U68" s="43"/>
      <c r="V68" s="43"/>
      <c r="W68" s="56" t="s">
        <v>46</v>
      </c>
      <c r="Z68" s="61"/>
      <c r="AA68" s="61"/>
      <c r="AB68" s="66"/>
      <c r="AC68" s="34"/>
      <c r="AD68" s="34"/>
    </row>
    <row r="69" ht="13.5" customHeight="1">
      <c r="A69" s="28">
        <v>63.0</v>
      </c>
      <c r="B69" s="37" t="s">
        <v>5232</v>
      </c>
      <c r="C69" s="37" t="s">
        <v>5233</v>
      </c>
      <c r="D69" s="37" t="s">
        <v>5234</v>
      </c>
      <c r="E69" s="133" t="s">
        <v>338</v>
      </c>
      <c r="F69" s="134">
        <v>43.0</v>
      </c>
      <c r="G69" s="134" t="s">
        <v>385</v>
      </c>
      <c r="H69" s="134" t="s">
        <v>368</v>
      </c>
      <c r="I69" s="134">
        <v>9.161902242E9</v>
      </c>
      <c r="J69" s="83"/>
      <c r="K69" s="43"/>
      <c r="L69" s="43"/>
      <c r="M69" s="43"/>
      <c r="N69" s="43">
        <f t="shared" si="4"/>
        <v>0</v>
      </c>
      <c r="O69" s="43"/>
      <c r="P69" s="43"/>
      <c r="Q69" s="43">
        <f t="shared" si="2"/>
        <v>0</v>
      </c>
      <c r="R69" s="43"/>
      <c r="S69" s="43"/>
      <c r="T69" s="43"/>
      <c r="U69" s="43"/>
      <c r="V69" s="43"/>
      <c r="W69" s="44"/>
      <c r="Z69" s="61"/>
      <c r="AA69" s="61"/>
      <c r="AB69" s="66"/>
      <c r="AC69" s="34"/>
      <c r="AD69" s="34"/>
    </row>
    <row r="70" ht="13.5" customHeight="1">
      <c r="A70" s="28">
        <v>64.0</v>
      </c>
      <c r="B70" s="257" t="s">
        <v>202</v>
      </c>
      <c r="C70" s="37" t="s">
        <v>4724</v>
      </c>
      <c r="D70" s="37" t="s">
        <v>5235</v>
      </c>
      <c r="E70" s="133" t="s">
        <v>338</v>
      </c>
      <c r="F70" s="134">
        <v>50.0</v>
      </c>
      <c r="G70" s="134" t="s">
        <v>339</v>
      </c>
      <c r="H70" s="134" t="s">
        <v>349</v>
      </c>
      <c r="I70" s="134">
        <v>9.558709788E9</v>
      </c>
      <c r="J70" s="87">
        <v>18.0</v>
      </c>
      <c r="K70" s="55">
        <v>12.0</v>
      </c>
      <c r="L70" s="55">
        <v>0.0</v>
      </c>
      <c r="M70" s="55">
        <v>5.0</v>
      </c>
      <c r="N70" s="43">
        <f t="shared" si="4"/>
        <v>5</v>
      </c>
      <c r="O70" s="55">
        <v>14.0</v>
      </c>
      <c r="P70" s="55">
        <v>0.0</v>
      </c>
      <c r="Q70" s="43">
        <f t="shared" si="2"/>
        <v>19</v>
      </c>
      <c r="R70" s="43"/>
      <c r="S70" s="55" t="s">
        <v>88</v>
      </c>
      <c r="T70" s="43"/>
      <c r="U70" s="43"/>
      <c r="V70" s="43"/>
      <c r="W70" s="56" t="s">
        <v>46</v>
      </c>
      <c r="Z70" s="61"/>
      <c r="AA70" s="61"/>
      <c r="AB70" s="66"/>
      <c r="AC70" s="34"/>
      <c r="AD70" s="34"/>
    </row>
    <row r="71" ht="13.5" customHeight="1">
      <c r="A71" s="28">
        <v>65.0</v>
      </c>
      <c r="B71" s="257" t="s">
        <v>5236</v>
      </c>
      <c r="C71" s="257" t="s">
        <v>5237</v>
      </c>
      <c r="D71" s="37" t="s">
        <v>5238</v>
      </c>
      <c r="E71" s="133" t="s">
        <v>338</v>
      </c>
      <c r="F71" s="134">
        <v>53.0</v>
      </c>
      <c r="G71" s="134" t="s">
        <v>339</v>
      </c>
      <c r="H71" s="134" t="s">
        <v>340</v>
      </c>
      <c r="I71" s="134">
        <v>9.233168014E9</v>
      </c>
      <c r="J71" s="87">
        <v>29.0</v>
      </c>
      <c r="K71" s="55">
        <v>27.0</v>
      </c>
      <c r="L71" s="55">
        <v>0.0</v>
      </c>
      <c r="M71" s="55">
        <v>1.0</v>
      </c>
      <c r="N71" s="43">
        <f t="shared" si="4"/>
        <v>1</v>
      </c>
      <c r="O71" s="55">
        <v>2.0</v>
      </c>
      <c r="P71" s="55">
        <v>1.0</v>
      </c>
      <c r="Q71" s="43">
        <f t="shared" si="2"/>
        <v>4</v>
      </c>
      <c r="R71" s="43"/>
      <c r="S71" s="55" t="s">
        <v>93</v>
      </c>
      <c r="T71" s="43"/>
      <c r="U71" s="43"/>
      <c r="V71" s="43"/>
      <c r="W71" s="56" t="s">
        <v>46</v>
      </c>
      <c r="Z71" s="61"/>
      <c r="AA71" s="61"/>
      <c r="AB71" s="66"/>
      <c r="AC71" s="34"/>
      <c r="AD71" s="34"/>
    </row>
    <row r="72" ht="13.5" customHeight="1">
      <c r="A72" s="28">
        <v>66.0</v>
      </c>
      <c r="B72" s="37" t="s">
        <v>5239</v>
      </c>
      <c r="C72" s="37" t="s">
        <v>5240</v>
      </c>
      <c r="D72" s="37" t="s">
        <v>5241</v>
      </c>
      <c r="E72" s="133" t="s">
        <v>338</v>
      </c>
      <c r="F72" s="134">
        <v>33.0</v>
      </c>
      <c r="G72" s="134" t="s">
        <v>385</v>
      </c>
      <c r="H72" s="134" t="s">
        <v>340</v>
      </c>
      <c r="I72" s="134">
        <v>9.06746337E8</v>
      </c>
      <c r="J72" s="87">
        <v>29.0</v>
      </c>
      <c r="K72" s="55">
        <v>24.0</v>
      </c>
      <c r="L72" s="55">
        <v>0.0</v>
      </c>
      <c r="M72" s="55">
        <v>4.0</v>
      </c>
      <c r="N72" s="43">
        <f t="shared" si="4"/>
        <v>4</v>
      </c>
      <c r="O72" s="55">
        <v>3.0</v>
      </c>
      <c r="P72" s="55">
        <v>1.0</v>
      </c>
      <c r="Q72" s="43">
        <f t="shared" si="2"/>
        <v>8</v>
      </c>
      <c r="R72" s="43"/>
      <c r="S72" s="43"/>
      <c r="T72" s="43"/>
      <c r="U72" s="43"/>
      <c r="V72" s="43"/>
      <c r="W72" s="56" t="s">
        <v>46</v>
      </c>
      <c r="Z72" s="61"/>
      <c r="AA72" s="61"/>
      <c r="AB72" s="66"/>
      <c r="AC72" s="34"/>
      <c r="AD72" s="34"/>
    </row>
    <row r="73" ht="13.5" customHeight="1">
      <c r="A73" s="28">
        <v>67.0</v>
      </c>
      <c r="B73" s="37" t="s">
        <v>112</v>
      </c>
      <c r="C73" s="37" t="s">
        <v>2769</v>
      </c>
      <c r="D73" s="37" t="s">
        <v>5242</v>
      </c>
      <c r="E73" s="133" t="s">
        <v>338</v>
      </c>
      <c r="F73" s="134">
        <v>44.0</v>
      </c>
      <c r="G73" s="134" t="s">
        <v>339</v>
      </c>
      <c r="H73" s="134" t="s">
        <v>368</v>
      </c>
      <c r="I73" s="134">
        <v>9.274046241E9</v>
      </c>
      <c r="J73" s="87">
        <v>31.0</v>
      </c>
      <c r="K73" s="55">
        <v>26.0</v>
      </c>
      <c r="L73" s="55">
        <v>0.0</v>
      </c>
      <c r="M73" s="55">
        <v>5.0</v>
      </c>
      <c r="N73" s="43">
        <f t="shared" si="4"/>
        <v>5</v>
      </c>
      <c r="O73" s="55">
        <v>1.0</v>
      </c>
      <c r="P73" s="55">
        <v>0.0</v>
      </c>
      <c r="Q73" s="43">
        <f t="shared" si="2"/>
        <v>6</v>
      </c>
      <c r="R73" s="43"/>
      <c r="S73" s="43"/>
      <c r="T73" s="43"/>
      <c r="U73" s="43"/>
      <c r="V73" s="43"/>
      <c r="W73" s="56" t="s">
        <v>46</v>
      </c>
      <c r="Z73" s="61"/>
      <c r="AA73" s="61"/>
      <c r="AB73" s="66"/>
      <c r="AC73" s="34"/>
      <c r="AD73" s="34"/>
    </row>
    <row r="74" ht="13.5" customHeight="1">
      <c r="A74" s="28">
        <v>68.0</v>
      </c>
      <c r="B74" s="37" t="s">
        <v>5243</v>
      </c>
      <c r="C74" s="37" t="s">
        <v>5244</v>
      </c>
      <c r="D74" s="37" t="s">
        <v>5245</v>
      </c>
      <c r="E74" s="133" t="s">
        <v>338</v>
      </c>
      <c r="F74" s="134">
        <v>39.0</v>
      </c>
      <c r="G74" s="134" t="s">
        <v>339</v>
      </c>
      <c r="H74" s="134" t="s">
        <v>340</v>
      </c>
      <c r="I74" s="134">
        <v>9.605311478E9</v>
      </c>
      <c r="J74" s="87">
        <v>28.0</v>
      </c>
      <c r="K74" s="55">
        <v>27.0</v>
      </c>
      <c r="L74" s="55">
        <v>0.0</v>
      </c>
      <c r="M74" s="55">
        <v>1.0</v>
      </c>
      <c r="N74" s="43">
        <f t="shared" si="4"/>
        <v>1</v>
      </c>
      <c r="O74" s="55">
        <v>4.0</v>
      </c>
      <c r="P74" s="55">
        <v>0.0</v>
      </c>
      <c r="Q74" s="43">
        <f t="shared" si="2"/>
        <v>5</v>
      </c>
      <c r="R74" s="43"/>
      <c r="S74" s="43"/>
      <c r="T74" s="43"/>
      <c r="U74" s="43"/>
      <c r="V74" s="43"/>
      <c r="W74" s="56" t="s">
        <v>46</v>
      </c>
      <c r="Z74" s="61"/>
      <c r="AA74" s="61"/>
      <c r="AB74" s="66"/>
      <c r="AC74" s="34"/>
      <c r="AD74" s="34"/>
    </row>
    <row r="75" ht="13.5" customHeight="1">
      <c r="A75" s="28">
        <v>69.0</v>
      </c>
      <c r="B75" s="37" t="s">
        <v>5246</v>
      </c>
      <c r="C75" s="37" t="s">
        <v>5247</v>
      </c>
      <c r="D75" s="37" t="s">
        <v>5248</v>
      </c>
      <c r="E75" s="133" t="s">
        <v>338</v>
      </c>
      <c r="F75" s="134">
        <v>56.0</v>
      </c>
      <c r="G75" s="134" t="s">
        <v>385</v>
      </c>
      <c r="H75" s="134" t="s">
        <v>349</v>
      </c>
      <c r="I75" s="134" t="s">
        <v>5249</v>
      </c>
      <c r="J75" s="87">
        <v>17.0</v>
      </c>
      <c r="K75" s="55">
        <v>11.0</v>
      </c>
      <c r="L75" s="55">
        <v>0.0</v>
      </c>
      <c r="M75" s="55">
        <v>3.0</v>
      </c>
      <c r="N75" s="43">
        <f t="shared" si="4"/>
        <v>3</v>
      </c>
      <c r="O75" s="55">
        <v>15.0</v>
      </c>
      <c r="P75" s="55">
        <v>3.0</v>
      </c>
      <c r="Q75" s="43">
        <f t="shared" si="2"/>
        <v>21</v>
      </c>
      <c r="R75" s="43"/>
      <c r="S75" s="43"/>
      <c r="T75" s="43"/>
      <c r="U75" s="43"/>
      <c r="V75" s="43"/>
      <c r="W75" s="56" t="s">
        <v>46</v>
      </c>
      <c r="Z75" s="61"/>
      <c r="AA75" s="61"/>
      <c r="AB75" s="66"/>
      <c r="AC75" s="34"/>
      <c r="AD75" s="34"/>
    </row>
    <row r="76" ht="13.5" customHeight="1">
      <c r="A76" s="28">
        <v>70.0</v>
      </c>
      <c r="B76" s="257" t="s">
        <v>3730</v>
      </c>
      <c r="C76" s="37" t="s">
        <v>430</v>
      </c>
      <c r="D76" s="37" t="s">
        <v>5250</v>
      </c>
      <c r="E76" s="133" t="s">
        <v>338</v>
      </c>
      <c r="F76" s="134">
        <v>38.0</v>
      </c>
      <c r="G76" s="134" t="s">
        <v>339</v>
      </c>
      <c r="H76" s="134" t="s">
        <v>340</v>
      </c>
      <c r="I76" s="134">
        <v>9.561832371E9</v>
      </c>
      <c r="J76" s="54">
        <v>21.0</v>
      </c>
      <c r="K76" s="55">
        <v>19.0</v>
      </c>
      <c r="L76" s="55">
        <v>0.0</v>
      </c>
      <c r="M76" s="55">
        <v>0.0</v>
      </c>
      <c r="N76" s="43">
        <f t="shared" si="4"/>
        <v>0</v>
      </c>
      <c r="O76" s="55">
        <v>11.0</v>
      </c>
      <c r="P76" s="55">
        <v>2.0</v>
      </c>
      <c r="Q76" s="43">
        <f t="shared" si="2"/>
        <v>13</v>
      </c>
      <c r="R76" s="43"/>
      <c r="S76" s="55" t="s">
        <v>88</v>
      </c>
      <c r="T76" s="43"/>
      <c r="U76" s="43"/>
      <c r="V76" s="43"/>
      <c r="W76" s="56" t="s">
        <v>46</v>
      </c>
      <c r="Z76" s="61"/>
      <c r="AA76" s="61"/>
      <c r="AB76" s="66"/>
      <c r="AC76" s="34"/>
      <c r="AD76" s="34"/>
    </row>
    <row r="77" ht="13.5" customHeight="1">
      <c r="A77" s="28">
        <v>71.0</v>
      </c>
      <c r="B77" s="257" t="s">
        <v>131</v>
      </c>
      <c r="C77" s="37" t="s">
        <v>409</v>
      </c>
      <c r="D77" s="37" t="s">
        <v>5251</v>
      </c>
      <c r="E77" s="133" t="s">
        <v>338</v>
      </c>
      <c r="F77" s="134">
        <v>26.0</v>
      </c>
      <c r="G77" s="134" t="s">
        <v>339</v>
      </c>
      <c r="H77" s="134" t="s">
        <v>340</v>
      </c>
      <c r="I77" s="134">
        <v>9.55297665E9</v>
      </c>
      <c r="J77" s="54">
        <v>29.0</v>
      </c>
      <c r="K77" s="55">
        <v>25.0</v>
      </c>
      <c r="L77" s="55">
        <v>0.0</v>
      </c>
      <c r="M77" s="55">
        <v>4.0</v>
      </c>
      <c r="N77" s="43">
        <f t="shared" si="4"/>
        <v>4</v>
      </c>
      <c r="O77" s="55">
        <v>3.0</v>
      </c>
      <c r="P77" s="55">
        <v>0.0</v>
      </c>
      <c r="Q77" s="43">
        <f t="shared" si="2"/>
        <v>7</v>
      </c>
      <c r="R77" s="43"/>
      <c r="S77" s="43"/>
      <c r="T77" s="43"/>
      <c r="U77" s="43"/>
      <c r="V77" s="43"/>
      <c r="W77" s="56" t="s">
        <v>46</v>
      </c>
      <c r="Z77" s="61"/>
      <c r="AA77" s="61"/>
      <c r="AB77" s="66"/>
      <c r="AC77" s="34"/>
      <c r="AD77" s="34"/>
    </row>
    <row r="78" ht="13.5" customHeight="1">
      <c r="A78" s="28">
        <v>72.0</v>
      </c>
      <c r="B78" s="257" t="s">
        <v>131</v>
      </c>
      <c r="C78" s="37" t="s">
        <v>1521</v>
      </c>
      <c r="D78" s="37" t="s">
        <v>5252</v>
      </c>
      <c r="E78" s="133" t="s">
        <v>338</v>
      </c>
      <c r="F78" s="134">
        <v>48.0</v>
      </c>
      <c r="G78" s="134" t="s">
        <v>339</v>
      </c>
      <c r="H78" s="134" t="s">
        <v>833</v>
      </c>
      <c r="I78" s="134">
        <v>9.077819545E9</v>
      </c>
      <c r="J78" s="54">
        <v>29.0</v>
      </c>
      <c r="K78" s="55">
        <v>27.0</v>
      </c>
      <c r="L78" s="55">
        <v>1.0</v>
      </c>
      <c r="M78" s="55">
        <v>1.0</v>
      </c>
      <c r="N78" s="43">
        <f t="shared" si="4"/>
        <v>2</v>
      </c>
      <c r="O78" s="55">
        <v>3.0</v>
      </c>
      <c r="P78" s="55">
        <v>0.0</v>
      </c>
      <c r="Q78" s="43">
        <f t="shared" si="2"/>
        <v>5</v>
      </c>
      <c r="R78" s="43"/>
      <c r="S78" s="43"/>
      <c r="T78" s="43"/>
      <c r="U78" s="43"/>
      <c r="V78" s="43"/>
      <c r="W78" s="56" t="s">
        <v>46</v>
      </c>
      <c r="Z78" s="61"/>
      <c r="AA78" s="61"/>
      <c r="AB78" s="66"/>
      <c r="AC78" s="34"/>
      <c r="AD78" s="34"/>
    </row>
    <row r="79" ht="13.5" customHeight="1">
      <c r="A79" s="28">
        <v>73.0</v>
      </c>
      <c r="B79" s="37" t="s">
        <v>5253</v>
      </c>
      <c r="C79" s="37" t="s">
        <v>5254</v>
      </c>
      <c r="D79" s="37" t="s">
        <v>1216</v>
      </c>
      <c r="E79" s="133" t="s">
        <v>338</v>
      </c>
      <c r="F79" s="134">
        <v>30.0</v>
      </c>
      <c r="G79" s="134" t="s">
        <v>385</v>
      </c>
      <c r="H79" s="134" t="s">
        <v>833</v>
      </c>
      <c r="I79" s="134">
        <v>9.766764931E9</v>
      </c>
      <c r="J79" s="54">
        <v>24.0</v>
      </c>
      <c r="K79" s="55">
        <v>19.0</v>
      </c>
      <c r="L79" s="55">
        <v>0.0</v>
      </c>
      <c r="M79" s="55">
        <v>2.0</v>
      </c>
      <c r="N79" s="43">
        <f t="shared" si="4"/>
        <v>2</v>
      </c>
      <c r="O79" s="55">
        <v>5.0</v>
      </c>
      <c r="P79" s="55">
        <v>3.0</v>
      </c>
      <c r="Q79" s="43">
        <f t="shared" si="2"/>
        <v>10</v>
      </c>
      <c r="R79" s="43"/>
      <c r="S79" s="43"/>
      <c r="T79" s="43"/>
      <c r="U79" s="43"/>
      <c r="V79" s="43"/>
      <c r="W79" s="56" t="s">
        <v>46</v>
      </c>
      <c r="Z79" s="61"/>
      <c r="AA79" s="61"/>
      <c r="AB79" s="66"/>
      <c r="AC79" s="34"/>
      <c r="AD79" s="34"/>
    </row>
    <row r="80" ht="13.5" customHeight="1">
      <c r="A80" s="28">
        <v>74.0</v>
      </c>
      <c r="B80" s="37" t="s">
        <v>5255</v>
      </c>
      <c r="C80" s="37" t="s">
        <v>1673</v>
      </c>
      <c r="D80" s="37" t="s">
        <v>5256</v>
      </c>
      <c r="E80" s="133" t="s">
        <v>338</v>
      </c>
      <c r="F80" s="134">
        <v>36.0</v>
      </c>
      <c r="G80" s="134" t="s">
        <v>339</v>
      </c>
      <c r="H80" s="134" t="s">
        <v>839</v>
      </c>
      <c r="I80" s="134" t="s">
        <v>5257</v>
      </c>
      <c r="J80" s="54">
        <v>29.0</v>
      </c>
      <c r="K80" s="55">
        <v>25.0</v>
      </c>
      <c r="L80" s="55">
        <v>0.0</v>
      </c>
      <c r="M80" s="55">
        <v>3.0</v>
      </c>
      <c r="N80" s="43">
        <f t="shared" si="4"/>
        <v>3</v>
      </c>
      <c r="O80" s="55">
        <v>1.0</v>
      </c>
      <c r="P80" s="55">
        <v>1.0</v>
      </c>
      <c r="Q80" s="43">
        <f t="shared" si="2"/>
        <v>5</v>
      </c>
      <c r="R80" s="43"/>
      <c r="S80" s="55" t="s">
        <v>88</v>
      </c>
      <c r="T80" s="43"/>
      <c r="U80" s="43"/>
      <c r="V80" s="55" t="s">
        <v>5258</v>
      </c>
      <c r="W80" s="56" t="s">
        <v>46</v>
      </c>
      <c r="X80" s="363"/>
      <c r="Y80" s="363"/>
      <c r="Z80" s="61"/>
      <c r="AA80" s="61"/>
      <c r="AB80" s="66"/>
      <c r="AC80" s="34"/>
      <c r="AD80" s="34"/>
    </row>
    <row r="81" ht="13.5" customHeight="1">
      <c r="A81" s="424">
        <v>75.0</v>
      </c>
      <c r="B81" s="257" t="s">
        <v>5259</v>
      </c>
      <c r="C81" s="257" t="s">
        <v>5260</v>
      </c>
      <c r="D81" s="257" t="s">
        <v>5261</v>
      </c>
      <c r="E81" s="133" t="s">
        <v>338</v>
      </c>
      <c r="F81" s="134">
        <v>39.0</v>
      </c>
      <c r="G81" s="208" t="s">
        <v>339</v>
      </c>
      <c r="H81" s="208" t="s">
        <v>340</v>
      </c>
      <c r="I81" s="134">
        <v>9.162662199E9</v>
      </c>
      <c r="J81" s="54">
        <v>28.0</v>
      </c>
      <c r="K81" s="55">
        <v>21.0</v>
      </c>
      <c r="L81" s="55">
        <v>4.0</v>
      </c>
      <c r="M81" s="55">
        <v>2.0</v>
      </c>
      <c r="N81" s="43">
        <f t="shared" si="4"/>
        <v>6</v>
      </c>
      <c r="O81" s="55">
        <v>4.0</v>
      </c>
      <c r="P81" s="55">
        <v>1.0</v>
      </c>
      <c r="Q81" s="43">
        <f t="shared" si="2"/>
        <v>11</v>
      </c>
      <c r="R81" s="43"/>
      <c r="S81" s="43"/>
      <c r="T81" s="43"/>
      <c r="U81" s="43"/>
      <c r="V81" s="43"/>
      <c r="W81" s="425" t="s">
        <v>46</v>
      </c>
      <c r="X81" s="426"/>
      <c r="Y81" s="426"/>
      <c r="Z81" s="61"/>
      <c r="AA81" s="61"/>
      <c r="AB81" s="66"/>
      <c r="AC81" s="34"/>
      <c r="AD81" s="34"/>
    </row>
    <row r="82" ht="13.5" customHeight="1">
      <c r="A82" s="28">
        <v>76.0</v>
      </c>
      <c r="B82" s="257" t="s">
        <v>2188</v>
      </c>
      <c r="C82" s="257" t="s">
        <v>5262</v>
      </c>
      <c r="D82" s="257" t="s">
        <v>2377</v>
      </c>
      <c r="E82" s="133" t="s">
        <v>338</v>
      </c>
      <c r="F82" s="208">
        <v>37.0</v>
      </c>
      <c r="G82" s="208" t="s">
        <v>339</v>
      </c>
      <c r="H82" s="208" t="s">
        <v>839</v>
      </c>
      <c r="I82" s="208" t="s">
        <v>5263</v>
      </c>
      <c r="J82" s="54">
        <v>25.0</v>
      </c>
      <c r="K82" s="55">
        <v>17.0</v>
      </c>
      <c r="L82" s="55">
        <v>0.0</v>
      </c>
      <c r="M82" s="55">
        <v>5.0</v>
      </c>
      <c r="N82" s="43">
        <f t="shared" si="4"/>
        <v>5</v>
      </c>
      <c r="O82" s="55">
        <v>3.0</v>
      </c>
      <c r="P82" s="55">
        <v>3.0</v>
      </c>
      <c r="Q82" s="43">
        <f t="shared" si="2"/>
        <v>11</v>
      </c>
      <c r="R82" s="43"/>
      <c r="S82" s="43"/>
      <c r="T82" s="43"/>
      <c r="U82" s="43"/>
      <c r="V82" s="43"/>
      <c r="W82" s="56" t="s">
        <v>46</v>
      </c>
      <c r="Z82" s="61"/>
      <c r="AA82" s="61"/>
      <c r="AB82" s="66"/>
      <c r="AC82" s="34"/>
      <c r="AD82" s="34"/>
    </row>
    <row r="83" ht="13.5" customHeight="1">
      <c r="A83" s="28">
        <v>77.0</v>
      </c>
      <c r="B83" s="257" t="s">
        <v>5264</v>
      </c>
      <c r="C83" s="37" t="s">
        <v>5265</v>
      </c>
      <c r="D83" s="37" t="s">
        <v>5264</v>
      </c>
      <c r="E83" s="133" t="s">
        <v>338</v>
      </c>
      <c r="F83" s="134">
        <v>41.0</v>
      </c>
      <c r="G83" s="134" t="s">
        <v>339</v>
      </c>
      <c r="H83" s="134" t="s">
        <v>839</v>
      </c>
      <c r="I83" s="134">
        <v>9.672354389E9</v>
      </c>
      <c r="J83" s="54">
        <v>32.0</v>
      </c>
      <c r="K83" s="55">
        <v>30.0</v>
      </c>
      <c r="L83" s="55">
        <v>0.0</v>
      </c>
      <c r="M83" s="55">
        <v>0.0</v>
      </c>
      <c r="N83" s="43">
        <f t="shared" si="4"/>
        <v>0</v>
      </c>
      <c r="O83" s="55">
        <v>0.0</v>
      </c>
      <c r="P83" s="55">
        <v>2.0</v>
      </c>
      <c r="Q83" s="43">
        <f t="shared" si="2"/>
        <v>2</v>
      </c>
      <c r="R83" s="43"/>
      <c r="S83" s="43"/>
      <c r="T83" s="43"/>
      <c r="U83" s="43"/>
      <c r="V83" s="43"/>
      <c r="W83" s="56" t="s">
        <v>46</v>
      </c>
      <c r="Z83" s="61"/>
      <c r="AA83" s="61"/>
      <c r="AB83" s="66"/>
      <c r="AC83" s="34"/>
      <c r="AD83" s="34"/>
    </row>
    <row r="84" ht="13.5" customHeight="1">
      <c r="A84" s="28">
        <v>78.0</v>
      </c>
      <c r="B84" s="37" t="s">
        <v>5266</v>
      </c>
      <c r="C84" s="37" t="s">
        <v>5267</v>
      </c>
      <c r="D84" s="37" t="s">
        <v>1098</v>
      </c>
      <c r="E84" s="133" t="s">
        <v>338</v>
      </c>
      <c r="F84" s="134">
        <v>44.0</v>
      </c>
      <c r="G84" s="134" t="s">
        <v>385</v>
      </c>
      <c r="H84" s="134" t="s">
        <v>368</v>
      </c>
      <c r="I84" s="134">
        <v>9.156773366E9</v>
      </c>
      <c r="J84" s="54">
        <v>28.0</v>
      </c>
      <c r="K84" s="55">
        <v>19.0</v>
      </c>
      <c r="L84" s="55">
        <v>0.0</v>
      </c>
      <c r="M84" s="55">
        <v>7.0</v>
      </c>
      <c r="N84" s="43">
        <f t="shared" si="4"/>
        <v>7</v>
      </c>
      <c r="O84" s="55">
        <v>4.0</v>
      </c>
      <c r="P84" s="55">
        <v>2.0</v>
      </c>
      <c r="Q84" s="43">
        <f t="shared" si="2"/>
        <v>13</v>
      </c>
      <c r="R84" s="43"/>
      <c r="S84" s="43"/>
      <c r="T84" s="43"/>
      <c r="U84" s="43"/>
      <c r="V84" s="43"/>
      <c r="W84" s="56" t="s">
        <v>46</v>
      </c>
      <c r="Z84" s="61"/>
      <c r="AA84" s="61"/>
      <c r="AB84" s="66"/>
      <c r="AC84" s="34"/>
      <c r="AD84" s="34"/>
    </row>
    <row r="85" ht="13.5" customHeight="1">
      <c r="A85" s="28">
        <v>79.0</v>
      </c>
      <c r="B85" s="37" t="s">
        <v>2387</v>
      </c>
      <c r="C85" s="37" t="s">
        <v>1028</v>
      </c>
      <c r="D85" s="37" t="s">
        <v>5268</v>
      </c>
      <c r="E85" s="133" t="s">
        <v>338</v>
      </c>
      <c r="F85" s="134">
        <v>28.0</v>
      </c>
      <c r="G85" s="134" t="s">
        <v>339</v>
      </c>
      <c r="H85" s="134" t="s">
        <v>340</v>
      </c>
      <c r="I85" s="134">
        <v>9.940280364E9</v>
      </c>
      <c r="J85" s="54">
        <v>30.0</v>
      </c>
      <c r="K85" s="55">
        <v>27.0</v>
      </c>
      <c r="L85" s="55">
        <v>0.0</v>
      </c>
      <c r="M85" s="55">
        <v>3.0</v>
      </c>
      <c r="N85" s="43">
        <f t="shared" si="4"/>
        <v>3</v>
      </c>
      <c r="O85" s="55">
        <v>2.0</v>
      </c>
      <c r="P85" s="55">
        <v>0.0</v>
      </c>
      <c r="Q85" s="43">
        <f t="shared" si="2"/>
        <v>5</v>
      </c>
      <c r="R85" s="43"/>
      <c r="S85" s="43"/>
      <c r="T85" s="43"/>
      <c r="U85" s="43"/>
      <c r="V85" s="43"/>
      <c r="W85" s="56" t="s">
        <v>46</v>
      </c>
      <c r="Z85" s="61"/>
      <c r="AA85" s="61"/>
      <c r="AB85" s="66"/>
      <c r="AC85" s="34"/>
      <c r="AD85" s="34"/>
    </row>
    <row r="86" ht="13.5" customHeight="1">
      <c r="A86" s="28">
        <v>80.0</v>
      </c>
      <c r="B86" s="257" t="s">
        <v>2832</v>
      </c>
      <c r="C86" s="257" t="s">
        <v>5269</v>
      </c>
      <c r="D86" s="257" t="s">
        <v>5270</v>
      </c>
      <c r="E86" s="133" t="s">
        <v>338</v>
      </c>
      <c r="F86" s="134">
        <v>37.0</v>
      </c>
      <c r="G86" s="208" t="s">
        <v>339</v>
      </c>
      <c r="H86" s="208" t="s">
        <v>839</v>
      </c>
      <c r="I86" s="134">
        <v>9.753314805E9</v>
      </c>
      <c r="J86" s="54">
        <v>29.0</v>
      </c>
      <c r="K86" s="55">
        <v>24.0</v>
      </c>
      <c r="L86" s="55">
        <v>0.0</v>
      </c>
      <c r="M86" s="55">
        <v>0.0</v>
      </c>
      <c r="N86" s="43">
        <f t="shared" si="4"/>
        <v>0</v>
      </c>
      <c r="O86" s="55">
        <v>3.0</v>
      </c>
      <c r="P86" s="55">
        <v>5.0</v>
      </c>
      <c r="Q86" s="43">
        <f t="shared" si="2"/>
        <v>8</v>
      </c>
      <c r="R86" s="43"/>
      <c r="S86" s="43"/>
      <c r="T86" s="43"/>
      <c r="U86" s="43"/>
      <c r="V86" s="43"/>
      <c r="W86" s="56" t="s">
        <v>46</v>
      </c>
      <c r="Z86" s="61"/>
      <c r="AA86" s="61"/>
      <c r="AB86" s="66"/>
      <c r="AC86" s="34"/>
      <c r="AD86" s="34"/>
    </row>
    <row r="87" ht="13.5" customHeight="1">
      <c r="A87" s="28">
        <v>81.0</v>
      </c>
      <c r="B87" s="37" t="s">
        <v>929</v>
      </c>
      <c r="C87" s="37" t="s">
        <v>5271</v>
      </c>
      <c r="D87" s="37" t="s">
        <v>5272</v>
      </c>
      <c r="E87" s="133" t="s">
        <v>338</v>
      </c>
      <c r="F87" s="134">
        <v>38.0</v>
      </c>
      <c r="G87" s="134" t="s">
        <v>339</v>
      </c>
      <c r="H87" s="134" t="s">
        <v>833</v>
      </c>
      <c r="I87" s="134">
        <v>9.263584505E9</v>
      </c>
      <c r="J87" s="42"/>
      <c r="K87" s="43"/>
      <c r="L87" s="43"/>
      <c r="M87" s="43"/>
      <c r="N87" s="43">
        <f t="shared" si="4"/>
        <v>0</v>
      </c>
      <c r="O87" s="43"/>
      <c r="P87" s="43"/>
      <c r="Q87" s="43">
        <f t="shared" si="2"/>
        <v>0</v>
      </c>
      <c r="R87" s="43"/>
      <c r="S87" s="43"/>
      <c r="T87" s="43"/>
      <c r="U87" s="43"/>
      <c r="V87" s="43"/>
      <c r="W87" s="44"/>
      <c r="Z87" s="61"/>
      <c r="AA87" s="61"/>
      <c r="AB87" s="66"/>
      <c r="AC87" s="34"/>
      <c r="AD87" s="34"/>
    </row>
    <row r="88" ht="13.5" customHeight="1">
      <c r="A88" s="28">
        <v>82.0</v>
      </c>
      <c r="B88" s="37" t="s">
        <v>5273</v>
      </c>
      <c r="C88" s="37" t="s">
        <v>5274</v>
      </c>
      <c r="D88" s="37" t="s">
        <v>5275</v>
      </c>
      <c r="E88" s="133" t="s">
        <v>338</v>
      </c>
      <c r="F88" s="134">
        <v>30.0</v>
      </c>
      <c r="G88" s="208" t="s">
        <v>385</v>
      </c>
      <c r="H88" s="208" t="s">
        <v>839</v>
      </c>
      <c r="I88" s="208">
        <v>9.97841809E9</v>
      </c>
      <c r="J88" s="428">
        <v>30.0</v>
      </c>
      <c r="K88" s="429">
        <v>26.0</v>
      </c>
      <c r="L88" s="429">
        <v>0.0</v>
      </c>
      <c r="M88" s="429">
        <v>0.0</v>
      </c>
      <c r="N88" s="430">
        <f t="shared" si="4"/>
        <v>0</v>
      </c>
      <c r="O88" s="429">
        <v>2.0</v>
      </c>
      <c r="P88" s="429">
        <v>4.0</v>
      </c>
      <c r="Q88" s="430">
        <f t="shared" si="2"/>
        <v>6</v>
      </c>
      <c r="R88" s="430"/>
      <c r="S88" s="429" t="s">
        <v>277</v>
      </c>
      <c r="T88" s="430"/>
      <c r="U88" s="430"/>
      <c r="V88" s="430"/>
      <c r="W88" s="56" t="s">
        <v>46</v>
      </c>
      <c r="X88" s="426"/>
      <c r="Y88" s="426"/>
      <c r="Z88" s="61"/>
      <c r="AA88" s="61"/>
      <c r="AB88" s="66"/>
      <c r="AC88" s="34"/>
      <c r="AD88" s="34"/>
    </row>
    <row r="89" ht="13.5" customHeight="1">
      <c r="A89" s="28">
        <v>83.0</v>
      </c>
      <c r="B89" s="37" t="s">
        <v>5276</v>
      </c>
      <c r="C89" s="37" t="s">
        <v>5277</v>
      </c>
      <c r="D89" s="37" t="s">
        <v>5278</v>
      </c>
      <c r="E89" s="133" t="s">
        <v>338</v>
      </c>
      <c r="F89" s="134">
        <v>49.0</v>
      </c>
      <c r="G89" s="134" t="s">
        <v>339</v>
      </c>
      <c r="H89" s="134" t="s">
        <v>839</v>
      </c>
      <c r="I89" s="134">
        <v>9.171601915E9</v>
      </c>
      <c r="J89" s="54">
        <v>28.0</v>
      </c>
      <c r="K89" s="55">
        <v>20.0</v>
      </c>
      <c r="L89" s="55">
        <v>0.0</v>
      </c>
      <c r="M89" s="55">
        <v>1.0</v>
      </c>
      <c r="N89" s="43">
        <f t="shared" si="4"/>
        <v>1</v>
      </c>
      <c r="O89" s="55">
        <v>4.0</v>
      </c>
      <c r="P89" s="55">
        <v>7.0</v>
      </c>
      <c r="Q89" s="43">
        <f t="shared" si="2"/>
        <v>12</v>
      </c>
      <c r="R89" s="43"/>
      <c r="S89" s="43"/>
      <c r="T89" s="43"/>
      <c r="U89" s="43"/>
      <c r="V89" s="43"/>
      <c r="W89" s="56" t="s">
        <v>46</v>
      </c>
      <c r="Z89" s="61"/>
      <c r="AA89" s="61"/>
      <c r="AB89" s="66"/>
      <c r="AC89" s="34"/>
      <c r="AD89" s="34"/>
    </row>
    <row r="90" ht="13.5" customHeight="1">
      <c r="A90" s="28">
        <v>84.0</v>
      </c>
      <c r="B90" s="37" t="s">
        <v>5279</v>
      </c>
      <c r="C90" s="37" t="s">
        <v>5280</v>
      </c>
      <c r="D90" s="37" t="s">
        <v>44</v>
      </c>
      <c r="E90" s="133" t="s">
        <v>338</v>
      </c>
      <c r="F90" s="134">
        <v>36.0</v>
      </c>
      <c r="G90" s="134" t="s">
        <v>385</v>
      </c>
      <c r="H90" s="134" t="s">
        <v>340</v>
      </c>
      <c r="I90" s="134">
        <v>9.655829617E9</v>
      </c>
      <c r="J90" s="42"/>
      <c r="K90" s="43"/>
      <c r="L90" s="43"/>
      <c r="M90" s="43"/>
      <c r="N90" s="43">
        <f t="shared" si="4"/>
        <v>0</v>
      </c>
      <c r="O90" s="43"/>
      <c r="P90" s="43"/>
      <c r="Q90" s="43">
        <f t="shared" si="2"/>
        <v>0</v>
      </c>
      <c r="R90" s="43"/>
      <c r="S90" s="43"/>
      <c r="T90" s="43"/>
      <c r="U90" s="43"/>
      <c r="V90" s="43"/>
      <c r="W90" s="44"/>
      <c r="Z90" s="61"/>
      <c r="AA90" s="61"/>
      <c r="AB90" s="66"/>
      <c r="AC90" s="34"/>
      <c r="AD90" s="34"/>
    </row>
    <row r="91" ht="13.5" customHeight="1">
      <c r="A91" s="28">
        <v>85.0</v>
      </c>
      <c r="B91" s="37" t="s">
        <v>5279</v>
      </c>
      <c r="C91" s="37" t="s">
        <v>5281</v>
      </c>
      <c r="D91" s="37" t="s">
        <v>1741</v>
      </c>
      <c r="E91" s="133" t="s">
        <v>338</v>
      </c>
      <c r="F91" s="134">
        <v>36.0</v>
      </c>
      <c r="G91" s="134" t="s">
        <v>339</v>
      </c>
      <c r="H91" s="134" t="s">
        <v>340</v>
      </c>
      <c r="I91" s="134">
        <v>9.061746337E9</v>
      </c>
      <c r="J91" s="54">
        <v>25.0</v>
      </c>
      <c r="K91" s="55">
        <v>15.0</v>
      </c>
      <c r="L91" s="55">
        <v>0.0</v>
      </c>
      <c r="M91" s="55">
        <v>9.0</v>
      </c>
      <c r="N91" s="43">
        <f t="shared" si="4"/>
        <v>9</v>
      </c>
      <c r="O91" s="55">
        <v>7.0</v>
      </c>
      <c r="P91" s="55">
        <v>1.0</v>
      </c>
      <c r="Q91" s="43">
        <f t="shared" si="2"/>
        <v>17</v>
      </c>
      <c r="R91" s="43"/>
      <c r="S91" s="43"/>
      <c r="T91" s="43"/>
      <c r="U91" s="43"/>
      <c r="V91" s="55" t="s">
        <v>5282</v>
      </c>
      <c r="W91" s="56" t="s">
        <v>46</v>
      </c>
      <c r="Z91" s="61"/>
      <c r="AA91" s="61"/>
      <c r="AB91" s="66"/>
      <c r="AC91" s="34"/>
      <c r="AD91" s="34"/>
    </row>
    <row r="92" ht="13.5" customHeight="1">
      <c r="A92" s="28">
        <v>86.0</v>
      </c>
      <c r="B92" s="37" t="s">
        <v>5283</v>
      </c>
      <c r="C92" s="37" t="s">
        <v>5284</v>
      </c>
      <c r="D92" s="37" t="s">
        <v>5285</v>
      </c>
      <c r="E92" s="133" t="s">
        <v>338</v>
      </c>
      <c r="F92" s="134">
        <v>33.0</v>
      </c>
      <c r="G92" s="134" t="s">
        <v>385</v>
      </c>
      <c r="H92" s="208" t="s">
        <v>839</v>
      </c>
      <c r="I92" s="134">
        <v>9.271194001E9</v>
      </c>
      <c r="J92" s="54">
        <v>27.0</v>
      </c>
      <c r="K92" s="55">
        <v>21.0</v>
      </c>
      <c r="L92" s="55">
        <v>0.0</v>
      </c>
      <c r="M92" s="55">
        <v>0.0</v>
      </c>
      <c r="N92" s="43">
        <f t="shared" si="4"/>
        <v>0</v>
      </c>
      <c r="O92" s="55">
        <v>5.0</v>
      </c>
      <c r="P92" s="55">
        <v>6.0</v>
      </c>
      <c r="Q92" s="43">
        <f t="shared" si="2"/>
        <v>11</v>
      </c>
      <c r="R92" s="43"/>
      <c r="S92" s="43"/>
      <c r="T92" s="43"/>
      <c r="U92" s="43"/>
      <c r="V92" s="55" t="s">
        <v>5286</v>
      </c>
      <c r="W92" s="56" t="s">
        <v>46</v>
      </c>
      <c r="Z92" s="61"/>
      <c r="AA92" s="61"/>
      <c r="AB92" s="66"/>
      <c r="AC92" s="34"/>
      <c r="AD92" s="34"/>
    </row>
    <row r="93" ht="13.5" customHeight="1">
      <c r="A93" s="28">
        <v>87.0</v>
      </c>
      <c r="B93" s="37" t="s">
        <v>1424</v>
      </c>
      <c r="C93" s="37" t="s">
        <v>5287</v>
      </c>
      <c r="D93" s="37" t="s">
        <v>5288</v>
      </c>
      <c r="E93" s="133" t="s">
        <v>338</v>
      </c>
      <c r="F93" s="134">
        <v>46.0</v>
      </c>
      <c r="G93" s="134" t="s">
        <v>385</v>
      </c>
      <c r="H93" s="134" t="s">
        <v>5181</v>
      </c>
      <c r="I93" s="134">
        <v>9.489144711E9</v>
      </c>
      <c r="J93" s="54">
        <v>27.0</v>
      </c>
      <c r="K93" s="55">
        <v>22.0</v>
      </c>
      <c r="L93" s="55">
        <v>0.0</v>
      </c>
      <c r="M93" s="55">
        <v>2.0</v>
      </c>
      <c r="N93" s="43">
        <f t="shared" si="4"/>
        <v>2</v>
      </c>
      <c r="O93" s="55">
        <v>3.0</v>
      </c>
      <c r="P93" s="55">
        <v>3.0</v>
      </c>
      <c r="Q93" s="43">
        <f t="shared" si="2"/>
        <v>8</v>
      </c>
      <c r="R93" s="43"/>
      <c r="S93" s="43"/>
      <c r="T93" s="43"/>
      <c r="U93" s="43"/>
      <c r="V93" s="43"/>
      <c r="W93" s="56" t="s">
        <v>46</v>
      </c>
      <c r="Z93" s="61"/>
      <c r="AA93" s="61"/>
      <c r="AB93" s="66"/>
      <c r="AC93" s="34"/>
      <c r="AD93" s="34"/>
    </row>
    <row r="94" ht="13.5" customHeight="1">
      <c r="A94" s="28">
        <v>88.0</v>
      </c>
      <c r="B94" s="37" t="s">
        <v>5289</v>
      </c>
      <c r="C94" s="37" t="s">
        <v>5290</v>
      </c>
      <c r="D94" s="37" t="s">
        <v>5291</v>
      </c>
      <c r="E94" s="133" t="s">
        <v>338</v>
      </c>
      <c r="F94" s="134">
        <v>40.0</v>
      </c>
      <c r="G94" s="134" t="s">
        <v>339</v>
      </c>
      <c r="H94" s="134" t="s">
        <v>839</v>
      </c>
      <c r="I94" s="134">
        <v>9.162975061E9</v>
      </c>
      <c r="J94" s="54">
        <v>28.0</v>
      </c>
      <c r="K94" s="55">
        <v>25.0</v>
      </c>
      <c r="L94" s="55">
        <v>0.0</v>
      </c>
      <c r="M94" s="55">
        <v>0.0</v>
      </c>
      <c r="N94" s="43">
        <f t="shared" si="4"/>
        <v>0</v>
      </c>
      <c r="O94" s="55">
        <v>4.0</v>
      </c>
      <c r="P94" s="55">
        <v>3.0</v>
      </c>
      <c r="Q94" s="43">
        <f t="shared" si="2"/>
        <v>7</v>
      </c>
      <c r="R94" s="43"/>
      <c r="S94" s="43"/>
      <c r="T94" s="43"/>
      <c r="U94" s="43"/>
      <c r="V94" s="43"/>
      <c r="W94" s="56" t="s">
        <v>46</v>
      </c>
      <c r="Z94" s="61"/>
      <c r="AA94" s="61"/>
      <c r="AB94" s="66"/>
      <c r="AC94" s="34"/>
      <c r="AD94" s="34"/>
    </row>
    <row r="95" ht="13.5" customHeight="1">
      <c r="A95" s="28">
        <v>89.0</v>
      </c>
      <c r="B95" s="37" t="s">
        <v>5292</v>
      </c>
      <c r="C95" s="37" t="s">
        <v>1548</v>
      </c>
      <c r="D95" s="37" t="s">
        <v>5293</v>
      </c>
      <c r="E95" s="133" t="s">
        <v>338</v>
      </c>
      <c r="F95" s="134">
        <v>54.0</v>
      </c>
      <c r="G95" s="134" t="s">
        <v>339</v>
      </c>
      <c r="H95" s="134" t="s">
        <v>833</v>
      </c>
      <c r="I95" s="134">
        <v>9.760015344E9</v>
      </c>
      <c r="J95" s="54">
        <v>29.0</v>
      </c>
      <c r="K95" s="55">
        <v>27.0</v>
      </c>
      <c r="L95" s="55">
        <v>0.0</v>
      </c>
      <c r="M95" s="55">
        <v>1.0</v>
      </c>
      <c r="N95" s="43">
        <f t="shared" si="4"/>
        <v>1</v>
      </c>
      <c r="O95" s="55">
        <v>3.0</v>
      </c>
      <c r="P95" s="55">
        <v>1.0</v>
      </c>
      <c r="Q95" s="43">
        <f t="shared" si="2"/>
        <v>5</v>
      </c>
      <c r="R95" s="43"/>
      <c r="S95" s="43"/>
      <c r="T95" s="43"/>
      <c r="U95" s="43"/>
      <c r="V95" s="43"/>
      <c r="W95" s="56" t="s">
        <v>46</v>
      </c>
      <c r="Z95" s="61"/>
      <c r="AA95" s="61"/>
      <c r="AB95" s="66"/>
      <c r="AC95" s="34"/>
      <c r="AD95" s="34"/>
    </row>
    <row r="96" ht="13.5" customHeight="1">
      <c r="A96" s="28">
        <v>90.0</v>
      </c>
      <c r="B96" s="37" t="s">
        <v>5294</v>
      </c>
      <c r="C96" s="37" t="s">
        <v>1193</v>
      </c>
      <c r="D96" s="37" t="s">
        <v>5295</v>
      </c>
      <c r="E96" s="133" t="s">
        <v>338</v>
      </c>
      <c r="F96" s="208">
        <v>36.0</v>
      </c>
      <c r="G96" s="208" t="s">
        <v>339</v>
      </c>
      <c r="H96" s="208" t="s">
        <v>839</v>
      </c>
      <c r="I96" s="208">
        <v>9.662160683E9</v>
      </c>
      <c r="J96" s="54">
        <v>26.0</v>
      </c>
      <c r="K96" s="55">
        <v>21.0</v>
      </c>
      <c r="L96" s="55">
        <v>0.0</v>
      </c>
      <c r="M96" s="55">
        <v>0.0</v>
      </c>
      <c r="N96" s="43">
        <f t="shared" si="4"/>
        <v>0</v>
      </c>
      <c r="O96" s="55">
        <v>6.0</v>
      </c>
      <c r="P96" s="55">
        <v>5.0</v>
      </c>
      <c r="Q96" s="43">
        <f t="shared" si="2"/>
        <v>11</v>
      </c>
      <c r="R96" s="43"/>
      <c r="S96" s="55" t="s">
        <v>277</v>
      </c>
      <c r="T96" s="43"/>
      <c r="U96" s="43"/>
      <c r="V96" s="43"/>
      <c r="W96" s="56" t="s">
        <v>46</v>
      </c>
      <c r="Z96" s="61"/>
      <c r="AA96" s="61"/>
      <c r="AB96" s="66"/>
      <c r="AC96" s="34"/>
      <c r="AD96" s="34"/>
    </row>
    <row r="97" ht="13.5" customHeight="1">
      <c r="A97" s="28">
        <v>91.0</v>
      </c>
      <c r="B97" s="37" t="s">
        <v>5296</v>
      </c>
      <c r="C97" s="37" t="s">
        <v>5297</v>
      </c>
      <c r="D97" s="37" t="s">
        <v>1132</v>
      </c>
      <c r="E97" s="133" t="s">
        <v>338</v>
      </c>
      <c r="F97" s="134">
        <v>47.0</v>
      </c>
      <c r="G97" s="134" t="s">
        <v>339</v>
      </c>
      <c r="H97" s="134" t="s">
        <v>4363</v>
      </c>
      <c r="I97" s="134">
        <v>9.53309331E9</v>
      </c>
      <c r="J97" s="54">
        <v>23.0</v>
      </c>
      <c r="K97" s="55">
        <v>17.0</v>
      </c>
      <c r="L97" s="55">
        <v>0.0</v>
      </c>
      <c r="M97" s="55">
        <v>4.0</v>
      </c>
      <c r="N97" s="43">
        <f t="shared" si="4"/>
        <v>4</v>
      </c>
      <c r="O97" s="55">
        <v>7.0</v>
      </c>
      <c r="P97" s="55">
        <v>3.0</v>
      </c>
      <c r="Q97" s="43">
        <f t="shared" si="2"/>
        <v>14</v>
      </c>
      <c r="R97" s="43"/>
      <c r="S97" s="43"/>
      <c r="T97" s="43"/>
      <c r="U97" s="43"/>
      <c r="V97" s="43"/>
      <c r="W97" s="56" t="s">
        <v>46</v>
      </c>
      <c r="Z97" s="61"/>
      <c r="AA97" s="61"/>
      <c r="AB97" s="66"/>
      <c r="AC97" s="34"/>
      <c r="AD97" s="34"/>
    </row>
    <row r="98" ht="13.5" customHeight="1">
      <c r="A98" s="28">
        <v>92.0</v>
      </c>
      <c r="B98" s="37" t="s">
        <v>3945</v>
      </c>
      <c r="C98" s="37" t="s">
        <v>1193</v>
      </c>
      <c r="D98" s="37" t="s">
        <v>5298</v>
      </c>
      <c r="E98" s="133" t="s">
        <v>338</v>
      </c>
      <c r="F98" s="134">
        <v>44.0</v>
      </c>
      <c r="G98" s="134" t="s">
        <v>339</v>
      </c>
      <c r="H98" s="134" t="s">
        <v>340</v>
      </c>
      <c r="I98" s="134">
        <v>9.772343485E9</v>
      </c>
      <c r="J98" s="54">
        <v>21.0</v>
      </c>
      <c r="K98" s="55">
        <v>14.0</v>
      </c>
      <c r="L98" s="55">
        <v>2.0</v>
      </c>
      <c r="M98" s="55">
        <v>1.0</v>
      </c>
      <c r="N98" s="43">
        <f t="shared" si="4"/>
        <v>3</v>
      </c>
      <c r="O98" s="55">
        <v>12.0</v>
      </c>
      <c r="P98" s="55">
        <v>3.0</v>
      </c>
      <c r="Q98" s="43">
        <f t="shared" si="2"/>
        <v>18</v>
      </c>
      <c r="R98" s="43"/>
      <c r="S98" s="43"/>
      <c r="T98" s="43"/>
      <c r="U98" s="43"/>
      <c r="V98" s="43"/>
      <c r="W98" s="56" t="s">
        <v>46</v>
      </c>
      <c r="Z98" s="61"/>
      <c r="AA98" s="61"/>
      <c r="AB98" s="66"/>
      <c r="AC98" s="34"/>
      <c r="AD98" s="34"/>
    </row>
    <row r="99" ht="13.5" customHeight="1">
      <c r="A99" s="28">
        <v>93.0</v>
      </c>
      <c r="B99" s="37" t="s">
        <v>5299</v>
      </c>
      <c r="C99" s="37" t="s">
        <v>5300</v>
      </c>
      <c r="D99" s="37" t="s">
        <v>5301</v>
      </c>
      <c r="E99" s="133" t="s">
        <v>338</v>
      </c>
      <c r="F99" s="134">
        <v>33.0</v>
      </c>
      <c r="G99" s="134" t="s">
        <v>339</v>
      </c>
      <c r="H99" s="134" t="s">
        <v>340</v>
      </c>
      <c r="I99" s="134">
        <v>9.306740477E9</v>
      </c>
      <c r="J99" s="54">
        <v>28.0</v>
      </c>
      <c r="K99" s="55">
        <v>23.0</v>
      </c>
      <c r="L99" s="55">
        <v>0.0</v>
      </c>
      <c r="M99" s="55">
        <v>0.0</v>
      </c>
      <c r="N99" s="43">
        <f t="shared" si="4"/>
        <v>0</v>
      </c>
      <c r="O99" s="55">
        <v>4.0</v>
      </c>
      <c r="P99" s="55">
        <v>5.0</v>
      </c>
      <c r="Q99" s="43">
        <f t="shared" si="2"/>
        <v>9</v>
      </c>
      <c r="R99" s="43"/>
      <c r="S99" s="43"/>
      <c r="T99" s="43"/>
      <c r="U99" s="43"/>
      <c r="V99" s="43"/>
      <c r="W99" s="56" t="s">
        <v>46</v>
      </c>
      <c r="Z99" s="61"/>
      <c r="AA99" s="61"/>
      <c r="AB99" s="66"/>
      <c r="AC99" s="34"/>
      <c r="AD99" s="34"/>
    </row>
    <row r="100" ht="13.5" customHeight="1">
      <c r="A100" s="28">
        <v>94.0</v>
      </c>
      <c r="B100" s="257" t="s">
        <v>5302</v>
      </c>
      <c r="C100" s="257" t="s">
        <v>76</v>
      </c>
      <c r="D100" s="37" t="s">
        <v>5303</v>
      </c>
      <c r="E100" s="133" t="s">
        <v>338</v>
      </c>
      <c r="F100" s="134">
        <v>46.0</v>
      </c>
      <c r="G100" s="134" t="s">
        <v>339</v>
      </c>
      <c r="H100" s="134" t="s">
        <v>833</v>
      </c>
      <c r="I100" s="134">
        <v>9.33542682E9</v>
      </c>
      <c r="J100" s="54">
        <v>30.0</v>
      </c>
      <c r="K100" s="55">
        <v>21.0</v>
      </c>
      <c r="L100" s="55">
        <v>0.0</v>
      </c>
      <c r="M100" s="55">
        <v>3.0</v>
      </c>
      <c r="N100" s="43">
        <f t="shared" si="4"/>
        <v>3</v>
      </c>
      <c r="O100" s="55">
        <v>2.0</v>
      </c>
      <c r="P100" s="55">
        <v>6.0</v>
      </c>
      <c r="Q100" s="43">
        <f t="shared" si="2"/>
        <v>11</v>
      </c>
      <c r="R100" s="43"/>
      <c r="S100" s="43"/>
      <c r="T100" s="43"/>
      <c r="U100" s="43"/>
      <c r="V100" s="43"/>
      <c r="W100" s="56" t="s">
        <v>46</v>
      </c>
      <c r="Z100" s="61"/>
      <c r="AA100" s="61"/>
      <c r="AB100" s="66"/>
      <c r="AC100" s="34"/>
      <c r="AD100" s="34"/>
    </row>
    <row r="101" ht="13.5" customHeight="1">
      <c r="A101" s="424">
        <v>95.0</v>
      </c>
      <c r="B101" s="37" t="s">
        <v>973</v>
      </c>
      <c r="C101" s="37" t="s">
        <v>5304</v>
      </c>
      <c r="D101" s="37" t="s">
        <v>981</v>
      </c>
      <c r="E101" s="133" t="s">
        <v>338</v>
      </c>
      <c r="F101" s="134">
        <v>29.0</v>
      </c>
      <c r="G101" s="134" t="s">
        <v>385</v>
      </c>
      <c r="H101" s="134" t="s">
        <v>839</v>
      </c>
      <c r="I101" s="134">
        <v>9.912778018E9</v>
      </c>
      <c r="J101" s="54">
        <v>31.0</v>
      </c>
      <c r="K101" s="55">
        <v>29.0</v>
      </c>
      <c r="L101" s="55">
        <v>0.0</v>
      </c>
      <c r="M101" s="55">
        <v>2.0</v>
      </c>
      <c r="N101" s="43">
        <f t="shared" si="4"/>
        <v>2</v>
      </c>
      <c r="O101" s="55">
        <v>0.0</v>
      </c>
      <c r="P101" s="55">
        <v>0.0</v>
      </c>
      <c r="Q101" s="43">
        <f t="shared" si="2"/>
        <v>2</v>
      </c>
      <c r="R101" s="43"/>
      <c r="S101" s="43"/>
      <c r="T101" s="43"/>
      <c r="U101" s="43"/>
      <c r="V101" s="43"/>
      <c r="W101" s="425" t="s">
        <v>46</v>
      </c>
      <c r="X101" s="426"/>
      <c r="Y101" s="426"/>
      <c r="Z101" s="61"/>
      <c r="AA101" s="61"/>
      <c r="AB101" s="66"/>
      <c r="AC101" s="34"/>
      <c r="AD101" s="34"/>
    </row>
    <row r="102" ht="13.5" customHeight="1">
      <c r="A102" s="28">
        <v>96.0</v>
      </c>
      <c r="B102" s="37" t="s">
        <v>5305</v>
      </c>
      <c r="C102" s="37" t="s">
        <v>5306</v>
      </c>
      <c r="D102" s="37" t="s">
        <v>5307</v>
      </c>
      <c r="E102" s="133" t="s">
        <v>338</v>
      </c>
      <c r="F102" s="134">
        <v>30.0</v>
      </c>
      <c r="G102" s="134" t="s">
        <v>339</v>
      </c>
      <c r="H102" s="134" t="s">
        <v>833</v>
      </c>
      <c r="I102" s="134">
        <v>9.554668929E9</v>
      </c>
      <c r="J102" s="54">
        <v>27.0</v>
      </c>
      <c r="K102" s="55">
        <v>17.0</v>
      </c>
      <c r="L102" s="55">
        <v>0.0</v>
      </c>
      <c r="M102" s="55">
        <v>3.0</v>
      </c>
      <c r="N102" s="43">
        <f t="shared" si="4"/>
        <v>3</v>
      </c>
      <c r="O102" s="55">
        <v>5.0</v>
      </c>
      <c r="P102" s="55">
        <v>7.0</v>
      </c>
      <c r="Q102" s="43">
        <f t="shared" si="2"/>
        <v>15</v>
      </c>
      <c r="R102" s="43"/>
      <c r="S102" s="43"/>
      <c r="T102" s="43"/>
      <c r="U102" s="43"/>
      <c r="V102" s="43"/>
      <c r="W102" s="56" t="s">
        <v>46</v>
      </c>
      <c r="X102" s="138"/>
      <c r="Z102" s="61"/>
      <c r="AA102" s="61"/>
      <c r="AB102" s="66"/>
      <c r="AC102" s="34"/>
      <c r="AD102" s="34"/>
    </row>
    <row r="103" ht="13.5" customHeight="1">
      <c r="A103" s="28">
        <v>97.0</v>
      </c>
      <c r="B103" s="37" t="s">
        <v>5308</v>
      </c>
      <c r="C103" s="37" t="s">
        <v>4847</v>
      </c>
      <c r="D103" s="37" t="s">
        <v>5309</v>
      </c>
      <c r="E103" s="133" t="s">
        <v>338</v>
      </c>
      <c r="F103" s="134">
        <v>39.0</v>
      </c>
      <c r="G103" s="134" t="s">
        <v>385</v>
      </c>
      <c r="H103" s="134" t="s">
        <v>839</v>
      </c>
      <c r="I103" s="134">
        <v>9.156893572E9</v>
      </c>
      <c r="J103" s="54">
        <v>27.0</v>
      </c>
      <c r="K103" s="55">
        <v>16.0</v>
      </c>
      <c r="L103" s="55">
        <v>1.0</v>
      </c>
      <c r="M103" s="55">
        <v>8.0</v>
      </c>
      <c r="N103" s="43">
        <f t="shared" si="4"/>
        <v>9</v>
      </c>
      <c r="O103" s="55">
        <v>5.0</v>
      </c>
      <c r="P103" s="55">
        <v>2.0</v>
      </c>
      <c r="Q103" s="43">
        <f t="shared" si="2"/>
        <v>16</v>
      </c>
      <c r="R103" s="43"/>
      <c r="S103" s="43"/>
      <c r="T103" s="43"/>
      <c r="U103" s="43"/>
      <c r="V103" s="43"/>
      <c r="W103" s="56" t="s">
        <v>46</v>
      </c>
      <c r="Z103" s="61"/>
      <c r="AA103" s="61"/>
      <c r="AB103" s="66"/>
      <c r="AC103" s="34"/>
      <c r="AD103" s="34"/>
    </row>
    <row r="104" ht="13.5" customHeight="1">
      <c r="A104" s="28">
        <v>98.0</v>
      </c>
      <c r="B104" s="37" t="s">
        <v>5310</v>
      </c>
      <c r="C104" s="37" t="s">
        <v>1544</v>
      </c>
      <c r="D104" s="37" t="s">
        <v>5311</v>
      </c>
      <c r="E104" s="133" t="s">
        <v>338</v>
      </c>
      <c r="F104" s="134">
        <v>37.0</v>
      </c>
      <c r="G104" s="134" t="s">
        <v>339</v>
      </c>
      <c r="H104" s="134" t="s">
        <v>839</v>
      </c>
      <c r="I104" s="134">
        <v>9.286857447E9</v>
      </c>
      <c r="J104" s="54">
        <v>20.0</v>
      </c>
      <c r="K104" s="55">
        <v>12.0</v>
      </c>
      <c r="L104" s="55">
        <v>0.0</v>
      </c>
      <c r="M104" s="55">
        <v>8.0</v>
      </c>
      <c r="N104" s="43">
        <f t="shared" si="4"/>
        <v>8</v>
      </c>
      <c r="O104" s="55">
        <v>12.0</v>
      </c>
      <c r="P104" s="55">
        <v>0.0</v>
      </c>
      <c r="Q104" s="43">
        <f t="shared" si="2"/>
        <v>20</v>
      </c>
      <c r="R104" s="43"/>
      <c r="S104" s="43"/>
      <c r="T104" s="43"/>
      <c r="U104" s="43"/>
      <c r="V104" s="43"/>
      <c r="W104" s="56" t="s">
        <v>46</v>
      </c>
      <c r="X104" s="138"/>
      <c r="Z104" s="61"/>
      <c r="AA104" s="61"/>
      <c r="AB104" s="66"/>
      <c r="AC104" s="34"/>
      <c r="AD104" s="34"/>
    </row>
    <row r="105" ht="13.5" customHeight="1">
      <c r="A105" s="424">
        <v>99.0</v>
      </c>
      <c r="B105" s="37" t="s">
        <v>5310</v>
      </c>
      <c r="C105" s="37" t="s">
        <v>5312</v>
      </c>
      <c r="D105" s="37" t="s">
        <v>5313</v>
      </c>
      <c r="E105" s="133" t="s">
        <v>338</v>
      </c>
      <c r="F105" s="134">
        <v>47.0</v>
      </c>
      <c r="G105" s="134" t="s">
        <v>385</v>
      </c>
      <c r="H105" s="134" t="s">
        <v>839</v>
      </c>
      <c r="I105" s="134">
        <v>9.275020553E9</v>
      </c>
      <c r="J105" s="54">
        <v>30.0</v>
      </c>
      <c r="K105" s="55">
        <v>28.0</v>
      </c>
      <c r="L105" s="55">
        <v>0.0</v>
      </c>
      <c r="M105" s="55">
        <v>2.0</v>
      </c>
      <c r="N105" s="43">
        <f t="shared" si="4"/>
        <v>2</v>
      </c>
      <c r="O105" s="55">
        <v>2.0</v>
      </c>
      <c r="P105" s="55">
        <v>0.0</v>
      </c>
      <c r="Q105" s="43">
        <f t="shared" si="2"/>
        <v>4</v>
      </c>
      <c r="R105" s="43"/>
      <c r="S105" s="43"/>
      <c r="T105" s="43"/>
      <c r="U105" s="43"/>
      <c r="V105" s="43"/>
      <c r="W105" s="425" t="s">
        <v>46</v>
      </c>
      <c r="X105" s="426"/>
      <c r="Y105" s="426"/>
      <c r="Z105" s="61"/>
      <c r="AA105" s="61"/>
      <c r="AB105" s="66"/>
      <c r="AC105" s="34"/>
      <c r="AD105" s="34"/>
    </row>
    <row r="106" ht="13.5" customHeight="1">
      <c r="A106" s="28">
        <v>100.0</v>
      </c>
      <c r="B106" s="37" t="s">
        <v>5314</v>
      </c>
      <c r="C106" s="37" t="s">
        <v>5315</v>
      </c>
      <c r="D106" s="37" t="s">
        <v>5316</v>
      </c>
      <c r="E106" s="133" t="s">
        <v>338</v>
      </c>
      <c r="F106" s="134">
        <v>40.0</v>
      </c>
      <c r="G106" s="134" t="s">
        <v>339</v>
      </c>
      <c r="H106" s="134" t="s">
        <v>839</v>
      </c>
      <c r="I106" s="134">
        <v>9.46335238E9</v>
      </c>
      <c r="J106" s="54">
        <v>26.0</v>
      </c>
      <c r="K106" s="55">
        <v>21.0</v>
      </c>
      <c r="L106" s="55">
        <v>0.0</v>
      </c>
      <c r="M106" s="55">
        <v>2.0</v>
      </c>
      <c r="N106" s="43">
        <f t="shared" si="4"/>
        <v>2</v>
      </c>
      <c r="O106" s="55">
        <v>6.0</v>
      </c>
      <c r="P106" s="55">
        <v>3.0</v>
      </c>
      <c r="Q106" s="43">
        <f t="shared" si="2"/>
        <v>11</v>
      </c>
      <c r="R106" s="43"/>
      <c r="S106" s="43"/>
      <c r="T106" s="43"/>
      <c r="U106" s="43"/>
      <c r="V106" s="43"/>
      <c r="W106" s="56" t="s">
        <v>46</v>
      </c>
      <c r="Z106" s="61"/>
      <c r="AA106" s="61"/>
      <c r="AB106" s="66"/>
      <c r="AC106" s="34"/>
      <c r="AD106" s="34"/>
    </row>
    <row r="107" ht="13.5" customHeight="1">
      <c r="A107" s="28">
        <v>101.0</v>
      </c>
      <c r="B107" s="37" t="s">
        <v>5317</v>
      </c>
      <c r="C107" s="37" t="s">
        <v>5318</v>
      </c>
      <c r="D107" s="37" t="s">
        <v>5319</v>
      </c>
      <c r="E107" s="133" t="s">
        <v>338</v>
      </c>
      <c r="F107" s="134">
        <v>32.0</v>
      </c>
      <c r="G107" s="134" t="s">
        <v>339</v>
      </c>
      <c r="H107" s="134" t="s">
        <v>4925</v>
      </c>
      <c r="I107" s="134">
        <v>9.060576222E9</v>
      </c>
      <c r="J107" s="54">
        <v>26.0</v>
      </c>
      <c r="K107" s="55">
        <v>11.0</v>
      </c>
      <c r="L107" s="55">
        <v>0.0</v>
      </c>
      <c r="M107" s="55">
        <v>1.0</v>
      </c>
      <c r="N107" s="43">
        <f t="shared" si="4"/>
        <v>1</v>
      </c>
      <c r="O107" s="55">
        <v>4.0</v>
      </c>
      <c r="P107" s="55">
        <v>13.0</v>
      </c>
      <c r="Q107" s="43">
        <f t="shared" si="2"/>
        <v>18</v>
      </c>
      <c r="R107" s="43"/>
      <c r="S107" s="43"/>
      <c r="T107" s="43"/>
      <c r="U107" s="43"/>
      <c r="V107" s="43"/>
      <c r="W107" s="56" t="s">
        <v>46</v>
      </c>
      <c r="Z107" s="61"/>
      <c r="AA107" s="61"/>
      <c r="AB107" s="66"/>
      <c r="AC107" s="34"/>
      <c r="AD107" s="34"/>
    </row>
    <row r="108" ht="13.5" customHeight="1">
      <c r="A108" s="28">
        <v>102.0</v>
      </c>
      <c r="B108" s="37" t="s">
        <v>5320</v>
      </c>
      <c r="C108" s="37" t="s">
        <v>3564</v>
      </c>
      <c r="D108" s="37" t="s">
        <v>5321</v>
      </c>
      <c r="E108" s="133" t="s">
        <v>338</v>
      </c>
      <c r="F108" s="134">
        <v>46.0</v>
      </c>
      <c r="G108" s="134" t="s">
        <v>385</v>
      </c>
      <c r="H108" s="134" t="s">
        <v>833</v>
      </c>
      <c r="I108" s="134">
        <v>9.197384532E9</v>
      </c>
      <c r="J108" s="42"/>
      <c r="K108" s="43"/>
      <c r="L108" s="43"/>
      <c r="M108" s="43"/>
      <c r="N108" s="43">
        <f t="shared" si="4"/>
        <v>0</v>
      </c>
      <c r="O108" s="43"/>
      <c r="P108" s="43"/>
      <c r="Q108" s="43">
        <f t="shared" si="2"/>
        <v>0</v>
      </c>
      <c r="R108" s="43"/>
      <c r="S108" s="43"/>
      <c r="T108" s="43"/>
      <c r="U108" s="43"/>
      <c r="V108" s="43"/>
      <c r="W108" s="44"/>
      <c r="Z108" s="61"/>
      <c r="AA108" s="61"/>
      <c r="AB108" s="66"/>
      <c r="AC108" s="34"/>
      <c r="AD108" s="34"/>
    </row>
    <row r="109" ht="13.5" customHeight="1">
      <c r="A109" s="28">
        <v>103.0</v>
      </c>
      <c r="B109" s="37" t="s">
        <v>5322</v>
      </c>
      <c r="C109" s="37" t="s">
        <v>1731</v>
      </c>
      <c r="D109" s="37" t="s">
        <v>3047</v>
      </c>
      <c r="E109" s="133" t="s">
        <v>338</v>
      </c>
      <c r="F109" s="134">
        <v>30.0</v>
      </c>
      <c r="G109" s="134" t="s">
        <v>339</v>
      </c>
      <c r="H109" s="134" t="s">
        <v>340</v>
      </c>
      <c r="I109" s="134">
        <v>9.974669617E9</v>
      </c>
      <c r="J109" s="54">
        <v>27.0</v>
      </c>
      <c r="K109" s="55">
        <v>25.0</v>
      </c>
      <c r="L109" s="55">
        <v>0.0</v>
      </c>
      <c r="M109" s="55">
        <v>3.0</v>
      </c>
      <c r="N109" s="43">
        <f t="shared" si="4"/>
        <v>3</v>
      </c>
      <c r="O109" s="55">
        <v>5.0</v>
      </c>
      <c r="P109" s="55">
        <v>0.0</v>
      </c>
      <c r="Q109" s="43">
        <f t="shared" si="2"/>
        <v>8</v>
      </c>
      <c r="R109" s="43"/>
      <c r="S109" s="43"/>
      <c r="T109" s="43"/>
      <c r="U109" s="43"/>
      <c r="V109" s="43"/>
      <c r="W109" s="56" t="s">
        <v>46</v>
      </c>
      <c r="Z109" s="61"/>
      <c r="AA109" s="61"/>
      <c r="AB109" s="66"/>
      <c r="AC109" s="34"/>
      <c r="AD109" s="34"/>
    </row>
    <row r="110" ht="13.5" customHeight="1">
      <c r="A110" s="28">
        <v>104.0</v>
      </c>
      <c r="B110" s="37" t="s">
        <v>5323</v>
      </c>
      <c r="C110" s="37" t="s">
        <v>5324</v>
      </c>
      <c r="D110" s="37" t="s">
        <v>44</v>
      </c>
      <c r="E110" s="133" t="s">
        <v>338</v>
      </c>
      <c r="F110" s="134">
        <v>30.0</v>
      </c>
      <c r="G110" s="134" t="s">
        <v>339</v>
      </c>
      <c r="H110" s="134" t="s">
        <v>340</v>
      </c>
      <c r="I110" s="134">
        <v>9.751796075E9</v>
      </c>
      <c r="J110" s="54">
        <v>28.0</v>
      </c>
      <c r="K110" s="55">
        <v>28.0</v>
      </c>
      <c r="L110" s="55">
        <v>0.0</v>
      </c>
      <c r="M110" s="55">
        <v>0.0</v>
      </c>
      <c r="N110" s="43">
        <f t="shared" si="4"/>
        <v>0</v>
      </c>
      <c r="O110" s="55">
        <v>4.0</v>
      </c>
      <c r="P110" s="55">
        <v>0.0</v>
      </c>
      <c r="Q110" s="43">
        <f t="shared" si="2"/>
        <v>4</v>
      </c>
      <c r="R110" s="43"/>
      <c r="S110" s="55" t="s">
        <v>5325</v>
      </c>
      <c r="T110" s="43"/>
      <c r="U110" s="43"/>
      <c r="V110" s="43"/>
      <c r="W110" s="56" t="s">
        <v>46</v>
      </c>
      <c r="Z110" s="61"/>
      <c r="AA110" s="61"/>
      <c r="AB110" s="66"/>
      <c r="AC110" s="34"/>
      <c r="AD110" s="34"/>
    </row>
    <row r="111" ht="13.5" customHeight="1">
      <c r="A111" s="28">
        <v>105.0</v>
      </c>
      <c r="B111" s="37" t="s">
        <v>4514</v>
      </c>
      <c r="C111" s="37" t="s">
        <v>976</v>
      </c>
      <c r="D111" s="37" t="s">
        <v>5326</v>
      </c>
      <c r="E111" s="133" t="s">
        <v>338</v>
      </c>
      <c r="F111" s="134">
        <v>49.0</v>
      </c>
      <c r="G111" s="134" t="s">
        <v>339</v>
      </c>
      <c r="H111" s="134" t="s">
        <v>833</v>
      </c>
      <c r="I111" s="134">
        <v>9.532148945E9</v>
      </c>
      <c r="J111" s="54">
        <v>23.0</v>
      </c>
      <c r="K111" s="55">
        <v>13.0</v>
      </c>
      <c r="L111" s="55">
        <v>0.0</v>
      </c>
      <c r="M111" s="55">
        <v>0.0</v>
      </c>
      <c r="N111" s="43">
        <v>0.0</v>
      </c>
      <c r="O111" s="55">
        <v>9.0</v>
      </c>
      <c r="P111" s="55">
        <v>10.0</v>
      </c>
      <c r="Q111" s="43">
        <f t="shared" si="2"/>
        <v>19</v>
      </c>
      <c r="R111" s="43"/>
      <c r="S111" s="55" t="s">
        <v>5327</v>
      </c>
      <c r="T111" s="43"/>
      <c r="U111" s="43"/>
      <c r="V111" s="55" t="s">
        <v>5328</v>
      </c>
      <c r="W111" s="56" t="s">
        <v>46</v>
      </c>
      <c r="Z111" s="61"/>
      <c r="AA111" s="61"/>
      <c r="AB111" s="66"/>
      <c r="AC111" s="34"/>
      <c r="AD111" s="34"/>
    </row>
    <row r="112" ht="13.5" customHeight="1">
      <c r="A112" s="28">
        <v>106.0</v>
      </c>
      <c r="B112" s="257" t="s">
        <v>2247</v>
      </c>
      <c r="C112" s="37" t="s">
        <v>5329</v>
      </c>
      <c r="D112" s="37" t="s">
        <v>5330</v>
      </c>
      <c r="E112" s="133" t="s">
        <v>338</v>
      </c>
      <c r="F112" s="134">
        <v>44.0</v>
      </c>
      <c r="G112" s="134" t="s">
        <v>339</v>
      </c>
      <c r="H112" s="134" t="s">
        <v>484</v>
      </c>
      <c r="I112" s="134">
        <v>9.198626641E9</v>
      </c>
      <c r="J112" s="54">
        <v>29.0</v>
      </c>
      <c r="K112" s="55">
        <v>24.0</v>
      </c>
      <c r="L112" s="55">
        <v>0.0</v>
      </c>
      <c r="M112" s="55">
        <v>2.0</v>
      </c>
      <c r="N112" s="43">
        <f t="shared" ref="N112:N156" si="5">sum(L112,M112)</f>
        <v>2</v>
      </c>
      <c r="O112" s="55">
        <v>3.0</v>
      </c>
      <c r="P112" s="55">
        <v>3.0</v>
      </c>
      <c r="Q112" s="43">
        <f t="shared" si="2"/>
        <v>8</v>
      </c>
      <c r="R112" s="43"/>
      <c r="S112" s="43"/>
      <c r="T112" s="43"/>
      <c r="U112" s="43"/>
      <c r="V112" s="43"/>
      <c r="W112" s="56" t="s">
        <v>46</v>
      </c>
      <c r="Z112" s="61"/>
      <c r="AA112" s="61"/>
      <c r="AB112" s="66"/>
      <c r="AC112" s="34"/>
      <c r="AD112" s="34"/>
    </row>
    <row r="113" ht="13.5" customHeight="1">
      <c r="A113" s="28">
        <v>107.0</v>
      </c>
      <c r="B113" s="257" t="s">
        <v>2247</v>
      </c>
      <c r="C113" s="37" t="s">
        <v>3769</v>
      </c>
      <c r="D113" s="37" t="s">
        <v>5331</v>
      </c>
      <c r="E113" s="133" t="s">
        <v>338</v>
      </c>
      <c r="F113" s="134">
        <v>40.0</v>
      </c>
      <c r="G113" s="134" t="s">
        <v>385</v>
      </c>
      <c r="H113" s="134" t="s">
        <v>484</v>
      </c>
      <c r="I113" s="134">
        <v>9.217580927E9</v>
      </c>
      <c r="J113" s="54">
        <v>30.0</v>
      </c>
      <c r="K113" s="55">
        <v>29.0</v>
      </c>
      <c r="L113" s="55">
        <v>0.0</v>
      </c>
      <c r="M113" s="55">
        <v>0.0</v>
      </c>
      <c r="N113" s="43">
        <f t="shared" si="5"/>
        <v>0</v>
      </c>
      <c r="O113" s="55">
        <v>2.0</v>
      </c>
      <c r="P113" s="55">
        <v>1.0</v>
      </c>
      <c r="Q113" s="43">
        <f t="shared" si="2"/>
        <v>3</v>
      </c>
      <c r="R113" s="43"/>
      <c r="S113" s="43"/>
      <c r="T113" s="43"/>
      <c r="U113" s="43"/>
      <c r="V113" s="43"/>
      <c r="W113" s="56" t="s">
        <v>46</v>
      </c>
      <c r="Z113" s="61"/>
      <c r="AA113" s="61"/>
      <c r="AB113" s="66"/>
      <c r="AC113" s="34"/>
      <c r="AD113" s="34"/>
    </row>
    <row r="114" ht="13.5" customHeight="1">
      <c r="A114" s="28">
        <v>108.0</v>
      </c>
      <c r="B114" s="37" t="s">
        <v>5332</v>
      </c>
      <c r="C114" s="37" t="s">
        <v>1083</v>
      </c>
      <c r="D114" s="37" t="s">
        <v>5295</v>
      </c>
      <c r="E114" s="133" t="s">
        <v>338</v>
      </c>
      <c r="F114" s="134">
        <v>35.0</v>
      </c>
      <c r="G114" s="134" t="s">
        <v>339</v>
      </c>
      <c r="H114" s="134" t="s">
        <v>484</v>
      </c>
      <c r="I114" s="134">
        <v>9.292101199E9</v>
      </c>
      <c r="J114" s="54">
        <v>29.0</v>
      </c>
      <c r="K114" s="55">
        <v>19.0</v>
      </c>
      <c r="L114" s="55">
        <v>0.0</v>
      </c>
      <c r="M114" s="55">
        <v>5.0</v>
      </c>
      <c r="N114" s="43">
        <f t="shared" si="5"/>
        <v>5</v>
      </c>
      <c r="O114" s="55">
        <v>3.0</v>
      </c>
      <c r="P114" s="55">
        <v>5.0</v>
      </c>
      <c r="Q114" s="43">
        <f t="shared" si="2"/>
        <v>13</v>
      </c>
      <c r="R114" s="43"/>
      <c r="S114" s="43"/>
      <c r="T114" s="43"/>
      <c r="U114" s="43"/>
      <c r="V114" s="43"/>
      <c r="W114" s="56" t="s">
        <v>46</v>
      </c>
      <c r="Z114" s="61"/>
      <c r="AA114" s="61"/>
      <c r="AB114" s="66"/>
      <c r="AC114" s="34"/>
      <c r="AD114" s="34"/>
    </row>
    <row r="115" ht="13.5" customHeight="1">
      <c r="A115" s="28">
        <v>109.0</v>
      </c>
      <c r="B115" s="37" t="s">
        <v>3897</v>
      </c>
      <c r="C115" s="37" t="s">
        <v>1145</v>
      </c>
      <c r="D115" s="37" t="s">
        <v>3402</v>
      </c>
      <c r="E115" s="133" t="s">
        <v>338</v>
      </c>
      <c r="F115" s="134">
        <v>27.0</v>
      </c>
      <c r="G115" s="134" t="s">
        <v>339</v>
      </c>
      <c r="H115" s="208" t="s">
        <v>340</v>
      </c>
      <c r="I115" s="134">
        <v>9.665310343E9</v>
      </c>
      <c r="J115" s="54">
        <v>27.0</v>
      </c>
      <c r="K115" s="55">
        <v>22.0</v>
      </c>
      <c r="L115" s="55">
        <v>1.0</v>
      </c>
      <c r="M115" s="55">
        <v>4.0</v>
      </c>
      <c r="N115" s="43">
        <f t="shared" si="5"/>
        <v>5</v>
      </c>
      <c r="O115" s="55">
        <v>1.0</v>
      </c>
      <c r="P115" s="55">
        <v>0.0</v>
      </c>
      <c r="Q115" s="43">
        <f t="shared" si="2"/>
        <v>6</v>
      </c>
      <c r="R115" s="43"/>
      <c r="S115" s="43"/>
      <c r="T115" s="43"/>
      <c r="U115" s="43"/>
      <c r="V115" s="43"/>
      <c r="W115" s="56" t="s">
        <v>46</v>
      </c>
      <c r="Z115" s="61"/>
      <c r="AA115" s="61"/>
      <c r="AB115" s="66"/>
      <c r="AC115" s="34"/>
      <c r="AD115" s="34"/>
    </row>
    <row r="116" ht="13.5" customHeight="1">
      <c r="A116" s="28">
        <v>110.0</v>
      </c>
      <c r="B116" s="37" t="s">
        <v>5333</v>
      </c>
      <c r="C116" s="37" t="s">
        <v>5334</v>
      </c>
      <c r="D116" s="37" t="s">
        <v>5335</v>
      </c>
      <c r="E116" s="133" t="s">
        <v>338</v>
      </c>
      <c r="F116" s="134">
        <v>32.0</v>
      </c>
      <c r="G116" s="134" t="s">
        <v>339</v>
      </c>
      <c r="H116" s="208" t="s">
        <v>340</v>
      </c>
      <c r="I116" s="134">
        <v>9.317341202E9</v>
      </c>
      <c r="J116" s="54">
        <v>29.0</v>
      </c>
      <c r="K116" s="55">
        <v>25.0</v>
      </c>
      <c r="L116" s="55">
        <v>0.0</v>
      </c>
      <c r="M116" s="55">
        <v>0.0</v>
      </c>
      <c r="N116" s="43">
        <f t="shared" si="5"/>
        <v>0</v>
      </c>
      <c r="O116" s="55">
        <v>1.0</v>
      </c>
      <c r="P116" s="55">
        <v>4.0</v>
      </c>
      <c r="Q116" s="43">
        <f t="shared" si="2"/>
        <v>5</v>
      </c>
      <c r="R116" s="43"/>
      <c r="S116" s="55" t="s">
        <v>277</v>
      </c>
      <c r="T116" s="43"/>
      <c r="U116" s="43"/>
      <c r="V116" s="55" t="s">
        <v>5336</v>
      </c>
      <c r="W116" s="56" t="s">
        <v>46</v>
      </c>
      <c r="Z116" s="61"/>
      <c r="AA116" s="61"/>
      <c r="AB116" s="66"/>
      <c r="AC116" s="34"/>
      <c r="AD116" s="34"/>
    </row>
    <row r="117" ht="13.5" customHeight="1">
      <c r="A117" s="28">
        <v>111.0</v>
      </c>
      <c r="B117" s="37" t="s">
        <v>5337</v>
      </c>
      <c r="C117" s="37" t="s">
        <v>1548</v>
      </c>
      <c r="D117" s="37" t="s">
        <v>929</v>
      </c>
      <c r="E117" s="133" t="s">
        <v>338</v>
      </c>
      <c r="F117" s="134">
        <v>44.0</v>
      </c>
      <c r="G117" s="134" t="s">
        <v>339</v>
      </c>
      <c r="H117" s="208" t="s">
        <v>484</v>
      </c>
      <c r="I117" s="163" t="s">
        <v>5338</v>
      </c>
      <c r="J117" s="54">
        <v>30.0</v>
      </c>
      <c r="K117" s="55">
        <v>24.0</v>
      </c>
      <c r="L117" s="55">
        <v>1.0</v>
      </c>
      <c r="M117" s="55">
        <v>5.0</v>
      </c>
      <c r="N117" s="43">
        <f t="shared" si="5"/>
        <v>6</v>
      </c>
      <c r="O117" s="55">
        <v>2.0</v>
      </c>
      <c r="P117" s="55">
        <v>0.0</v>
      </c>
      <c r="Q117" s="43">
        <f t="shared" si="2"/>
        <v>8</v>
      </c>
      <c r="R117" s="43"/>
      <c r="S117" s="43"/>
      <c r="T117" s="43"/>
      <c r="U117" s="43"/>
      <c r="V117" s="43"/>
      <c r="W117" s="56" t="s">
        <v>46</v>
      </c>
      <c r="Z117" s="61"/>
      <c r="AA117" s="61"/>
      <c r="AB117" s="66"/>
      <c r="AC117" s="34"/>
      <c r="AD117" s="34"/>
    </row>
    <row r="118" ht="13.5" customHeight="1">
      <c r="A118" s="28">
        <v>112.0</v>
      </c>
      <c r="B118" s="257" t="s">
        <v>5339</v>
      </c>
      <c r="C118" s="257" t="s">
        <v>5340</v>
      </c>
      <c r="D118" s="257" t="s">
        <v>5341</v>
      </c>
      <c r="E118" s="133" t="s">
        <v>338</v>
      </c>
      <c r="F118" s="208">
        <v>37.0</v>
      </c>
      <c r="G118" s="208" t="s">
        <v>339</v>
      </c>
      <c r="H118" s="208" t="s">
        <v>833</v>
      </c>
      <c r="I118" s="208">
        <v>9.765659689E9</v>
      </c>
      <c r="J118" s="54">
        <v>28.0</v>
      </c>
      <c r="K118" s="55">
        <v>19.0</v>
      </c>
      <c r="L118" s="55">
        <v>5.0</v>
      </c>
      <c r="M118" s="55">
        <v>3.0</v>
      </c>
      <c r="N118" s="43">
        <f t="shared" si="5"/>
        <v>8</v>
      </c>
      <c r="O118" s="55">
        <v>4.0</v>
      </c>
      <c r="P118" s="55">
        <v>1.0</v>
      </c>
      <c r="Q118" s="43">
        <f t="shared" si="2"/>
        <v>13</v>
      </c>
      <c r="R118" s="43"/>
      <c r="S118" s="43"/>
      <c r="T118" s="43"/>
      <c r="U118" s="43"/>
      <c r="V118" s="43"/>
      <c r="W118" s="56" t="s">
        <v>46</v>
      </c>
      <c r="Z118" s="61"/>
      <c r="AA118" s="61"/>
      <c r="AB118" s="66"/>
      <c r="AC118" s="34"/>
      <c r="AD118" s="34"/>
    </row>
    <row r="119" ht="13.5" customHeight="1">
      <c r="A119" s="28">
        <v>113.0</v>
      </c>
      <c r="B119" s="37" t="s">
        <v>1154</v>
      </c>
      <c r="C119" s="37" t="s">
        <v>5342</v>
      </c>
      <c r="D119" s="37" t="s">
        <v>5343</v>
      </c>
      <c r="E119" s="133" t="s">
        <v>338</v>
      </c>
      <c r="F119" s="134">
        <v>27.0</v>
      </c>
      <c r="G119" s="134" t="s">
        <v>339</v>
      </c>
      <c r="H119" s="208" t="s">
        <v>833</v>
      </c>
      <c r="I119" s="134">
        <v>9.54180158E9</v>
      </c>
      <c r="J119" s="42"/>
      <c r="K119" s="43"/>
      <c r="L119" s="43"/>
      <c r="M119" s="43"/>
      <c r="N119" s="43">
        <f t="shared" si="5"/>
        <v>0</v>
      </c>
      <c r="O119" s="43"/>
      <c r="P119" s="43"/>
      <c r="Q119" s="43">
        <f t="shared" si="2"/>
        <v>0</v>
      </c>
      <c r="R119" s="43"/>
      <c r="S119" s="43"/>
      <c r="T119" s="43"/>
      <c r="U119" s="43"/>
      <c r="V119" s="43"/>
      <c r="W119" s="44"/>
      <c r="Z119" s="61"/>
      <c r="AA119" s="61"/>
      <c r="AB119" s="66"/>
      <c r="AC119" s="34"/>
      <c r="AD119" s="34"/>
    </row>
    <row r="120" ht="13.5" customHeight="1">
      <c r="A120" s="28">
        <v>114.0</v>
      </c>
      <c r="B120" s="37" t="s">
        <v>5344</v>
      </c>
      <c r="C120" s="37" t="s">
        <v>5345</v>
      </c>
      <c r="D120" s="37" t="s">
        <v>5346</v>
      </c>
      <c r="E120" s="133" t="s">
        <v>338</v>
      </c>
      <c r="F120" s="134">
        <v>54.0</v>
      </c>
      <c r="G120" s="134" t="s">
        <v>339</v>
      </c>
      <c r="H120" s="208" t="s">
        <v>4363</v>
      </c>
      <c r="I120" s="134">
        <v>9.205756054E9</v>
      </c>
      <c r="J120" s="54">
        <v>27.0</v>
      </c>
      <c r="K120" s="55">
        <v>22.0</v>
      </c>
      <c r="L120" s="55">
        <v>0.0</v>
      </c>
      <c r="M120" s="55">
        <v>1.0</v>
      </c>
      <c r="N120" s="43">
        <f t="shared" si="5"/>
        <v>1</v>
      </c>
      <c r="O120" s="55">
        <v>5.0</v>
      </c>
      <c r="P120" s="55">
        <v>4.0</v>
      </c>
      <c r="Q120" s="43">
        <f t="shared" si="2"/>
        <v>10</v>
      </c>
      <c r="R120" s="43"/>
      <c r="S120" s="43"/>
      <c r="T120" s="43"/>
      <c r="U120" s="43"/>
      <c r="V120" s="43"/>
      <c r="W120" s="56" t="s">
        <v>46</v>
      </c>
      <c r="Z120" s="61"/>
      <c r="AA120" s="61"/>
      <c r="AB120" s="66"/>
      <c r="AC120" s="34"/>
      <c r="AD120" s="34"/>
    </row>
    <row r="121" ht="13.5" customHeight="1">
      <c r="A121" s="28">
        <v>115.0</v>
      </c>
      <c r="B121" s="37" t="s">
        <v>5347</v>
      </c>
      <c r="C121" s="37" t="s">
        <v>5348</v>
      </c>
      <c r="D121" s="37" t="s">
        <v>410</v>
      </c>
      <c r="E121" s="133" t="s">
        <v>338</v>
      </c>
      <c r="F121" s="134">
        <v>39.0</v>
      </c>
      <c r="G121" s="134" t="s">
        <v>339</v>
      </c>
      <c r="H121" s="208" t="s">
        <v>833</v>
      </c>
      <c r="I121" s="134">
        <v>9.076497925E9</v>
      </c>
      <c r="J121" s="54">
        <v>27.0</v>
      </c>
      <c r="K121" s="55">
        <v>23.0</v>
      </c>
      <c r="L121" s="55">
        <v>0.0</v>
      </c>
      <c r="M121" s="55">
        <v>1.0</v>
      </c>
      <c r="N121" s="43">
        <f t="shared" si="5"/>
        <v>1</v>
      </c>
      <c r="O121" s="55">
        <v>5.0</v>
      </c>
      <c r="P121" s="55">
        <v>2.0</v>
      </c>
      <c r="Q121" s="43">
        <f t="shared" si="2"/>
        <v>8</v>
      </c>
      <c r="R121" s="43"/>
      <c r="S121" s="43"/>
      <c r="T121" s="43"/>
      <c r="U121" s="43"/>
      <c r="V121" s="43"/>
      <c r="W121" s="56" t="s">
        <v>46</v>
      </c>
      <c r="Z121" s="61"/>
      <c r="AA121" s="61"/>
      <c r="AB121" s="66"/>
      <c r="AC121" s="34"/>
      <c r="AD121" s="34"/>
    </row>
    <row r="122" ht="13.5" customHeight="1">
      <c r="A122" s="28">
        <v>116.0</v>
      </c>
      <c r="B122" s="37" t="s">
        <v>5349</v>
      </c>
      <c r="C122" s="37" t="s">
        <v>5350</v>
      </c>
      <c r="D122" s="37" t="s">
        <v>5351</v>
      </c>
      <c r="E122" s="133" t="s">
        <v>338</v>
      </c>
      <c r="F122" s="134">
        <v>28.0</v>
      </c>
      <c r="G122" s="134" t="s">
        <v>339</v>
      </c>
      <c r="H122" s="134" t="s">
        <v>833</v>
      </c>
      <c r="I122" s="134">
        <v>9.270349288E9</v>
      </c>
      <c r="J122" s="54">
        <v>29.0</v>
      </c>
      <c r="K122" s="55">
        <v>28.0</v>
      </c>
      <c r="L122" s="55">
        <v>0.0</v>
      </c>
      <c r="M122" s="55">
        <v>1.0</v>
      </c>
      <c r="N122" s="43">
        <f t="shared" si="5"/>
        <v>1</v>
      </c>
      <c r="O122" s="55">
        <v>2.0</v>
      </c>
      <c r="P122" s="55">
        <v>0.0</v>
      </c>
      <c r="Q122" s="43">
        <f t="shared" si="2"/>
        <v>3</v>
      </c>
      <c r="R122" s="43"/>
      <c r="S122" s="43"/>
      <c r="T122" s="43"/>
      <c r="U122" s="43"/>
      <c r="V122" s="43"/>
      <c r="W122" s="56" t="s">
        <v>46</v>
      </c>
      <c r="Z122" s="61"/>
      <c r="AA122" s="61"/>
      <c r="AB122" s="66"/>
      <c r="AC122" s="34"/>
      <c r="AD122" s="34"/>
    </row>
    <row r="123" ht="13.5" customHeight="1">
      <c r="A123" s="28">
        <v>117.0</v>
      </c>
      <c r="B123" s="37" t="s">
        <v>5352</v>
      </c>
      <c r="C123" s="37" t="s">
        <v>1136</v>
      </c>
      <c r="D123" s="37" t="s">
        <v>1656</v>
      </c>
      <c r="E123" s="133" t="s">
        <v>338</v>
      </c>
      <c r="F123" s="134">
        <v>46.0</v>
      </c>
      <c r="G123" s="134" t="s">
        <v>339</v>
      </c>
      <c r="H123" s="208" t="s">
        <v>4363</v>
      </c>
      <c r="I123" s="134">
        <v>9.60531123E9</v>
      </c>
      <c r="J123" s="54">
        <v>22.0</v>
      </c>
      <c r="K123" s="55">
        <v>15.0</v>
      </c>
      <c r="L123" s="55">
        <v>0.0</v>
      </c>
      <c r="M123" s="55">
        <v>0.0</v>
      </c>
      <c r="N123" s="43">
        <f t="shared" si="5"/>
        <v>0</v>
      </c>
      <c r="O123" s="55">
        <v>10.0</v>
      </c>
      <c r="P123" s="55">
        <v>7.0</v>
      </c>
      <c r="Q123" s="43">
        <f t="shared" si="2"/>
        <v>17</v>
      </c>
      <c r="R123" s="43"/>
      <c r="S123" s="55" t="s">
        <v>277</v>
      </c>
      <c r="T123" s="43"/>
      <c r="U123" s="43"/>
      <c r="V123" s="55" t="s">
        <v>5353</v>
      </c>
      <c r="W123" s="56" t="s">
        <v>46</v>
      </c>
      <c r="X123" s="138"/>
      <c r="Z123" s="61"/>
      <c r="AA123" s="61"/>
      <c r="AB123" s="66"/>
      <c r="AC123" s="34"/>
      <c r="AD123" s="34"/>
    </row>
    <row r="124" ht="13.5" customHeight="1">
      <c r="A124" s="28">
        <v>118.0</v>
      </c>
      <c r="B124" s="37" t="s">
        <v>883</v>
      </c>
      <c r="C124" s="37" t="s">
        <v>424</v>
      </c>
      <c r="D124" s="37" t="s">
        <v>2377</v>
      </c>
      <c r="E124" s="133" t="s">
        <v>338</v>
      </c>
      <c r="F124" s="134">
        <v>47.0</v>
      </c>
      <c r="G124" s="134" t="s">
        <v>339</v>
      </c>
      <c r="H124" s="134" t="s">
        <v>839</v>
      </c>
      <c r="I124" s="134">
        <v>9.162152586E9</v>
      </c>
      <c r="J124" s="54">
        <v>22.0</v>
      </c>
      <c r="K124" s="55">
        <v>18.0</v>
      </c>
      <c r="L124" s="55">
        <v>0.0</v>
      </c>
      <c r="M124" s="55">
        <v>4.0</v>
      </c>
      <c r="N124" s="43">
        <f t="shared" si="5"/>
        <v>4</v>
      </c>
      <c r="O124" s="55">
        <v>7.0</v>
      </c>
      <c r="P124" s="55">
        <v>0.0</v>
      </c>
      <c r="Q124" s="43">
        <f t="shared" si="2"/>
        <v>11</v>
      </c>
      <c r="R124" s="43"/>
      <c r="S124" s="43"/>
      <c r="T124" s="43"/>
      <c r="U124" s="43"/>
      <c r="V124" s="43"/>
      <c r="W124" s="56" t="s">
        <v>46</v>
      </c>
      <c r="Z124" s="61"/>
      <c r="AA124" s="61"/>
      <c r="AB124" s="66"/>
      <c r="AC124" s="34"/>
      <c r="AD124" s="34"/>
    </row>
    <row r="125" ht="13.5" customHeight="1">
      <c r="A125" s="28">
        <v>119.0</v>
      </c>
      <c r="B125" s="37" t="s">
        <v>1100</v>
      </c>
      <c r="C125" s="257" t="s">
        <v>5354</v>
      </c>
      <c r="D125" s="257" t="s">
        <v>439</v>
      </c>
      <c r="E125" s="133" t="s">
        <v>338</v>
      </c>
      <c r="F125" s="134">
        <v>34.0</v>
      </c>
      <c r="G125" s="208" t="s">
        <v>339</v>
      </c>
      <c r="H125" s="134" t="s">
        <v>839</v>
      </c>
      <c r="I125" s="134">
        <v>9.223398873E9</v>
      </c>
      <c r="J125" s="54">
        <v>29.0</v>
      </c>
      <c r="K125" s="55">
        <v>19.0</v>
      </c>
      <c r="L125" s="55">
        <v>0.0</v>
      </c>
      <c r="M125" s="55">
        <v>0.0</v>
      </c>
      <c r="N125" s="43">
        <f t="shared" si="5"/>
        <v>0</v>
      </c>
      <c r="O125" s="55">
        <v>3.0</v>
      </c>
      <c r="P125" s="55">
        <v>9.0</v>
      </c>
      <c r="Q125" s="43">
        <f t="shared" si="2"/>
        <v>12</v>
      </c>
      <c r="R125" s="43"/>
      <c r="S125" s="55" t="s">
        <v>277</v>
      </c>
      <c r="T125" s="43"/>
      <c r="U125" s="43"/>
      <c r="V125" s="43"/>
      <c r="W125" s="56" t="s">
        <v>46</v>
      </c>
      <c r="Z125" s="61"/>
      <c r="AA125" s="61"/>
      <c r="AB125" s="66"/>
      <c r="AC125" s="34"/>
      <c r="AD125" s="34"/>
    </row>
    <row r="126" ht="13.5" customHeight="1">
      <c r="A126" s="28">
        <v>120.0</v>
      </c>
      <c r="B126" s="37" t="s">
        <v>477</v>
      </c>
      <c r="C126" s="37" t="s">
        <v>5355</v>
      </c>
      <c r="D126" s="37" t="s">
        <v>202</v>
      </c>
      <c r="E126" s="133" t="s">
        <v>338</v>
      </c>
      <c r="F126" s="134">
        <v>38.0</v>
      </c>
      <c r="G126" s="134" t="s">
        <v>385</v>
      </c>
      <c r="H126" s="134" t="s">
        <v>349</v>
      </c>
      <c r="I126" s="134">
        <v>9.159465036E9</v>
      </c>
      <c r="J126" s="54">
        <v>29.0</v>
      </c>
      <c r="K126" s="55">
        <v>27.0</v>
      </c>
      <c r="L126" s="55">
        <v>0.0</v>
      </c>
      <c r="M126" s="55">
        <v>2.0</v>
      </c>
      <c r="N126" s="43">
        <f t="shared" si="5"/>
        <v>2</v>
      </c>
      <c r="O126" s="55">
        <v>3.0</v>
      </c>
      <c r="P126" s="55">
        <v>0.0</v>
      </c>
      <c r="Q126" s="43">
        <f t="shared" si="2"/>
        <v>5</v>
      </c>
      <c r="R126" s="43"/>
      <c r="S126" s="43"/>
      <c r="T126" s="43"/>
      <c r="U126" s="43"/>
      <c r="V126" s="43"/>
      <c r="W126" s="56" t="s">
        <v>46</v>
      </c>
      <c r="Z126" s="61"/>
      <c r="AA126" s="61"/>
      <c r="AB126" s="66"/>
      <c r="AC126" s="34"/>
      <c r="AD126" s="34"/>
    </row>
    <row r="127" ht="13.5" customHeight="1">
      <c r="A127" s="28">
        <v>121.0</v>
      </c>
      <c r="B127" s="37" t="s">
        <v>5356</v>
      </c>
      <c r="C127" s="37" t="s">
        <v>5179</v>
      </c>
      <c r="D127" s="37" t="s">
        <v>5357</v>
      </c>
      <c r="E127" s="133" t="s">
        <v>338</v>
      </c>
      <c r="F127" s="134">
        <v>36.0</v>
      </c>
      <c r="G127" s="134" t="s">
        <v>339</v>
      </c>
      <c r="H127" s="134" t="s">
        <v>839</v>
      </c>
      <c r="I127" s="134">
        <v>9.25708599E9</v>
      </c>
      <c r="J127" s="54">
        <v>27.0</v>
      </c>
      <c r="K127" s="55">
        <v>23.0</v>
      </c>
      <c r="L127" s="55">
        <v>0.0</v>
      </c>
      <c r="M127" s="55">
        <v>1.0</v>
      </c>
      <c r="N127" s="43">
        <f t="shared" si="5"/>
        <v>1</v>
      </c>
      <c r="O127" s="55">
        <v>5.0</v>
      </c>
      <c r="P127" s="55">
        <v>3.0</v>
      </c>
      <c r="Q127" s="43">
        <f t="shared" si="2"/>
        <v>9</v>
      </c>
      <c r="R127" s="43"/>
      <c r="S127" s="55" t="s">
        <v>237</v>
      </c>
      <c r="T127" s="43"/>
      <c r="U127" s="43"/>
      <c r="V127" s="43"/>
      <c r="W127" s="56" t="s">
        <v>46</v>
      </c>
      <c r="Z127" s="61"/>
      <c r="AA127" s="61"/>
      <c r="AB127" s="66"/>
      <c r="AC127" s="34"/>
      <c r="AD127" s="34"/>
    </row>
    <row r="128" ht="13.5" customHeight="1">
      <c r="A128" s="28">
        <v>122.0</v>
      </c>
      <c r="B128" s="37" t="s">
        <v>5358</v>
      </c>
      <c r="C128" s="37" t="s">
        <v>5359</v>
      </c>
      <c r="D128" s="37" t="s">
        <v>5360</v>
      </c>
      <c r="E128" s="133" t="s">
        <v>338</v>
      </c>
      <c r="F128" s="134">
        <v>39.0</v>
      </c>
      <c r="G128" s="134" t="s">
        <v>339</v>
      </c>
      <c r="H128" s="134" t="s">
        <v>368</v>
      </c>
      <c r="I128" s="134">
        <v>9.186211594E9</v>
      </c>
      <c r="J128" s="54">
        <v>24.0</v>
      </c>
      <c r="K128" s="55">
        <v>11.0</v>
      </c>
      <c r="L128" s="55">
        <v>0.0</v>
      </c>
      <c r="M128" s="55">
        <v>1.0</v>
      </c>
      <c r="N128" s="43">
        <f t="shared" si="5"/>
        <v>1</v>
      </c>
      <c r="O128" s="55">
        <v>4.0</v>
      </c>
      <c r="P128" s="55">
        <v>12.0</v>
      </c>
      <c r="Q128" s="43">
        <f t="shared" si="2"/>
        <v>17</v>
      </c>
      <c r="R128" s="43"/>
      <c r="S128" s="43"/>
      <c r="T128" s="43"/>
      <c r="U128" s="43"/>
      <c r="V128" s="43"/>
      <c r="W128" s="56" t="s">
        <v>46</v>
      </c>
      <c r="Z128" s="61"/>
      <c r="AA128" s="61"/>
      <c r="AB128" s="66"/>
      <c r="AC128" s="34"/>
      <c r="AD128" s="34"/>
    </row>
    <row r="129" ht="13.5" customHeight="1">
      <c r="A129" s="28">
        <v>123.0</v>
      </c>
      <c r="B129" s="37" t="s">
        <v>2284</v>
      </c>
      <c r="C129" s="37" t="s">
        <v>3565</v>
      </c>
      <c r="D129" s="37" t="s">
        <v>5361</v>
      </c>
      <c r="E129" s="133" t="s">
        <v>338</v>
      </c>
      <c r="F129" s="134">
        <v>36.0</v>
      </c>
      <c r="G129" s="134" t="s">
        <v>339</v>
      </c>
      <c r="H129" s="134" t="s">
        <v>839</v>
      </c>
      <c r="I129" s="134">
        <v>9.361097888E9</v>
      </c>
      <c r="J129" s="54">
        <v>29.0</v>
      </c>
      <c r="K129" s="55">
        <v>19.0</v>
      </c>
      <c r="L129" s="55">
        <v>1.0</v>
      </c>
      <c r="M129" s="55">
        <v>6.0</v>
      </c>
      <c r="N129" s="43">
        <f t="shared" si="5"/>
        <v>7</v>
      </c>
      <c r="O129" s="55">
        <v>3.0</v>
      </c>
      <c r="P129" s="55">
        <v>3.0</v>
      </c>
      <c r="Q129" s="43">
        <f t="shared" si="2"/>
        <v>13</v>
      </c>
      <c r="R129" s="43"/>
      <c r="S129" s="43"/>
      <c r="T129" s="43"/>
      <c r="U129" s="43"/>
      <c r="V129" s="43"/>
      <c r="W129" s="56" t="s">
        <v>46</v>
      </c>
      <c r="Z129" s="61"/>
      <c r="AA129" s="61"/>
      <c r="AB129" s="66"/>
      <c r="AC129" s="34"/>
      <c r="AD129" s="34"/>
    </row>
    <row r="130" ht="13.5" customHeight="1">
      <c r="A130" s="28">
        <v>124.0</v>
      </c>
      <c r="B130" s="37" t="s">
        <v>5362</v>
      </c>
      <c r="C130" s="37" t="s">
        <v>5363</v>
      </c>
      <c r="D130" s="37" t="s">
        <v>5364</v>
      </c>
      <c r="E130" s="133" t="s">
        <v>338</v>
      </c>
      <c r="F130" s="134">
        <v>53.0</v>
      </c>
      <c r="G130" s="134" t="s">
        <v>385</v>
      </c>
      <c r="H130" s="134" t="s">
        <v>839</v>
      </c>
      <c r="I130" s="134">
        <v>9.394429909E9</v>
      </c>
      <c r="J130" s="54">
        <v>22.0</v>
      </c>
      <c r="K130" s="55">
        <v>17.0</v>
      </c>
      <c r="L130" s="55">
        <v>2.0</v>
      </c>
      <c r="M130" s="55">
        <v>3.0</v>
      </c>
      <c r="N130" s="43">
        <f t="shared" si="5"/>
        <v>5</v>
      </c>
      <c r="O130" s="55">
        <v>10.0</v>
      </c>
      <c r="P130" s="55">
        <v>0.0</v>
      </c>
      <c r="Q130" s="43">
        <f t="shared" si="2"/>
        <v>15</v>
      </c>
      <c r="R130" s="43"/>
      <c r="S130" s="43"/>
      <c r="T130" s="43"/>
      <c r="U130" s="43"/>
      <c r="V130" s="43"/>
      <c r="W130" s="56" t="s">
        <v>46</v>
      </c>
      <c r="Z130" s="61"/>
      <c r="AA130" s="61"/>
      <c r="AB130" s="66"/>
      <c r="AC130" s="34"/>
      <c r="AD130" s="34"/>
    </row>
    <row r="131" ht="13.5" customHeight="1">
      <c r="A131" s="28">
        <v>125.0</v>
      </c>
      <c r="B131" s="257" t="s">
        <v>5365</v>
      </c>
      <c r="C131" s="257" t="s">
        <v>5366</v>
      </c>
      <c r="D131" s="257" t="s">
        <v>4452</v>
      </c>
      <c r="E131" s="133" t="s">
        <v>338</v>
      </c>
      <c r="F131" s="134">
        <v>33.0</v>
      </c>
      <c r="G131" s="208" t="s">
        <v>339</v>
      </c>
      <c r="H131" s="134" t="s">
        <v>340</v>
      </c>
      <c r="I131" s="134">
        <v>9.753220329E9</v>
      </c>
      <c r="J131" s="54">
        <v>27.0</v>
      </c>
      <c r="K131" s="55">
        <v>15.0</v>
      </c>
      <c r="L131" s="55">
        <v>0.0</v>
      </c>
      <c r="M131" s="55">
        <v>2.0</v>
      </c>
      <c r="N131" s="43">
        <f t="shared" si="5"/>
        <v>2</v>
      </c>
      <c r="O131" s="55">
        <v>5.0</v>
      </c>
      <c r="P131" s="55">
        <v>10.0</v>
      </c>
      <c r="Q131" s="43">
        <f t="shared" si="2"/>
        <v>17</v>
      </c>
      <c r="R131" s="43"/>
      <c r="S131" s="55" t="s">
        <v>105</v>
      </c>
      <c r="T131" s="43"/>
      <c r="U131" s="43"/>
      <c r="V131" s="55" t="s">
        <v>5367</v>
      </c>
      <c r="W131" s="56" t="s">
        <v>46</v>
      </c>
      <c r="Z131" s="61"/>
      <c r="AA131" s="61"/>
      <c r="AB131" s="66"/>
      <c r="AC131" s="34"/>
      <c r="AD131" s="34"/>
    </row>
    <row r="132" ht="13.5" customHeight="1">
      <c r="A132" s="28">
        <v>126.0</v>
      </c>
      <c r="B132" s="37" t="s">
        <v>2289</v>
      </c>
      <c r="C132" s="37" t="s">
        <v>5368</v>
      </c>
      <c r="D132" s="37" t="s">
        <v>5369</v>
      </c>
      <c r="E132" s="133" t="s">
        <v>338</v>
      </c>
      <c r="F132" s="134">
        <v>44.0</v>
      </c>
      <c r="G132" s="134" t="s">
        <v>385</v>
      </c>
      <c r="H132" s="134" t="s">
        <v>340</v>
      </c>
      <c r="I132" s="431">
        <v>9.27734415E9</v>
      </c>
      <c r="J132" s="54">
        <v>22.0</v>
      </c>
      <c r="K132" s="55">
        <v>21.0</v>
      </c>
      <c r="L132" s="55">
        <v>0.0</v>
      </c>
      <c r="M132" s="55">
        <v>1.0</v>
      </c>
      <c r="N132" s="43">
        <f t="shared" si="5"/>
        <v>1</v>
      </c>
      <c r="O132" s="55">
        <v>10.0</v>
      </c>
      <c r="P132" s="55">
        <v>0.0</v>
      </c>
      <c r="Q132" s="43">
        <f t="shared" si="2"/>
        <v>11</v>
      </c>
      <c r="R132" s="43"/>
      <c r="S132" s="43"/>
      <c r="T132" s="43"/>
      <c r="U132" s="43"/>
      <c r="V132" s="43"/>
      <c r="W132" s="56" t="s">
        <v>46</v>
      </c>
      <c r="Z132" s="61"/>
      <c r="AA132" s="61"/>
      <c r="AB132" s="66"/>
      <c r="AC132" s="34"/>
      <c r="AD132" s="34"/>
    </row>
    <row r="133" ht="13.5" customHeight="1">
      <c r="A133" s="28">
        <v>127.0</v>
      </c>
      <c r="B133" s="37" t="s">
        <v>1127</v>
      </c>
      <c r="C133" s="37" t="s">
        <v>5370</v>
      </c>
      <c r="D133" s="37" t="s">
        <v>5371</v>
      </c>
      <c r="E133" s="133" t="s">
        <v>338</v>
      </c>
      <c r="F133" s="134">
        <v>32.0</v>
      </c>
      <c r="G133" s="134" t="s">
        <v>385</v>
      </c>
      <c r="H133" s="134" t="s">
        <v>340</v>
      </c>
      <c r="I133" s="134">
        <v>9.294409004E9</v>
      </c>
      <c r="J133" s="54">
        <v>28.0</v>
      </c>
      <c r="K133" s="55">
        <v>24.0</v>
      </c>
      <c r="L133" s="55">
        <v>0.0</v>
      </c>
      <c r="M133" s="55">
        <v>0.0</v>
      </c>
      <c r="N133" s="43">
        <f t="shared" si="5"/>
        <v>0</v>
      </c>
      <c r="O133" s="55">
        <v>4.0</v>
      </c>
      <c r="P133" s="55">
        <v>3.0</v>
      </c>
      <c r="Q133" s="43">
        <f t="shared" si="2"/>
        <v>7</v>
      </c>
      <c r="R133" s="43"/>
      <c r="S133" s="43"/>
      <c r="T133" s="43"/>
      <c r="U133" s="43"/>
      <c r="V133" s="43"/>
      <c r="W133" s="56" t="s">
        <v>46</v>
      </c>
      <c r="Z133" s="61"/>
      <c r="AA133" s="61"/>
      <c r="AB133" s="66"/>
      <c r="AC133" s="34"/>
      <c r="AD133" s="34"/>
    </row>
    <row r="134" ht="13.5" customHeight="1">
      <c r="A134" s="28">
        <v>128.0</v>
      </c>
      <c r="B134" s="37" t="s">
        <v>5372</v>
      </c>
      <c r="C134" s="37" t="s">
        <v>5373</v>
      </c>
      <c r="D134" s="37" t="s">
        <v>5374</v>
      </c>
      <c r="E134" s="133" t="s">
        <v>338</v>
      </c>
      <c r="F134" s="134">
        <v>53.0</v>
      </c>
      <c r="G134" s="134" t="s">
        <v>385</v>
      </c>
      <c r="H134" s="134" t="s">
        <v>839</v>
      </c>
      <c r="I134" s="134">
        <v>9.166927283E9</v>
      </c>
      <c r="J134" s="54">
        <v>19.0</v>
      </c>
      <c r="K134" s="55">
        <v>0.0</v>
      </c>
      <c r="L134" s="55">
        <v>0.0</v>
      </c>
      <c r="M134" s="55">
        <v>11.0</v>
      </c>
      <c r="N134" s="43">
        <f t="shared" si="5"/>
        <v>11</v>
      </c>
      <c r="O134" s="55">
        <v>13.0</v>
      </c>
      <c r="P134" s="55">
        <v>7.0</v>
      </c>
      <c r="Q134" s="43">
        <f t="shared" si="2"/>
        <v>31</v>
      </c>
      <c r="R134" s="43"/>
      <c r="S134" s="43"/>
      <c r="T134" s="43"/>
      <c r="U134" s="43"/>
      <c r="V134" s="43"/>
      <c r="W134" s="56" t="s">
        <v>46</v>
      </c>
      <c r="Z134" s="61"/>
      <c r="AA134" s="61"/>
      <c r="AB134" s="66"/>
      <c r="AC134" s="34"/>
      <c r="AD134" s="34"/>
    </row>
    <row r="135" ht="13.5" customHeight="1">
      <c r="A135" s="28">
        <v>129.0</v>
      </c>
      <c r="B135" s="37" t="s">
        <v>5375</v>
      </c>
      <c r="C135" s="37" t="s">
        <v>1347</v>
      </c>
      <c r="D135" s="37" t="s">
        <v>5376</v>
      </c>
      <c r="E135" s="133" t="s">
        <v>338</v>
      </c>
      <c r="F135" s="134">
        <v>56.0</v>
      </c>
      <c r="G135" s="134" t="s">
        <v>339</v>
      </c>
      <c r="H135" s="134" t="s">
        <v>839</v>
      </c>
      <c r="I135" s="134">
        <v>9.677587161E9</v>
      </c>
      <c r="J135" s="54">
        <v>24.0</v>
      </c>
      <c r="K135" s="55">
        <v>13.0</v>
      </c>
      <c r="L135" s="55">
        <v>0.0</v>
      </c>
      <c r="M135" s="55">
        <v>0.0</v>
      </c>
      <c r="N135" s="43">
        <f t="shared" si="5"/>
        <v>0</v>
      </c>
      <c r="O135" s="55">
        <v>8.0</v>
      </c>
      <c r="P135" s="55">
        <v>11.0</v>
      </c>
      <c r="Q135" s="43">
        <f t="shared" si="2"/>
        <v>19</v>
      </c>
      <c r="R135" s="43"/>
      <c r="S135" s="43"/>
      <c r="T135" s="43"/>
      <c r="U135" s="43"/>
      <c r="V135" s="55" t="s">
        <v>5377</v>
      </c>
      <c r="W135" s="56" t="s">
        <v>46</v>
      </c>
      <c r="Z135" s="61"/>
      <c r="AA135" s="61"/>
      <c r="AB135" s="66"/>
      <c r="AC135" s="34"/>
      <c r="AD135" s="34"/>
    </row>
    <row r="136" ht="13.5" customHeight="1">
      <c r="A136" s="28">
        <v>130.0</v>
      </c>
      <c r="B136" s="37" t="s">
        <v>5378</v>
      </c>
      <c r="C136" s="37" t="s">
        <v>5379</v>
      </c>
      <c r="D136" s="37" t="s">
        <v>5380</v>
      </c>
      <c r="E136" s="133" t="s">
        <v>338</v>
      </c>
      <c r="F136" s="134">
        <v>38.0</v>
      </c>
      <c r="G136" s="134" t="s">
        <v>339</v>
      </c>
      <c r="H136" s="208" t="s">
        <v>368</v>
      </c>
      <c r="I136" s="134">
        <v>9.953164226E9</v>
      </c>
      <c r="J136" s="54">
        <v>32.0</v>
      </c>
      <c r="K136" s="55">
        <v>16.0</v>
      </c>
      <c r="L136" s="55">
        <v>0.0</v>
      </c>
      <c r="M136" s="55">
        <v>1.0</v>
      </c>
      <c r="N136" s="43">
        <f t="shared" si="5"/>
        <v>1</v>
      </c>
      <c r="O136" s="55">
        <v>0.0</v>
      </c>
      <c r="P136" s="55">
        <v>15.0</v>
      </c>
      <c r="Q136" s="43">
        <f t="shared" si="2"/>
        <v>16</v>
      </c>
      <c r="R136" s="43"/>
      <c r="S136" s="55" t="s">
        <v>5105</v>
      </c>
      <c r="T136" s="43"/>
      <c r="U136" s="43"/>
      <c r="V136" s="55" t="s">
        <v>5106</v>
      </c>
      <c r="W136" s="56" t="s">
        <v>46</v>
      </c>
      <c r="Z136" s="61"/>
      <c r="AA136" s="61"/>
      <c r="AB136" s="66"/>
      <c r="AC136" s="34"/>
      <c r="AD136" s="34"/>
    </row>
    <row r="137" ht="13.5" customHeight="1">
      <c r="A137" s="28">
        <v>131.0</v>
      </c>
      <c r="B137" s="37" t="s">
        <v>5381</v>
      </c>
      <c r="C137" s="37" t="s">
        <v>5382</v>
      </c>
      <c r="D137" s="37" t="s">
        <v>5245</v>
      </c>
      <c r="E137" s="133" t="s">
        <v>338</v>
      </c>
      <c r="F137" s="134">
        <v>44.0</v>
      </c>
      <c r="G137" s="134" t="s">
        <v>339</v>
      </c>
      <c r="H137" s="134" t="s">
        <v>5181</v>
      </c>
      <c r="I137" s="134">
        <v>9.471030592E9</v>
      </c>
      <c r="J137" s="54">
        <v>27.0</v>
      </c>
      <c r="K137" s="55">
        <v>23.0</v>
      </c>
      <c r="L137" s="55">
        <v>0.0</v>
      </c>
      <c r="M137" s="55">
        <v>2.0</v>
      </c>
      <c r="N137" s="43">
        <f t="shared" si="5"/>
        <v>2</v>
      </c>
      <c r="O137" s="55">
        <v>5.0</v>
      </c>
      <c r="P137" s="55">
        <v>2.0</v>
      </c>
      <c r="Q137" s="43">
        <f t="shared" si="2"/>
        <v>9</v>
      </c>
      <c r="R137" s="43"/>
      <c r="S137" s="55" t="s">
        <v>277</v>
      </c>
      <c r="T137" s="43"/>
      <c r="U137" s="43"/>
      <c r="V137" s="43"/>
      <c r="W137" s="56" t="s">
        <v>46</v>
      </c>
      <c r="X137" s="138"/>
      <c r="Z137" s="61"/>
      <c r="AA137" s="61"/>
      <c r="AB137" s="66"/>
      <c r="AC137" s="34"/>
      <c r="AD137" s="34"/>
    </row>
    <row r="138" ht="13.5" customHeight="1">
      <c r="A138" s="424">
        <v>132.0</v>
      </c>
      <c r="B138" s="37" t="s">
        <v>5383</v>
      </c>
      <c r="C138" s="257" t="s">
        <v>2304</v>
      </c>
      <c r="D138" s="37" t="s">
        <v>5384</v>
      </c>
      <c r="E138" s="133" t="s">
        <v>338</v>
      </c>
      <c r="F138" s="134">
        <v>44.0</v>
      </c>
      <c r="G138" s="134" t="s">
        <v>339</v>
      </c>
      <c r="H138" s="134" t="s">
        <v>839</v>
      </c>
      <c r="I138" s="134">
        <v>9.652833744E9</v>
      </c>
      <c r="J138" s="54">
        <v>27.0</v>
      </c>
      <c r="K138" s="55">
        <v>22.0</v>
      </c>
      <c r="L138" s="55">
        <v>0.0</v>
      </c>
      <c r="M138" s="55">
        <v>1.0</v>
      </c>
      <c r="N138" s="43">
        <f t="shared" si="5"/>
        <v>1</v>
      </c>
      <c r="O138" s="55">
        <v>5.0</v>
      </c>
      <c r="P138" s="55">
        <v>3.0</v>
      </c>
      <c r="Q138" s="43">
        <f t="shared" si="2"/>
        <v>9</v>
      </c>
      <c r="R138" s="43"/>
      <c r="S138" s="55" t="s">
        <v>3704</v>
      </c>
      <c r="T138" s="43"/>
      <c r="U138" s="43"/>
      <c r="V138" s="55" t="s">
        <v>1049</v>
      </c>
      <c r="W138" s="425" t="s">
        <v>46</v>
      </c>
      <c r="X138" s="426"/>
      <c r="Y138" s="426"/>
      <c r="Z138" s="61"/>
      <c r="AA138" s="61"/>
      <c r="AB138" s="66"/>
      <c r="AC138" s="34"/>
      <c r="AD138" s="34"/>
    </row>
    <row r="139" ht="13.5" customHeight="1">
      <c r="A139" s="28">
        <v>133.0</v>
      </c>
      <c r="B139" s="37" t="s">
        <v>3619</v>
      </c>
      <c r="C139" s="37" t="s">
        <v>5385</v>
      </c>
      <c r="D139" s="37" t="s">
        <v>1192</v>
      </c>
      <c r="E139" s="133" t="s">
        <v>338</v>
      </c>
      <c r="F139" s="134">
        <v>48.0</v>
      </c>
      <c r="G139" s="134" t="s">
        <v>385</v>
      </c>
      <c r="H139" s="134" t="s">
        <v>340</v>
      </c>
      <c r="I139" s="134">
        <v>9.684997883E9</v>
      </c>
      <c r="J139" s="54">
        <v>20.0</v>
      </c>
      <c r="K139" s="55">
        <v>17.0</v>
      </c>
      <c r="L139" s="55">
        <v>0.0</v>
      </c>
      <c r="M139" s="55">
        <v>1.0</v>
      </c>
      <c r="N139" s="43">
        <f t="shared" si="5"/>
        <v>1</v>
      </c>
      <c r="O139" s="55">
        <v>12.0</v>
      </c>
      <c r="P139" s="55">
        <v>2.0</v>
      </c>
      <c r="Q139" s="43">
        <f t="shared" si="2"/>
        <v>15</v>
      </c>
      <c r="R139" s="43"/>
      <c r="S139" s="55" t="s">
        <v>5386</v>
      </c>
      <c r="T139" s="43"/>
      <c r="U139" s="43"/>
      <c r="V139" s="43"/>
      <c r="W139" s="56" t="s">
        <v>46</v>
      </c>
      <c r="Z139" s="61"/>
      <c r="AA139" s="61"/>
      <c r="AB139" s="66"/>
      <c r="AC139" s="34"/>
      <c r="AD139" s="34"/>
    </row>
    <row r="140" ht="13.5" customHeight="1">
      <c r="A140" s="28">
        <v>134.0</v>
      </c>
      <c r="B140" s="37" t="s">
        <v>1518</v>
      </c>
      <c r="C140" s="37" t="s">
        <v>5387</v>
      </c>
      <c r="D140" s="37" t="s">
        <v>5388</v>
      </c>
      <c r="E140" s="133" t="s">
        <v>338</v>
      </c>
      <c r="F140" s="134">
        <v>30.0</v>
      </c>
      <c r="G140" s="134" t="s">
        <v>385</v>
      </c>
      <c r="H140" s="134" t="s">
        <v>839</v>
      </c>
      <c r="I140" s="134">
        <v>9.300519016E9</v>
      </c>
      <c r="J140" s="54">
        <v>30.0</v>
      </c>
      <c r="K140" s="55">
        <v>23.0</v>
      </c>
      <c r="L140" s="55">
        <v>1.0</v>
      </c>
      <c r="M140" s="55">
        <v>6.0</v>
      </c>
      <c r="N140" s="43">
        <f t="shared" si="5"/>
        <v>7</v>
      </c>
      <c r="O140" s="55">
        <v>1.0</v>
      </c>
      <c r="P140" s="55">
        <v>0.0</v>
      </c>
      <c r="Q140" s="43">
        <f t="shared" si="2"/>
        <v>8</v>
      </c>
      <c r="R140" s="43"/>
      <c r="S140" s="43"/>
      <c r="T140" s="43"/>
      <c r="U140" s="43"/>
      <c r="V140" s="43"/>
      <c r="W140" s="56" t="s">
        <v>46</v>
      </c>
      <c r="Z140" s="61"/>
      <c r="AA140" s="61"/>
      <c r="AB140" s="66"/>
      <c r="AC140" s="34"/>
      <c r="AD140" s="34"/>
    </row>
    <row r="141" ht="13.5" customHeight="1">
      <c r="A141" s="28">
        <v>135.0</v>
      </c>
      <c r="B141" s="37" t="s">
        <v>1518</v>
      </c>
      <c r="C141" s="37" t="s">
        <v>5389</v>
      </c>
      <c r="D141" s="37" t="s">
        <v>5390</v>
      </c>
      <c r="E141" s="133" t="s">
        <v>338</v>
      </c>
      <c r="F141" s="134">
        <v>32.0</v>
      </c>
      <c r="G141" s="134" t="s">
        <v>339</v>
      </c>
      <c r="H141" s="134" t="s">
        <v>340</v>
      </c>
      <c r="I141" s="134">
        <v>9.454588826E9</v>
      </c>
      <c r="J141" s="54">
        <v>29.0</v>
      </c>
      <c r="K141" s="55">
        <v>25.0</v>
      </c>
      <c r="L141" s="55">
        <v>0.0</v>
      </c>
      <c r="M141" s="55">
        <v>0.0</v>
      </c>
      <c r="N141" s="43">
        <f t="shared" si="5"/>
        <v>0</v>
      </c>
      <c r="O141" s="55">
        <v>3.0</v>
      </c>
      <c r="P141" s="55">
        <v>4.0</v>
      </c>
      <c r="Q141" s="43">
        <f t="shared" si="2"/>
        <v>7</v>
      </c>
      <c r="R141" s="43"/>
      <c r="S141" s="43"/>
      <c r="T141" s="43"/>
      <c r="U141" s="43"/>
      <c r="V141" s="43"/>
      <c r="W141" s="56" t="s">
        <v>46</v>
      </c>
      <c r="Z141" s="61"/>
      <c r="AA141" s="61"/>
      <c r="AB141" s="66"/>
      <c r="AC141" s="34"/>
      <c r="AD141" s="34"/>
    </row>
    <row r="142" ht="13.5" customHeight="1">
      <c r="A142" s="28">
        <v>136.0</v>
      </c>
      <c r="B142" s="257" t="s">
        <v>5391</v>
      </c>
      <c r="C142" s="257" t="s">
        <v>5392</v>
      </c>
      <c r="D142" s="257" t="s">
        <v>5393</v>
      </c>
      <c r="E142" s="133" t="s">
        <v>338</v>
      </c>
      <c r="F142" s="208">
        <v>31.0</v>
      </c>
      <c r="G142" s="208" t="s">
        <v>339</v>
      </c>
      <c r="H142" s="208" t="s">
        <v>833</v>
      </c>
      <c r="I142" s="208">
        <v>9.065635361E9</v>
      </c>
      <c r="J142" s="54">
        <v>29.0</v>
      </c>
      <c r="K142" s="55">
        <v>24.0</v>
      </c>
      <c r="L142" s="55">
        <v>0.0</v>
      </c>
      <c r="M142" s="55">
        <v>1.0</v>
      </c>
      <c r="N142" s="43">
        <f t="shared" si="5"/>
        <v>1</v>
      </c>
      <c r="O142" s="55">
        <v>3.0</v>
      </c>
      <c r="P142" s="55">
        <v>4.0</v>
      </c>
      <c r="Q142" s="43">
        <f t="shared" si="2"/>
        <v>8</v>
      </c>
      <c r="R142" s="43"/>
      <c r="S142" s="43"/>
      <c r="T142" s="43"/>
      <c r="U142" s="43"/>
      <c r="V142" s="43"/>
      <c r="W142" s="56" t="s">
        <v>46</v>
      </c>
      <c r="Z142" s="61"/>
      <c r="AA142" s="61"/>
      <c r="AB142" s="66"/>
      <c r="AC142" s="34"/>
      <c r="AD142" s="34"/>
    </row>
    <row r="143" ht="13.5" customHeight="1">
      <c r="A143" s="28">
        <v>137.0</v>
      </c>
      <c r="B143" s="37" t="s">
        <v>5082</v>
      </c>
      <c r="C143" s="37" t="s">
        <v>5394</v>
      </c>
      <c r="D143" s="37" t="s">
        <v>5035</v>
      </c>
      <c r="E143" s="133" t="s">
        <v>338</v>
      </c>
      <c r="F143" s="134">
        <v>46.0</v>
      </c>
      <c r="G143" s="134" t="s">
        <v>385</v>
      </c>
      <c r="H143" s="134" t="s">
        <v>839</v>
      </c>
      <c r="I143" s="134">
        <v>9.554852918E9</v>
      </c>
      <c r="J143" s="54">
        <v>23.0</v>
      </c>
      <c r="K143" s="55">
        <v>13.0</v>
      </c>
      <c r="L143" s="55">
        <v>7.0</v>
      </c>
      <c r="M143" s="55">
        <v>1.0</v>
      </c>
      <c r="N143" s="43">
        <f t="shared" si="5"/>
        <v>8</v>
      </c>
      <c r="O143" s="55">
        <v>9.0</v>
      </c>
      <c r="P143" s="55">
        <v>2.0</v>
      </c>
      <c r="Q143" s="43">
        <f t="shared" si="2"/>
        <v>19</v>
      </c>
      <c r="R143" s="43"/>
      <c r="S143" s="55" t="s">
        <v>88</v>
      </c>
      <c r="T143" s="43"/>
      <c r="U143" s="43"/>
      <c r="V143" s="43"/>
      <c r="W143" s="56" t="s">
        <v>46</v>
      </c>
      <c r="Z143" s="61"/>
      <c r="AA143" s="61"/>
      <c r="AB143" s="66"/>
      <c r="AC143" s="34"/>
      <c r="AD143" s="34"/>
    </row>
    <row r="144" ht="13.5" customHeight="1">
      <c r="A144" s="28">
        <v>138.0</v>
      </c>
      <c r="B144" s="37" t="s">
        <v>1532</v>
      </c>
      <c r="C144" s="37" t="s">
        <v>5395</v>
      </c>
      <c r="D144" s="37" t="s">
        <v>3720</v>
      </c>
      <c r="E144" s="133" t="s">
        <v>338</v>
      </c>
      <c r="F144" s="134">
        <v>39.0</v>
      </c>
      <c r="G144" s="134" t="s">
        <v>339</v>
      </c>
      <c r="H144" s="134" t="s">
        <v>839</v>
      </c>
      <c r="I144" s="134">
        <v>9.993076156E9</v>
      </c>
      <c r="J144" s="54">
        <v>30.0</v>
      </c>
      <c r="K144" s="55">
        <v>23.0</v>
      </c>
      <c r="L144" s="55">
        <v>1.0</v>
      </c>
      <c r="M144" s="55">
        <v>6.0</v>
      </c>
      <c r="N144" s="43">
        <f t="shared" si="5"/>
        <v>7</v>
      </c>
      <c r="O144" s="55">
        <v>2.0</v>
      </c>
      <c r="P144" s="55">
        <v>0.0</v>
      </c>
      <c r="Q144" s="43">
        <f t="shared" si="2"/>
        <v>9</v>
      </c>
      <c r="R144" s="43"/>
      <c r="S144" s="43"/>
      <c r="T144" s="43"/>
      <c r="U144" s="43"/>
      <c r="V144" s="43"/>
      <c r="W144" s="56" t="s">
        <v>46</v>
      </c>
      <c r="Z144" s="61"/>
      <c r="AA144" s="61"/>
      <c r="AB144" s="66"/>
      <c r="AC144" s="34"/>
      <c r="AD144" s="34"/>
    </row>
    <row r="145" ht="13.5" customHeight="1">
      <c r="A145" s="28">
        <v>139.0</v>
      </c>
      <c r="B145" s="257" t="s">
        <v>4561</v>
      </c>
      <c r="C145" s="257" t="s">
        <v>5396</v>
      </c>
      <c r="D145" s="257" t="s">
        <v>5397</v>
      </c>
      <c r="E145" s="133" t="s">
        <v>338</v>
      </c>
      <c r="F145" s="134">
        <v>34.0</v>
      </c>
      <c r="G145" s="208" t="s">
        <v>339</v>
      </c>
      <c r="H145" s="134" t="s">
        <v>340</v>
      </c>
      <c r="I145" s="134">
        <v>9.774202982E9</v>
      </c>
      <c r="J145" s="54">
        <v>28.0</v>
      </c>
      <c r="K145" s="55">
        <v>22.0</v>
      </c>
      <c r="L145" s="55">
        <v>0.0</v>
      </c>
      <c r="M145" s="55">
        <v>5.0</v>
      </c>
      <c r="N145" s="43">
        <f t="shared" si="5"/>
        <v>5</v>
      </c>
      <c r="O145" s="55">
        <v>2.0</v>
      </c>
      <c r="P145" s="55">
        <v>1.0</v>
      </c>
      <c r="Q145" s="43">
        <f t="shared" si="2"/>
        <v>8</v>
      </c>
      <c r="R145" s="43"/>
      <c r="S145" s="43"/>
      <c r="T145" s="43"/>
      <c r="U145" s="43"/>
      <c r="V145" s="43"/>
      <c r="W145" s="56" t="s">
        <v>46</v>
      </c>
      <c r="Z145" s="61"/>
      <c r="AA145" s="61"/>
      <c r="AB145" s="66"/>
      <c r="AC145" s="34"/>
      <c r="AD145" s="34"/>
    </row>
    <row r="146" ht="13.5" customHeight="1">
      <c r="A146" s="28">
        <v>140.0</v>
      </c>
      <c r="B146" s="37" t="s">
        <v>3637</v>
      </c>
      <c r="C146" s="37" t="s">
        <v>4411</v>
      </c>
      <c r="D146" s="37" t="s">
        <v>2522</v>
      </c>
      <c r="E146" s="133" t="s">
        <v>338</v>
      </c>
      <c r="F146" s="134">
        <v>35.0</v>
      </c>
      <c r="G146" s="134" t="s">
        <v>339</v>
      </c>
      <c r="H146" s="208" t="s">
        <v>340</v>
      </c>
      <c r="I146" s="134">
        <v>9.165207537E9</v>
      </c>
      <c r="J146" s="54">
        <v>23.0</v>
      </c>
      <c r="K146" s="55">
        <v>17.0</v>
      </c>
      <c r="L146" s="55">
        <v>0.0</v>
      </c>
      <c r="M146" s="55">
        <v>4.0</v>
      </c>
      <c r="N146" s="43">
        <f t="shared" si="5"/>
        <v>4</v>
      </c>
      <c r="O146" s="55">
        <v>9.0</v>
      </c>
      <c r="P146" s="55">
        <v>2.0</v>
      </c>
      <c r="Q146" s="43">
        <f t="shared" si="2"/>
        <v>15</v>
      </c>
      <c r="R146" s="43"/>
      <c r="S146" s="43"/>
      <c r="T146" s="43"/>
      <c r="U146" s="43"/>
      <c r="V146" s="43"/>
      <c r="W146" s="56" t="s">
        <v>46</v>
      </c>
      <c r="Z146" s="61"/>
      <c r="AA146" s="61"/>
      <c r="AB146" s="66"/>
      <c r="AC146" s="34"/>
      <c r="AD146" s="34"/>
    </row>
    <row r="147" ht="13.5" customHeight="1">
      <c r="A147" s="28">
        <v>141.0</v>
      </c>
      <c r="B147" s="37" t="s">
        <v>5398</v>
      </c>
      <c r="C147" s="37" t="s">
        <v>5399</v>
      </c>
      <c r="D147" s="37" t="s">
        <v>5400</v>
      </c>
      <c r="E147" s="133" t="s">
        <v>338</v>
      </c>
      <c r="F147" s="134">
        <v>41.0</v>
      </c>
      <c r="G147" s="134" t="s">
        <v>339</v>
      </c>
      <c r="H147" s="134" t="s">
        <v>839</v>
      </c>
      <c r="I147" s="134">
        <v>9.770363497E9</v>
      </c>
      <c r="J147" s="54">
        <v>28.0</v>
      </c>
      <c r="K147" s="55">
        <v>22.0</v>
      </c>
      <c r="L147" s="55">
        <v>0.0</v>
      </c>
      <c r="M147" s="55">
        <v>3.0</v>
      </c>
      <c r="N147" s="43">
        <f t="shared" si="5"/>
        <v>3</v>
      </c>
      <c r="O147" s="55">
        <v>4.0</v>
      </c>
      <c r="P147" s="55">
        <v>3.0</v>
      </c>
      <c r="Q147" s="43">
        <f t="shared" si="2"/>
        <v>10</v>
      </c>
      <c r="R147" s="43"/>
      <c r="S147" s="43"/>
      <c r="T147" s="43"/>
      <c r="U147" s="43"/>
      <c r="V147" s="43"/>
      <c r="W147" s="56" t="s">
        <v>46</v>
      </c>
      <c r="Z147" s="61"/>
      <c r="AA147" s="61"/>
      <c r="AB147" s="66"/>
      <c r="AC147" s="34"/>
      <c r="AD147" s="34"/>
    </row>
    <row r="148" ht="13.5" customHeight="1">
      <c r="A148" s="424">
        <v>142.0</v>
      </c>
      <c r="B148" s="37" t="s">
        <v>5230</v>
      </c>
      <c r="C148" s="37" t="s">
        <v>3335</v>
      </c>
      <c r="D148" s="37" t="s">
        <v>5401</v>
      </c>
      <c r="E148" s="133" t="s">
        <v>338</v>
      </c>
      <c r="F148" s="134">
        <v>27.0</v>
      </c>
      <c r="G148" s="134" t="s">
        <v>385</v>
      </c>
      <c r="H148" s="134" t="s">
        <v>833</v>
      </c>
      <c r="I148" s="134">
        <v>9.465554195E9</v>
      </c>
      <c r="J148" s="54">
        <v>31.0</v>
      </c>
      <c r="K148" s="55">
        <v>29.0</v>
      </c>
      <c r="L148" s="55">
        <v>0.0</v>
      </c>
      <c r="M148" s="55">
        <v>1.0</v>
      </c>
      <c r="N148" s="43">
        <f t="shared" si="5"/>
        <v>1</v>
      </c>
      <c r="O148" s="55">
        <v>1.0</v>
      </c>
      <c r="P148" s="55">
        <v>0.0</v>
      </c>
      <c r="Q148" s="43">
        <f t="shared" si="2"/>
        <v>2</v>
      </c>
      <c r="R148" s="43"/>
      <c r="S148" s="43"/>
      <c r="T148" s="43"/>
      <c r="U148" s="43"/>
      <c r="V148" s="43"/>
      <c r="W148" s="425" t="s">
        <v>46</v>
      </c>
      <c r="X148" s="426"/>
      <c r="Y148" s="426"/>
      <c r="Z148" s="61"/>
      <c r="AA148" s="61"/>
      <c r="AB148" s="66"/>
      <c r="AC148" s="34"/>
      <c r="AD148" s="34"/>
    </row>
    <row r="149" ht="13.5" customHeight="1">
      <c r="A149" s="28">
        <v>143.0</v>
      </c>
      <c r="B149" s="37" t="s">
        <v>1075</v>
      </c>
      <c r="C149" s="37" t="s">
        <v>5402</v>
      </c>
      <c r="D149" s="37" t="s">
        <v>5403</v>
      </c>
      <c r="E149" s="133" t="s">
        <v>338</v>
      </c>
      <c r="F149" s="134">
        <v>26.0</v>
      </c>
      <c r="G149" s="134" t="s">
        <v>339</v>
      </c>
      <c r="H149" s="134" t="s">
        <v>5404</v>
      </c>
      <c r="I149" s="134">
        <v>9.918433916E9</v>
      </c>
      <c r="J149" s="54">
        <v>30.0</v>
      </c>
      <c r="K149" s="55">
        <v>26.0</v>
      </c>
      <c r="L149" s="55">
        <v>0.0</v>
      </c>
      <c r="M149" s="55">
        <v>4.0</v>
      </c>
      <c r="N149" s="43">
        <f t="shared" si="5"/>
        <v>4</v>
      </c>
      <c r="O149" s="55">
        <v>2.0</v>
      </c>
      <c r="P149" s="55">
        <v>0.0</v>
      </c>
      <c r="Q149" s="43">
        <f t="shared" si="2"/>
        <v>6</v>
      </c>
      <c r="R149" s="43"/>
      <c r="S149" s="43"/>
      <c r="T149" s="43"/>
      <c r="U149" s="43"/>
      <c r="V149" s="43"/>
      <c r="W149" s="56" t="s">
        <v>46</v>
      </c>
      <c r="Z149" s="61"/>
      <c r="AA149" s="61"/>
      <c r="AB149" s="66"/>
      <c r="AC149" s="34"/>
      <c r="AD149" s="34"/>
    </row>
    <row r="150" ht="13.5" customHeight="1">
      <c r="A150" s="28">
        <v>144.0</v>
      </c>
      <c r="B150" s="37" t="s">
        <v>3828</v>
      </c>
      <c r="C150" s="37" t="s">
        <v>1472</v>
      </c>
      <c r="D150" s="37" t="s">
        <v>1353</v>
      </c>
      <c r="E150" s="133" t="s">
        <v>338</v>
      </c>
      <c r="F150" s="134">
        <v>29.0</v>
      </c>
      <c r="G150" s="134" t="s">
        <v>339</v>
      </c>
      <c r="H150" s="205" t="s">
        <v>5405</v>
      </c>
      <c r="I150" s="134">
        <v>9.761433406E9</v>
      </c>
      <c r="J150" s="54">
        <v>28.0</v>
      </c>
      <c r="K150" s="55">
        <v>24.0</v>
      </c>
      <c r="L150" s="55">
        <v>0.0</v>
      </c>
      <c r="M150" s="55">
        <v>3.0</v>
      </c>
      <c r="N150" s="43">
        <f t="shared" si="5"/>
        <v>3</v>
      </c>
      <c r="O150" s="55">
        <v>4.0</v>
      </c>
      <c r="P150" s="55">
        <v>1.0</v>
      </c>
      <c r="Q150" s="43">
        <f t="shared" si="2"/>
        <v>8</v>
      </c>
      <c r="R150" s="43"/>
      <c r="S150" s="43"/>
      <c r="T150" s="43"/>
      <c r="U150" s="43"/>
      <c r="V150" s="43"/>
      <c r="W150" s="56" t="s">
        <v>46</v>
      </c>
      <c r="Z150" s="61"/>
      <c r="AA150" s="61"/>
      <c r="AB150" s="66"/>
      <c r="AC150" s="34"/>
      <c r="AD150" s="34"/>
    </row>
    <row r="151" ht="13.5" customHeight="1">
      <c r="A151" s="28">
        <v>145.0</v>
      </c>
      <c r="B151" s="37" t="s">
        <v>5406</v>
      </c>
      <c r="C151" s="37" t="s">
        <v>5407</v>
      </c>
      <c r="D151" s="37" t="s">
        <v>112</v>
      </c>
      <c r="E151" s="133" t="s">
        <v>338</v>
      </c>
      <c r="F151" s="134">
        <v>51.0</v>
      </c>
      <c r="G151" s="134" t="s">
        <v>339</v>
      </c>
      <c r="H151" s="134" t="s">
        <v>5408</v>
      </c>
      <c r="I151" s="134">
        <v>9.258686671E9</v>
      </c>
      <c r="J151" s="54">
        <v>19.0</v>
      </c>
      <c r="K151" s="55">
        <v>14.0</v>
      </c>
      <c r="L151" s="55">
        <v>0.0</v>
      </c>
      <c r="M151" s="55">
        <v>5.0</v>
      </c>
      <c r="N151" s="43">
        <f t="shared" si="5"/>
        <v>5</v>
      </c>
      <c r="O151" s="55">
        <v>13.0</v>
      </c>
      <c r="P151" s="55">
        <v>0.0</v>
      </c>
      <c r="Q151" s="43">
        <f t="shared" si="2"/>
        <v>18</v>
      </c>
      <c r="R151" s="43"/>
      <c r="S151" s="43"/>
      <c r="T151" s="43"/>
      <c r="U151" s="43"/>
      <c r="V151" s="43"/>
      <c r="W151" s="56" t="s">
        <v>46</v>
      </c>
      <c r="Z151" s="61"/>
      <c r="AA151" s="61"/>
      <c r="AB151" s="66"/>
      <c r="AC151" s="34"/>
      <c r="AD151" s="34"/>
    </row>
    <row r="152" ht="13.5" customHeight="1">
      <c r="A152" s="28">
        <v>146.0</v>
      </c>
      <c r="B152" s="432" t="s">
        <v>5409</v>
      </c>
      <c r="C152" s="433" t="s">
        <v>5410</v>
      </c>
      <c r="D152" s="433" t="s">
        <v>5411</v>
      </c>
      <c r="E152" s="434" t="s">
        <v>338</v>
      </c>
      <c r="F152" s="435">
        <v>35.0</v>
      </c>
      <c r="G152" s="435" t="s">
        <v>339</v>
      </c>
      <c r="H152" s="435" t="s">
        <v>5412</v>
      </c>
      <c r="I152" s="435">
        <v>9.302540821E9</v>
      </c>
      <c r="J152" s="54">
        <v>30.0</v>
      </c>
      <c r="K152" s="55">
        <v>24.0</v>
      </c>
      <c r="L152" s="55">
        <v>0.0</v>
      </c>
      <c r="M152" s="55">
        <v>4.0</v>
      </c>
      <c r="N152" s="43">
        <f t="shared" si="5"/>
        <v>4</v>
      </c>
      <c r="O152" s="55">
        <v>2.0</v>
      </c>
      <c r="P152" s="55">
        <v>2.0</v>
      </c>
      <c r="Q152" s="43">
        <f t="shared" si="2"/>
        <v>8</v>
      </c>
      <c r="R152" s="43"/>
      <c r="S152" s="43"/>
      <c r="T152" s="43"/>
      <c r="U152" s="43"/>
      <c r="V152" s="43"/>
      <c r="W152" s="56" t="s">
        <v>46</v>
      </c>
      <c r="X152" s="138"/>
      <c r="Z152" s="61"/>
      <c r="AA152" s="61"/>
      <c r="AB152" s="66"/>
      <c r="AC152" s="34"/>
      <c r="AD152" s="34"/>
    </row>
    <row r="153" ht="13.5" customHeight="1">
      <c r="A153" s="28">
        <v>147.0</v>
      </c>
      <c r="B153" s="436"/>
      <c r="C153" s="437"/>
      <c r="D153" s="437"/>
      <c r="E153" s="438"/>
      <c r="F153" s="439"/>
      <c r="G153" s="439"/>
      <c r="H153" s="439"/>
      <c r="I153" s="439"/>
      <c r="J153" s="42"/>
      <c r="K153" s="43"/>
      <c r="L153" s="43"/>
      <c r="M153" s="43"/>
      <c r="N153" s="43">
        <f t="shared" si="5"/>
        <v>0</v>
      </c>
      <c r="O153" s="43"/>
      <c r="P153" s="43"/>
      <c r="Q153" s="43">
        <f t="shared" si="2"/>
        <v>0</v>
      </c>
      <c r="R153" s="43"/>
      <c r="S153" s="43"/>
      <c r="T153" s="43"/>
      <c r="U153" s="43"/>
      <c r="V153" s="43"/>
      <c r="W153" s="44"/>
      <c r="Z153" s="61"/>
      <c r="AA153" s="61"/>
      <c r="AB153" s="66"/>
      <c r="AC153" s="34"/>
      <c r="AD153" s="34"/>
    </row>
    <row r="154" ht="13.5" customHeight="1">
      <c r="A154" s="28">
        <v>148.0</v>
      </c>
      <c r="B154" s="116"/>
      <c r="C154" s="116"/>
      <c r="D154" s="116"/>
      <c r="E154" s="438"/>
      <c r="F154" s="439"/>
      <c r="G154" s="439"/>
      <c r="H154" s="439"/>
      <c r="I154" s="439"/>
      <c r="J154" s="42"/>
      <c r="K154" s="43"/>
      <c r="L154" s="43"/>
      <c r="M154" s="43"/>
      <c r="N154" s="43">
        <f t="shared" si="5"/>
        <v>0</v>
      </c>
      <c r="O154" s="43"/>
      <c r="P154" s="43"/>
      <c r="Q154" s="43">
        <f t="shared" si="2"/>
        <v>0</v>
      </c>
      <c r="R154" s="43"/>
      <c r="S154" s="43"/>
      <c r="T154" s="43"/>
      <c r="U154" s="43"/>
      <c r="V154" s="43"/>
      <c r="W154" s="44"/>
      <c r="Z154" s="61"/>
      <c r="AA154" s="61"/>
      <c r="AB154" s="66"/>
      <c r="AC154" s="34"/>
      <c r="AD154" s="34"/>
    </row>
    <row r="155" ht="13.5" customHeight="1">
      <c r="A155" s="28">
        <v>149.0</v>
      </c>
      <c r="B155" s="116"/>
      <c r="C155" s="116"/>
      <c r="D155" s="116"/>
      <c r="E155" s="117"/>
      <c r="F155" s="117"/>
      <c r="G155" s="117"/>
      <c r="H155" s="117"/>
      <c r="I155" s="117"/>
      <c r="J155" s="42"/>
      <c r="K155" s="43"/>
      <c r="L155" s="43"/>
      <c r="M155" s="43"/>
      <c r="N155" s="43">
        <f t="shared" si="5"/>
        <v>0</v>
      </c>
      <c r="O155" s="43"/>
      <c r="P155" s="43"/>
      <c r="Q155" s="43">
        <f t="shared" si="2"/>
        <v>0</v>
      </c>
      <c r="R155" s="43"/>
      <c r="S155" s="43"/>
      <c r="T155" s="43"/>
      <c r="U155" s="43"/>
      <c r="V155" s="43"/>
      <c r="W155" s="44"/>
      <c r="Z155" s="61"/>
      <c r="AA155" s="61"/>
      <c r="AB155" s="66"/>
      <c r="AC155" s="34"/>
      <c r="AD155" s="34"/>
    </row>
    <row r="156" ht="13.5" customHeight="1">
      <c r="A156" s="28">
        <v>150.0</v>
      </c>
      <c r="B156" s="116"/>
      <c r="C156" s="116"/>
      <c r="D156" s="116"/>
      <c r="E156" s="117"/>
      <c r="F156" s="117"/>
      <c r="G156" s="117"/>
      <c r="H156" s="117"/>
      <c r="I156" s="117"/>
      <c r="J156" s="42"/>
      <c r="K156" s="43"/>
      <c r="L156" s="43"/>
      <c r="M156" s="43"/>
      <c r="N156" s="43">
        <f t="shared" si="5"/>
        <v>0</v>
      </c>
      <c r="O156" s="43"/>
      <c r="P156" s="43"/>
      <c r="Q156" s="43">
        <f t="shared" si="2"/>
        <v>0</v>
      </c>
      <c r="R156" s="43"/>
      <c r="S156" s="43"/>
      <c r="T156" s="43"/>
      <c r="U156" s="43"/>
      <c r="V156" s="43"/>
      <c r="W156" s="44"/>
      <c r="Z156" s="61"/>
      <c r="AA156" s="61"/>
      <c r="AB156" s="66"/>
      <c r="AC156" s="34"/>
      <c r="AD156" s="34"/>
    </row>
    <row r="157" ht="13.5" customHeight="1">
      <c r="A157" s="118"/>
      <c r="B157" s="119"/>
      <c r="C157" s="119"/>
      <c r="D157" s="120"/>
      <c r="E157" s="121"/>
      <c r="F157" s="121"/>
      <c r="G157" s="121"/>
      <c r="H157" s="121"/>
      <c r="I157" s="122" t="s">
        <v>329</v>
      </c>
      <c r="J157" s="123">
        <f t="shared" ref="J157:Q157" si="6">SUM(J7:J156)</f>
        <v>3755</v>
      </c>
      <c r="K157" s="123">
        <f t="shared" si="6"/>
        <v>3015</v>
      </c>
      <c r="L157" s="123">
        <f t="shared" si="6"/>
        <v>46</v>
      </c>
      <c r="M157" s="123">
        <f t="shared" si="6"/>
        <v>324</v>
      </c>
      <c r="N157" s="123">
        <f t="shared" si="6"/>
        <v>353</v>
      </c>
      <c r="O157" s="123">
        <f t="shared" si="6"/>
        <v>671</v>
      </c>
      <c r="P157" s="123">
        <f t="shared" si="6"/>
        <v>363</v>
      </c>
      <c r="Q157" s="123">
        <f t="shared" si="6"/>
        <v>1387</v>
      </c>
      <c r="R157" s="124"/>
      <c r="S157" s="124"/>
      <c r="T157" s="125"/>
      <c r="U157" s="145" t="s">
        <v>330</v>
      </c>
      <c r="V157" s="5"/>
      <c r="W157" s="126">
        <f>countif(W7:W156,"YES")</f>
        <v>140</v>
      </c>
      <c r="Z157" s="61"/>
      <c r="AA157" s="61"/>
      <c r="AB157" s="66"/>
      <c r="AC157" s="34"/>
      <c r="AD157" s="34"/>
    </row>
    <row r="158" ht="13.5" customHeight="1">
      <c r="A158" s="127"/>
      <c r="B158" s="128"/>
      <c r="C158" s="128"/>
      <c r="D158" s="129"/>
      <c r="E158" s="130"/>
      <c r="F158" s="130"/>
      <c r="G158" s="130"/>
      <c r="H158" s="130"/>
      <c r="I158" s="130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 t="s">
        <v>331</v>
      </c>
      <c r="W158" s="126"/>
      <c r="Z158" s="34"/>
      <c r="AA158" s="34"/>
      <c r="AB158" s="34"/>
      <c r="AC158" s="34"/>
      <c r="AD158" s="34"/>
    </row>
    <row r="159" ht="13.5" customHeight="1">
      <c r="Z159" s="34"/>
      <c r="AA159" s="34"/>
      <c r="AB159" s="34"/>
      <c r="AC159" s="34"/>
      <c r="AD159" s="34"/>
    </row>
    <row r="160" ht="13.5" customHeight="1">
      <c r="Z160" s="34"/>
      <c r="AA160" s="34"/>
      <c r="AB160" s="34"/>
      <c r="AC160" s="34"/>
      <c r="AD160" s="34"/>
    </row>
    <row r="161" ht="13.5" customHeight="1">
      <c r="Z161" s="34"/>
      <c r="AA161" s="34"/>
      <c r="AB161" s="34"/>
      <c r="AC161" s="34"/>
      <c r="AD161" s="34"/>
    </row>
    <row r="162" ht="13.5" customHeight="1">
      <c r="Z162" s="34"/>
      <c r="AA162" s="34"/>
      <c r="AB162" s="34"/>
      <c r="AC162" s="34"/>
      <c r="AD162" s="34"/>
    </row>
    <row r="163" ht="13.5" customHeight="1">
      <c r="Z163" s="34"/>
      <c r="AA163" s="34"/>
      <c r="AB163" s="34"/>
      <c r="AC163" s="34"/>
      <c r="AD163" s="34"/>
    </row>
    <row r="164" ht="13.5" customHeight="1">
      <c r="Z164" s="34"/>
      <c r="AA164" s="34"/>
      <c r="AB164" s="34"/>
      <c r="AC164" s="34"/>
      <c r="AD164" s="34"/>
    </row>
    <row r="165" ht="13.5" customHeight="1">
      <c r="Z165" s="34"/>
      <c r="AA165" s="34"/>
      <c r="AB165" s="34"/>
      <c r="AC165" s="34"/>
      <c r="AD165" s="34"/>
    </row>
    <row r="166" ht="13.5" customHeight="1">
      <c r="Z166" s="34"/>
      <c r="AA166" s="34"/>
      <c r="AB166" s="34"/>
      <c r="AC166" s="34"/>
      <c r="AD166" s="34"/>
    </row>
    <row r="167" ht="13.5" customHeight="1">
      <c r="Z167" s="34"/>
      <c r="AA167" s="34"/>
      <c r="AB167" s="34"/>
      <c r="AC167" s="34"/>
      <c r="AD167" s="34"/>
    </row>
    <row r="168" ht="13.5" customHeight="1">
      <c r="Z168" s="34"/>
      <c r="AA168" s="34"/>
      <c r="AB168" s="34"/>
      <c r="AC168" s="34"/>
      <c r="AD168" s="34"/>
    </row>
    <row r="169" ht="13.5" customHeight="1">
      <c r="Z169" s="34"/>
      <c r="AA169" s="34"/>
      <c r="AB169" s="34"/>
      <c r="AC169" s="34"/>
      <c r="AD169" s="34"/>
    </row>
    <row r="170" ht="13.5" customHeight="1">
      <c r="Z170" s="34"/>
      <c r="AA170" s="34"/>
      <c r="AB170" s="34"/>
      <c r="AC170" s="34"/>
      <c r="AD170" s="34"/>
    </row>
    <row r="171" ht="13.5" customHeight="1">
      <c r="Z171" s="34"/>
      <c r="AA171" s="34"/>
      <c r="AB171" s="34"/>
      <c r="AC171" s="34"/>
      <c r="AD171" s="34"/>
    </row>
    <row r="172" ht="13.5" customHeight="1">
      <c r="Z172" s="34"/>
      <c r="AA172" s="34"/>
      <c r="AB172" s="34"/>
      <c r="AC172" s="34"/>
      <c r="AD172" s="34"/>
    </row>
    <row r="173" ht="13.5" customHeight="1">
      <c r="Z173" s="34"/>
      <c r="AA173" s="34"/>
      <c r="AB173" s="34"/>
      <c r="AC173" s="34"/>
      <c r="AD173" s="34"/>
    </row>
    <row r="174" ht="13.5" customHeight="1">
      <c r="Z174" s="34"/>
      <c r="AA174" s="34"/>
      <c r="AB174" s="34"/>
      <c r="AC174" s="34"/>
      <c r="AD174" s="34"/>
    </row>
    <row r="175" ht="13.5" customHeight="1">
      <c r="Z175" s="34"/>
      <c r="AA175" s="34"/>
      <c r="AB175" s="34"/>
      <c r="AC175" s="34"/>
      <c r="AD175" s="34"/>
    </row>
    <row r="176" ht="13.5" customHeight="1">
      <c r="Z176" s="34"/>
      <c r="AA176" s="34"/>
      <c r="AB176" s="34"/>
      <c r="AC176" s="34"/>
      <c r="AD176" s="34"/>
    </row>
    <row r="177" ht="13.5" customHeight="1">
      <c r="Z177" s="34"/>
      <c r="AA177" s="34"/>
      <c r="AB177" s="34"/>
      <c r="AC177" s="34"/>
      <c r="AD177" s="34"/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0">
    <mergeCell ref="V1:W1"/>
    <mergeCell ref="A2:B2"/>
    <mergeCell ref="C2:I2"/>
    <mergeCell ref="V2:W2"/>
    <mergeCell ref="A3:B3"/>
    <mergeCell ref="C3:I3"/>
    <mergeCell ref="V3:W3"/>
    <mergeCell ref="A4:B4"/>
    <mergeCell ref="C4:I4"/>
    <mergeCell ref="B5:D5"/>
    <mergeCell ref="E5:E6"/>
    <mergeCell ref="F5:F6"/>
    <mergeCell ref="G5:G6"/>
    <mergeCell ref="H5:H6"/>
    <mergeCell ref="I5:I6"/>
    <mergeCell ref="J5:J6"/>
    <mergeCell ref="K5:K6"/>
    <mergeCell ref="L5:P5"/>
    <mergeCell ref="Q5:Q6"/>
    <mergeCell ref="R5:R6"/>
    <mergeCell ref="S5:S6"/>
    <mergeCell ref="V5:V6"/>
    <mergeCell ref="U157:V157"/>
    <mergeCell ref="T5:T6"/>
    <mergeCell ref="U5:U6"/>
    <mergeCell ref="W5:W6"/>
    <mergeCell ref="AA6:AD6"/>
    <mergeCell ref="AA7:AC7"/>
    <mergeCell ref="AA8:AC8"/>
    <mergeCell ref="AA9:AC9"/>
  </mergeCells>
  <dataValidations>
    <dataValidation type="list" allowBlank="1" sqref="W7:W156">
      <formula1>"YES,NO"</formula1>
    </dataValidation>
    <dataValidation type="list" allowBlank="1" showErrorMessage="1" sqref="E157:E158">
      <formula1>'Data Dont Use'!$A$8:$A$9</formula1>
    </dataValidation>
    <dataValidation type="list" allowBlank="1" showErrorMessage="1" sqref="G157:G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63"/>
    <col customWidth="1" min="3" max="3" width="18.13"/>
    <col customWidth="1" min="4" max="4" width="17.13"/>
    <col customWidth="1" min="5" max="5" width="17.5"/>
    <col customWidth="1" min="6" max="6" width="16.5"/>
    <col customWidth="1" min="7" max="7" width="7.88"/>
    <col customWidth="1" min="8" max="8" width="13.63"/>
    <col customWidth="1" min="9" max="9" width="20.38"/>
    <col customWidth="1" min="10" max="10" width="13.38"/>
    <col customWidth="1" min="11" max="11" width="10.63"/>
    <col customWidth="1" min="12" max="12" width="10.13"/>
    <col customWidth="1" min="13" max="13" width="10.88"/>
    <col customWidth="1" min="14" max="14" width="12.13"/>
    <col customWidth="1" min="15" max="19" width="8.63"/>
    <col customWidth="1" min="20" max="20" width="9.75"/>
    <col customWidth="1" min="21" max="21" width="8.63"/>
    <col customWidth="1" min="22" max="22" width="10.13"/>
    <col customWidth="1" min="23" max="23" width="15.88"/>
    <col customWidth="1" min="24" max="27" width="8.63"/>
  </cols>
  <sheetData>
    <row r="1" ht="13.5" customHeight="1">
      <c r="A1" s="1" t="s">
        <v>630</v>
      </c>
      <c r="B1" s="256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</row>
    <row r="2" ht="16.5" customHeight="1">
      <c r="A2" s="6" t="s">
        <v>1</v>
      </c>
      <c r="B2" s="18"/>
      <c r="C2" s="5"/>
      <c r="D2" s="7" t="s">
        <v>1156</v>
      </c>
      <c r="E2" s="8"/>
      <c r="F2" s="8"/>
      <c r="G2" s="8"/>
      <c r="H2" s="8"/>
      <c r="I2" s="8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5"/>
    </row>
    <row r="3" ht="16.5" customHeight="1">
      <c r="A3" s="6" t="s">
        <v>3</v>
      </c>
      <c r="B3" s="18"/>
      <c r="C3" s="5"/>
      <c r="D3" s="7" t="s">
        <v>1157</v>
      </c>
      <c r="E3" s="8"/>
      <c r="F3" s="8"/>
      <c r="G3" s="8"/>
      <c r="H3" s="8"/>
      <c r="I3" s="8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  <c r="X3" s="5"/>
    </row>
    <row r="4" ht="17.25" customHeight="1">
      <c r="A4" s="12" t="s">
        <v>5</v>
      </c>
      <c r="B4" s="18"/>
      <c r="C4" s="5"/>
      <c r="D4" s="13"/>
      <c r="E4" s="8"/>
      <c r="F4" s="8"/>
      <c r="G4" s="8"/>
      <c r="H4" s="8"/>
      <c r="I4" s="8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4"/>
      <c r="X4" s="15"/>
    </row>
    <row r="5" ht="19.5" customHeight="1">
      <c r="A5" s="16"/>
      <c r="B5" s="301" t="s">
        <v>5413</v>
      </c>
      <c r="C5" s="17" t="s">
        <v>6</v>
      </c>
      <c r="D5" s="18"/>
      <c r="E5" s="5"/>
      <c r="F5" s="19" t="s">
        <v>7</v>
      </c>
      <c r="G5" s="19" t="s">
        <v>8</v>
      </c>
      <c r="H5" s="19" t="s">
        <v>9</v>
      </c>
      <c r="I5" s="19" t="s">
        <v>10</v>
      </c>
      <c r="J5" s="440" t="s">
        <v>5414</v>
      </c>
      <c r="K5" s="21" t="s">
        <v>12</v>
      </c>
      <c r="L5" s="21" t="s">
        <v>13</v>
      </c>
      <c r="M5" s="22" t="s">
        <v>14</v>
      </c>
      <c r="N5" s="23"/>
      <c r="O5" s="23"/>
      <c r="P5" s="23"/>
      <c r="Q5" s="24"/>
      <c r="R5" s="25" t="s">
        <v>15</v>
      </c>
      <c r="S5" s="25" t="s">
        <v>16</v>
      </c>
      <c r="T5" s="26" t="s">
        <v>17</v>
      </c>
      <c r="U5" s="26" t="s">
        <v>18</v>
      </c>
      <c r="V5" s="26" t="s">
        <v>19</v>
      </c>
      <c r="W5" s="26" t="s">
        <v>20</v>
      </c>
      <c r="X5" s="27" t="s">
        <v>21</v>
      </c>
    </row>
    <row r="6" ht="13.5" customHeight="1">
      <c r="A6" s="28" t="s">
        <v>22</v>
      </c>
      <c r="B6" s="29"/>
      <c r="C6" s="28" t="s">
        <v>23</v>
      </c>
      <c r="D6" s="28" t="s">
        <v>24</v>
      </c>
      <c r="E6" s="28" t="s">
        <v>25</v>
      </c>
      <c r="F6" s="29"/>
      <c r="G6" s="29"/>
      <c r="H6" s="29"/>
      <c r="I6" s="29"/>
      <c r="J6" s="30"/>
      <c r="K6" s="31"/>
      <c r="L6" s="31"/>
      <c r="M6" s="32" t="s">
        <v>26</v>
      </c>
      <c r="N6" s="33" t="s">
        <v>27</v>
      </c>
      <c r="O6" s="32" t="s">
        <v>28</v>
      </c>
      <c r="P6" s="32" t="s">
        <v>29</v>
      </c>
      <c r="Q6" s="32" t="s">
        <v>30</v>
      </c>
      <c r="R6" s="31"/>
      <c r="S6" s="31"/>
      <c r="T6" s="31"/>
      <c r="U6" s="31"/>
      <c r="V6" s="31"/>
      <c r="W6" s="31"/>
      <c r="X6" s="31"/>
    </row>
    <row r="7" ht="13.5" customHeight="1">
      <c r="A7" s="28">
        <v>1.0</v>
      </c>
      <c r="B7" s="441">
        <v>45663.0</v>
      </c>
      <c r="C7" s="442" t="s">
        <v>5415</v>
      </c>
      <c r="D7" s="442" t="s">
        <v>5416</v>
      </c>
      <c r="E7" s="442" t="s">
        <v>5417</v>
      </c>
      <c r="F7" s="443" t="s">
        <v>5418</v>
      </c>
      <c r="G7" s="172">
        <v>29.0</v>
      </c>
      <c r="H7" s="172" t="s">
        <v>30</v>
      </c>
      <c r="I7" s="172" t="s">
        <v>340</v>
      </c>
      <c r="J7" s="142"/>
      <c r="K7" s="258">
        <v>30.0</v>
      </c>
      <c r="L7" s="95">
        <v>24.0</v>
      </c>
      <c r="M7" s="95">
        <v>1.0</v>
      </c>
      <c r="N7" s="95">
        <v>4.0</v>
      </c>
      <c r="O7" s="95">
        <f t="shared" ref="O7:O74" si="1">SUM(M7:N7)</f>
        <v>5</v>
      </c>
      <c r="P7" s="95">
        <v>2.0</v>
      </c>
      <c r="Q7" s="95">
        <v>2.0</v>
      </c>
      <c r="R7" s="95">
        <f t="shared" ref="R7:R74" si="2">SUM(O7:Q7)</f>
        <v>9</v>
      </c>
      <c r="S7" s="72"/>
      <c r="T7" s="72"/>
      <c r="U7" s="72"/>
      <c r="V7" s="72"/>
      <c r="W7" s="72"/>
      <c r="X7" s="98" t="s">
        <v>46</v>
      </c>
    </row>
    <row r="8" ht="13.5" customHeight="1">
      <c r="A8" s="28">
        <v>2.0</v>
      </c>
      <c r="B8" s="444"/>
      <c r="C8" s="442" t="s">
        <v>5419</v>
      </c>
      <c r="D8" s="442" t="s">
        <v>5420</v>
      </c>
      <c r="E8" s="442" t="s">
        <v>5421</v>
      </c>
      <c r="F8" s="443" t="s">
        <v>2330</v>
      </c>
      <c r="G8" s="172">
        <v>26.0</v>
      </c>
      <c r="H8" s="172" t="s">
        <v>30</v>
      </c>
      <c r="I8" s="172" t="s">
        <v>349</v>
      </c>
      <c r="J8" s="142"/>
      <c r="K8" s="258">
        <v>30.0</v>
      </c>
      <c r="L8" s="95">
        <v>26.0</v>
      </c>
      <c r="M8" s="95">
        <v>0.0</v>
      </c>
      <c r="N8" s="95">
        <v>4.0</v>
      </c>
      <c r="O8" s="95">
        <f t="shared" si="1"/>
        <v>4</v>
      </c>
      <c r="P8" s="95">
        <v>2.0</v>
      </c>
      <c r="Q8" s="95">
        <v>0.0</v>
      </c>
      <c r="R8" s="95">
        <f t="shared" si="2"/>
        <v>6</v>
      </c>
      <c r="S8" s="72"/>
      <c r="T8" s="72"/>
      <c r="U8" s="72"/>
      <c r="V8" s="72"/>
      <c r="W8" s="72"/>
      <c r="X8" s="98" t="s">
        <v>46</v>
      </c>
    </row>
    <row r="9" ht="13.5" customHeight="1">
      <c r="A9" s="28">
        <v>3.0</v>
      </c>
      <c r="B9" s="444"/>
      <c r="C9" s="442" t="s">
        <v>5422</v>
      </c>
      <c r="D9" s="442" t="s">
        <v>5423</v>
      </c>
      <c r="E9" s="442" t="s">
        <v>5424</v>
      </c>
      <c r="F9" s="443" t="s">
        <v>5418</v>
      </c>
      <c r="G9" s="172">
        <v>27.0</v>
      </c>
      <c r="H9" s="172" t="s">
        <v>30</v>
      </c>
      <c r="I9" s="172" t="s">
        <v>349</v>
      </c>
      <c r="J9" s="142"/>
      <c r="K9" s="258">
        <v>27.0</v>
      </c>
      <c r="L9" s="95">
        <v>25.0</v>
      </c>
      <c r="M9" s="95">
        <v>0.0</v>
      </c>
      <c r="N9" s="95">
        <v>2.0</v>
      </c>
      <c r="O9" s="95">
        <f t="shared" si="1"/>
        <v>2</v>
      </c>
      <c r="P9" s="95">
        <v>1.0</v>
      </c>
      <c r="Q9" s="95">
        <v>0.0</v>
      </c>
      <c r="R9" s="95">
        <f t="shared" si="2"/>
        <v>3</v>
      </c>
      <c r="S9" s="72"/>
      <c r="T9" s="72"/>
      <c r="U9" s="72"/>
      <c r="V9" s="72"/>
      <c r="W9" s="72"/>
      <c r="X9" s="98" t="s">
        <v>46</v>
      </c>
    </row>
    <row r="10" ht="13.5" customHeight="1">
      <c r="A10" s="28">
        <v>4.0</v>
      </c>
      <c r="B10" s="444"/>
      <c r="C10" s="442" t="s">
        <v>5425</v>
      </c>
      <c r="D10" s="442" t="s">
        <v>5426</v>
      </c>
      <c r="E10" s="442" t="s">
        <v>2447</v>
      </c>
      <c r="F10" s="443" t="s">
        <v>5418</v>
      </c>
      <c r="G10" s="172">
        <v>27.0</v>
      </c>
      <c r="H10" s="172" t="s">
        <v>29</v>
      </c>
      <c r="I10" s="172" t="s">
        <v>349</v>
      </c>
      <c r="J10" s="142"/>
      <c r="K10" s="258">
        <v>26.0</v>
      </c>
      <c r="L10" s="95">
        <v>21.0</v>
      </c>
      <c r="M10" s="95">
        <v>0.0</v>
      </c>
      <c r="N10" s="95">
        <v>3.0</v>
      </c>
      <c r="O10" s="95">
        <f t="shared" si="1"/>
        <v>3</v>
      </c>
      <c r="P10" s="95">
        <v>2.0</v>
      </c>
      <c r="Q10" s="95">
        <v>2.0</v>
      </c>
      <c r="R10" s="95">
        <f t="shared" si="2"/>
        <v>7</v>
      </c>
      <c r="S10" s="72"/>
      <c r="T10" s="72"/>
      <c r="U10" s="72"/>
      <c r="V10" s="72"/>
      <c r="W10" s="72"/>
      <c r="X10" s="98" t="s">
        <v>46</v>
      </c>
    </row>
    <row r="11" ht="13.5" customHeight="1">
      <c r="A11" s="28">
        <v>5.0</v>
      </c>
      <c r="B11" s="444"/>
      <c r="C11" s="442" t="s">
        <v>5427</v>
      </c>
      <c r="D11" s="442" t="s">
        <v>5428</v>
      </c>
      <c r="E11" s="442" t="s">
        <v>2989</v>
      </c>
      <c r="F11" s="443" t="s">
        <v>5418</v>
      </c>
      <c r="G11" s="172">
        <v>40.0</v>
      </c>
      <c r="H11" s="172" t="s">
        <v>30</v>
      </c>
      <c r="I11" s="172" t="s">
        <v>340</v>
      </c>
      <c r="J11" s="142"/>
      <c r="K11" s="258">
        <v>27.0</v>
      </c>
      <c r="L11" s="95">
        <v>20.0</v>
      </c>
      <c r="M11" s="95">
        <v>3.0</v>
      </c>
      <c r="N11" s="95">
        <v>4.0</v>
      </c>
      <c r="O11" s="95">
        <f t="shared" si="1"/>
        <v>7</v>
      </c>
      <c r="P11" s="95">
        <v>5.0</v>
      </c>
      <c r="Q11" s="95">
        <v>0.0</v>
      </c>
      <c r="R11" s="95">
        <f t="shared" si="2"/>
        <v>12</v>
      </c>
      <c r="S11" s="72"/>
      <c r="T11" s="72"/>
      <c r="U11" s="72"/>
      <c r="V11" s="72"/>
      <c r="W11" s="72"/>
      <c r="X11" s="98" t="s">
        <v>46</v>
      </c>
    </row>
    <row r="12" ht="13.5" customHeight="1">
      <c r="A12" s="28">
        <v>6.0</v>
      </c>
      <c r="B12" s="444"/>
      <c r="C12" s="442" t="s">
        <v>219</v>
      </c>
      <c r="D12" s="442" t="s">
        <v>5429</v>
      </c>
      <c r="E12" s="442" t="s">
        <v>5430</v>
      </c>
      <c r="F12" s="443" t="s">
        <v>5418</v>
      </c>
      <c r="G12" s="172">
        <v>27.0</v>
      </c>
      <c r="H12" s="172" t="s">
        <v>30</v>
      </c>
      <c r="I12" s="172" t="s">
        <v>349</v>
      </c>
      <c r="J12" s="142"/>
      <c r="K12" s="258">
        <v>27.0</v>
      </c>
      <c r="L12" s="95">
        <v>19.0</v>
      </c>
      <c r="M12" s="95">
        <v>5.0</v>
      </c>
      <c r="N12" s="95">
        <v>3.0</v>
      </c>
      <c r="O12" s="95">
        <f t="shared" si="1"/>
        <v>8</v>
      </c>
      <c r="P12" s="95">
        <v>3.0</v>
      </c>
      <c r="Q12" s="95">
        <v>3.0</v>
      </c>
      <c r="R12" s="95">
        <f t="shared" si="2"/>
        <v>14</v>
      </c>
      <c r="S12" s="72"/>
      <c r="T12" s="72"/>
      <c r="U12" s="72"/>
      <c r="V12" s="72"/>
      <c r="W12" s="72"/>
      <c r="X12" s="98" t="s">
        <v>46</v>
      </c>
    </row>
    <row r="13" ht="13.5" customHeight="1">
      <c r="A13" s="28">
        <v>7.0</v>
      </c>
      <c r="B13" s="445">
        <v>45673.0</v>
      </c>
      <c r="C13" s="442" t="s">
        <v>5431</v>
      </c>
      <c r="D13" s="442" t="s">
        <v>5432</v>
      </c>
      <c r="E13" s="442" t="s">
        <v>5433</v>
      </c>
      <c r="F13" s="443" t="s">
        <v>5418</v>
      </c>
      <c r="G13" s="172">
        <v>24.0</v>
      </c>
      <c r="H13" s="172" t="s">
        <v>30</v>
      </c>
      <c r="I13" s="172" t="s">
        <v>349</v>
      </c>
      <c r="J13" s="446" t="s">
        <v>5434</v>
      </c>
      <c r="K13" s="258">
        <v>26.0</v>
      </c>
      <c r="L13" s="95">
        <v>21.0</v>
      </c>
      <c r="M13" s="95">
        <v>0.0</v>
      </c>
      <c r="N13" s="95">
        <v>6.0</v>
      </c>
      <c r="O13" s="95">
        <f t="shared" si="1"/>
        <v>6</v>
      </c>
      <c r="P13" s="95">
        <v>2.0</v>
      </c>
      <c r="Q13" s="95">
        <v>0.0</v>
      </c>
      <c r="R13" s="95">
        <f t="shared" si="2"/>
        <v>8</v>
      </c>
      <c r="S13" s="72"/>
      <c r="T13" s="72"/>
      <c r="U13" s="72"/>
      <c r="V13" s="72"/>
      <c r="W13" s="72"/>
      <c r="X13" s="98" t="s">
        <v>46</v>
      </c>
    </row>
    <row r="14" ht="13.5" customHeight="1">
      <c r="A14" s="28">
        <v>8.0</v>
      </c>
      <c r="B14" s="445">
        <v>45673.0</v>
      </c>
      <c r="C14" s="158" t="s">
        <v>5435</v>
      </c>
      <c r="D14" s="158" t="s">
        <v>5436</v>
      </c>
      <c r="E14" s="158" t="s">
        <v>5437</v>
      </c>
      <c r="F14" s="447" t="s">
        <v>5438</v>
      </c>
      <c r="G14" s="205">
        <v>24.0</v>
      </c>
      <c r="H14" s="205" t="s">
        <v>30</v>
      </c>
      <c r="I14" s="448" t="s">
        <v>480</v>
      </c>
      <c r="J14" s="449" t="s">
        <v>5439</v>
      </c>
      <c r="K14" s="54">
        <v>29.0</v>
      </c>
      <c r="L14" s="55">
        <v>26.0</v>
      </c>
      <c r="M14" s="55">
        <v>0.0</v>
      </c>
      <c r="N14" s="55">
        <v>0.0</v>
      </c>
      <c r="O14" s="95">
        <f t="shared" si="1"/>
        <v>0</v>
      </c>
      <c r="P14" s="55">
        <v>3.0</v>
      </c>
      <c r="Q14" s="55">
        <v>3.0</v>
      </c>
      <c r="R14" s="95">
        <f t="shared" si="2"/>
        <v>6</v>
      </c>
      <c r="S14" s="43"/>
      <c r="T14" s="43"/>
      <c r="U14" s="43"/>
      <c r="V14" s="43"/>
      <c r="W14" s="43"/>
      <c r="X14" s="56" t="s">
        <v>46</v>
      </c>
    </row>
    <row r="15" ht="13.5" customHeight="1">
      <c r="A15" s="28">
        <v>9.0</v>
      </c>
      <c r="B15" s="445">
        <v>45673.0</v>
      </c>
      <c r="C15" s="158" t="s">
        <v>5440</v>
      </c>
      <c r="D15" s="158" t="s">
        <v>5441</v>
      </c>
      <c r="E15" s="158" t="s">
        <v>5442</v>
      </c>
      <c r="F15" s="447" t="s">
        <v>5418</v>
      </c>
      <c r="G15" s="205">
        <v>41.0</v>
      </c>
      <c r="H15" s="205" t="s">
        <v>30</v>
      </c>
      <c r="I15" s="448" t="s">
        <v>349</v>
      </c>
      <c r="J15" s="449" t="s">
        <v>5443</v>
      </c>
      <c r="K15" s="54">
        <v>15.0</v>
      </c>
      <c r="L15" s="55">
        <v>12.0</v>
      </c>
      <c r="M15" s="55">
        <v>1.0</v>
      </c>
      <c r="N15" s="55">
        <v>2.0</v>
      </c>
      <c r="O15" s="95">
        <f t="shared" si="1"/>
        <v>3</v>
      </c>
      <c r="P15" s="55">
        <v>17.0</v>
      </c>
      <c r="Q15" s="55">
        <v>0.0</v>
      </c>
      <c r="R15" s="95">
        <f t="shared" si="2"/>
        <v>20</v>
      </c>
      <c r="S15" s="43"/>
      <c r="T15" s="43"/>
      <c r="U15" s="43"/>
      <c r="V15" s="43"/>
      <c r="W15" s="55" t="s">
        <v>5444</v>
      </c>
      <c r="X15" s="56" t="s">
        <v>46</v>
      </c>
    </row>
    <row r="16" ht="13.5" customHeight="1">
      <c r="A16" s="28">
        <v>10.0</v>
      </c>
      <c r="B16" s="445">
        <v>45673.0</v>
      </c>
      <c r="C16" s="158" t="s">
        <v>5445</v>
      </c>
      <c r="D16" s="158" t="s">
        <v>5446</v>
      </c>
      <c r="E16" s="158" t="s">
        <v>5447</v>
      </c>
      <c r="F16" s="447" t="s">
        <v>5418</v>
      </c>
      <c r="G16" s="205">
        <v>32.0</v>
      </c>
      <c r="H16" s="205" t="s">
        <v>29</v>
      </c>
      <c r="I16" s="448" t="s">
        <v>349</v>
      </c>
      <c r="J16" s="449" t="s">
        <v>5448</v>
      </c>
      <c r="K16" s="54">
        <v>28.0</v>
      </c>
      <c r="L16" s="55">
        <v>23.0</v>
      </c>
      <c r="M16" s="55">
        <v>0.0</v>
      </c>
      <c r="N16" s="55">
        <v>4.0</v>
      </c>
      <c r="O16" s="95">
        <f t="shared" si="1"/>
        <v>4</v>
      </c>
      <c r="P16" s="55">
        <v>4.0</v>
      </c>
      <c r="Q16" s="55">
        <v>0.0</v>
      </c>
      <c r="R16" s="95">
        <f t="shared" si="2"/>
        <v>8</v>
      </c>
      <c r="S16" s="43"/>
      <c r="T16" s="43"/>
      <c r="U16" s="43"/>
      <c r="V16" s="43"/>
      <c r="W16" s="43"/>
      <c r="X16" s="56" t="s">
        <v>46</v>
      </c>
    </row>
    <row r="17" ht="13.5" customHeight="1">
      <c r="A17" s="28">
        <v>11.0</v>
      </c>
      <c r="B17" s="445">
        <v>45681.0</v>
      </c>
      <c r="C17" s="158" t="s">
        <v>5449</v>
      </c>
      <c r="D17" s="158" t="s">
        <v>5450</v>
      </c>
      <c r="E17" s="158" t="s">
        <v>5451</v>
      </c>
      <c r="F17" s="447" t="s">
        <v>5418</v>
      </c>
      <c r="G17" s="205">
        <v>25.0</v>
      </c>
      <c r="H17" s="205" t="s">
        <v>30</v>
      </c>
      <c r="I17" s="448" t="s">
        <v>349</v>
      </c>
      <c r="J17" s="449" t="s">
        <v>5452</v>
      </c>
      <c r="K17" s="54">
        <v>28.0</v>
      </c>
      <c r="L17" s="55">
        <v>26.0</v>
      </c>
      <c r="M17" s="55">
        <v>0.0</v>
      </c>
      <c r="N17" s="55">
        <v>1.0</v>
      </c>
      <c r="O17" s="95">
        <f t="shared" si="1"/>
        <v>1</v>
      </c>
      <c r="P17" s="55">
        <v>4.0</v>
      </c>
      <c r="Q17" s="55">
        <v>0.0</v>
      </c>
      <c r="R17" s="95">
        <f t="shared" si="2"/>
        <v>5</v>
      </c>
      <c r="S17" s="43"/>
      <c r="T17" s="43"/>
      <c r="U17" s="43"/>
      <c r="V17" s="43"/>
      <c r="W17" s="43"/>
      <c r="X17" s="56" t="s">
        <v>46</v>
      </c>
    </row>
    <row r="18" ht="13.5" customHeight="1">
      <c r="A18" s="28">
        <v>12.0</v>
      </c>
      <c r="B18" s="445">
        <v>45681.0</v>
      </c>
      <c r="C18" s="158" t="s">
        <v>5453</v>
      </c>
      <c r="D18" s="158" t="s">
        <v>5454</v>
      </c>
      <c r="E18" s="158" t="s">
        <v>5455</v>
      </c>
      <c r="F18" s="447" t="s">
        <v>5418</v>
      </c>
      <c r="G18" s="205">
        <v>26.0</v>
      </c>
      <c r="H18" s="205" t="s">
        <v>30</v>
      </c>
      <c r="I18" s="448" t="s">
        <v>349</v>
      </c>
      <c r="J18" s="449" t="s">
        <v>5452</v>
      </c>
      <c r="K18" s="54">
        <v>25.0</v>
      </c>
      <c r="L18" s="55">
        <v>25.0</v>
      </c>
      <c r="M18" s="55">
        <v>0.0</v>
      </c>
      <c r="N18" s="55">
        <v>0.0</v>
      </c>
      <c r="O18" s="95">
        <f t="shared" si="1"/>
        <v>0</v>
      </c>
      <c r="P18" s="55">
        <v>7.0</v>
      </c>
      <c r="Q18" s="55">
        <v>0.0</v>
      </c>
      <c r="R18" s="95">
        <f t="shared" si="2"/>
        <v>7</v>
      </c>
      <c r="S18" s="43"/>
      <c r="T18" s="43"/>
      <c r="U18" s="43"/>
      <c r="V18" s="43"/>
      <c r="W18" s="43"/>
      <c r="X18" s="56" t="s">
        <v>46</v>
      </c>
    </row>
    <row r="19" ht="13.5" customHeight="1">
      <c r="A19" s="28">
        <v>13.0</v>
      </c>
      <c r="B19" s="445">
        <v>45695.0</v>
      </c>
      <c r="C19" s="158" t="s">
        <v>4470</v>
      </c>
      <c r="D19" s="158" t="s">
        <v>5456</v>
      </c>
      <c r="E19" s="158" t="s">
        <v>5457</v>
      </c>
      <c r="F19" s="447" t="s">
        <v>2330</v>
      </c>
      <c r="G19" s="205">
        <v>27.0</v>
      </c>
      <c r="H19" s="205" t="s">
        <v>30</v>
      </c>
      <c r="I19" s="448" t="s">
        <v>349</v>
      </c>
      <c r="J19" s="449" t="s">
        <v>5458</v>
      </c>
      <c r="K19" s="54">
        <v>28.0</v>
      </c>
      <c r="L19" s="55">
        <v>28.0</v>
      </c>
      <c r="M19" s="55">
        <v>0.0</v>
      </c>
      <c r="N19" s="55">
        <v>0.0</v>
      </c>
      <c r="O19" s="95">
        <f t="shared" si="1"/>
        <v>0</v>
      </c>
      <c r="P19" s="55">
        <v>4.0</v>
      </c>
      <c r="Q19" s="55">
        <v>0.0</v>
      </c>
      <c r="R19" s="95">
        <f t="shared" si="2"/>
        <v>4</v>
      </c>
      <c r="S19" s="43"/>
      <c r="T19" s="43"/>
      <c r="U19" s="43"/>
      <c r="V19" s="43"/>
      <c r="W19" s="43"/>
      <c r="X19" s="56" t="s">
        <v>46</v>
      </c>
    </row>
    <row r="20" ht="13.5" customHeight="1">
      <c r="A20" s="28">
        <v>14.0</v>
      </c>
      <c r="B20" s="445">
        <v>45695.0</v>
      </c>
      <c r="C20" s="158" t="s">
        <v>5459</v>
      </c>
      <c r="D20" s="158" t="s">
        <v>5460</v>
      </c>
      <c r="E20" s="158" t="s">
        <v>1532</v>
      </c>
      <c r="F20" s="447" t="s">
        <v>2330</v>
      </c>
      <c r="G20" s="205">
        <v>26.0</v>
      </c>
      <c r="H20" s="205" t="s">
        <v>30</v>
      </c>
      <c r="I20" s="448" t="s">
        <v>349</v>
      </c>
      <c r="J20" s="449" t="s">
        <v>5461</v>
      </c>
      <c r="K20" s="54">
        <v>30.0</v>
      </c>
      <c r="L20" s="55">
        <v>28.0</v>
      </c>
      <c r="M20" s="55">
        <v>0.0</v>
      </c>
      <c r="N20" s="55">
        <v>2.0</v>
      </c>
      <c r="O20" s="95">
        <f t="shared" si="1"/>
        <v>2</v>
      </c>
      <c r="P20" s="55">
        <v>2.0</v>
      </c>
      <c r="Q20" s="55">
        <v>0.0</v>
      </c>
      <c r="R20" s="95">
        <f t="shared" si="2"/>
        <v>4</v>
      </c>
      <c r="S20" s="43"/>
      <c r="T20" s="43"/>
      <c r="U20" s="43"/>
      <c r="V20" s="43"/>
      <c r="W20" s="43"/>
      <c r="X20" s="56" t="s">
        <v>46</v>
      </c>
    </row>
    <row r="21" ht="13.5" customHeight="1">
      <c r="A21" s="28">
        <v>15.0</v>
      </c>
      <c r="B21" s="450">
        <v>45698.0</v>
      </c>
      <c r="C21" s="158" t="s">
        <v>5462</v>
      </c>
      <c r="D21" s="158" t="s">
        <v>5463</v>
      </c>
      <c r="E21" s="158" t="s">
        <v>5464</v>
      </c>
      <c r="F21" s="447" t="s">
        <v>2330</v>
      </c>
      <c r="G21" s="205">
        <v>38.0</v>
      </c>
      <c r="H21" s="205" t="s">
        <v>498</v>
      </c>
      <c r="I21" s="448" t="s">
        <v>349</v>
      </c>
      <c r="J21" s="451" t="s">
        <v>5465</v>
      </c>
      <c r="K21" s="54">
        <v>26.0</v>
      </c>
      <c r="L21" s="55">
        <v>20.0</v>
      </c>
      <c r="M21" s="55">
        <v>0.0</v>
      </c>
      <c r="N21" s="55">
        <v>6.0</v>
      </c>
      <c r="O21" s="95">
        <f t="shared" si="1"/>
        <v>6</v>
      </c>
      <c r="P21" s="55">
        <v>6.0</v>
      </c>
      <c r="Q21" s="55">
        <v>0.0</v>
      </c>
      <c r="R21" s="95">
        <f t="shared" si="2"/>
        <v>12</v>
      </c>
      <c r="S21" s="43"/>
      <c r="T21" s="43"/>
      <c r="U21" s="43"/>
      <c r="V21" s="43"/>
      <c r="W21" s="43"/>
      <c r="X21" s="56" t="s">
        <v>46</v>
      </c>
    </row>
    <row r="22" ht="13.5" customHeight="1">
      <c r="A22" s="28">
        <v>16.0</v>
      </c>
      <c r="B22" s="450">
        <v>45699.0</v>
      </c>
      <c r="C22" s="158" t="s">
        <v>5466</v>
      </c>
      <c r="D22" s="158" t="s">
        <v>5467</v>
      </c>
      <c r="E22" s="158" t="s">
        <v>5468</v>
      </c>
      <c r="F22" s="447" t="s">
        <v>2330</v>
      </c>
      <c r="G22" s="205">
        <v>27.0</v>
      </c>
      <c r="H22" s="205" t="s">
        <v>30</v>
      </c>
      <c r="I22" s="448" t="s">
        <v>349</v>
      </c>
      <c r="J22" s="449" t="s">
        <v>5465</v>
      </c>
      <c r="K22" s="54">
        <v>30.0</v>
      </c>
      <c r="L22" s="55">
        <v>30.0</v>
      </c>
      <c r="M22" s="55">
        <v>0.0</v>
      </c>
      <c r="N22" s="55">
        <v>0.0</v>
      </c>
      <c r="O22" s="95">
        <f t="shared" si="1"/>
        <v>0</v>
      </c>
      <c r="P22" s="55">
        <v>2.0</v>
      </c>
      <c r="Q22" s="55">
        <v>0.0</v>
      </c>
      <c r="R22" s="95">
        <f t="shared" si="2"/>
        <v>2</v>
      </c>
      <c r="S22" s="43"/>
      <c r="T22" s="43"/>
      <c r="U22" s="43"/>
      <c r="V22" s="43"/>
      <c r="W22" s="43"/>
      <c r="X22" s="56" t="s">
        <v>46</v>
      </c>
    </row>
    <row r="23" ht="13.5" customHeight="1">
      <c r="A23" s="28">
        <v>17.0</v>
      </c>
      <c r="B23" s="450">
        <v>45712.0</v>
      </c>
      <c r="C23" s="158" t="s">
        <v>5469</v>
      </c>
      <c r="D23" s="158" t="s">
        <v>5470</v>
      </c>
      <c r="E23" s="158" t="s">
        <v>3564</v>
      </c>
      <c r="F23" s="447" t="s">
        <v>5418</v>
      </c>
      <c r="G23" s="205">
        <v>55.0</v>
      </c>
      <c r="H23" s="205" t="s">
        <v>30</v>
      </c>
      <c r="I23" s="448" t="s">
        <v>349</v>
      </c>
      <c r="J23" s="449" t="s">
        <v>5465</v>
      </c>
      <c r="K23" s="54">
        <v>25.0</v>
      </c>
      <c r="L23" s="55">
        <v>20.0</v>
      </c>
      <c r="M23" s="55">
        <v>0.0</v>
      </c>
      <c r="N23" s="55">
        <v>5.0</v>
      </c>
      <c r="O23" s="95">
        <f t="shared" si="1"/>
        <v>5</v>
      </c>
      <c r="P23" s="55">
        <v>7.0</v>
      </c>
      <c r="Q23" s="55">
        <v>0.0</v>
      </c>
      <c r="R23" s="95">
        <f t="shared" si="2"/>
        <v>12</v>
      </c>
      <c r="S23" s="43"/>
      <c r="T23" s="43"/>
      <c r="U23" s="43"/>
      <c r="V23" s="43"/>
      <c r="W23" s="43"/>
      <c r="X23" s="56" t="s">
        <v>46</v>
      </c>
    </row>
    <row r="24" ht="13.5" customHeight="1">
      <c r="A24" s="28">
        <v>18.0</v>
      </c>
      <c r="B24" s="450">
        <v>45712.0</v>
      </c>
      <c r="C24" s="158" t="s">
        <v>5471</v>
      </c>
      <c r="D24" s="158" t="s">
        <v>5472</v>
      </c>
      <c r="E24" s="158" t="s">
        <v>881</v>
      </c>
      <c r="F24" s="447" t="s">
        <v>2330</v>
      </c>
      <c r="G24" s="205">
        <v>29.0</v>
      </c>
      <c r="H24" s="205" t="s">
        <v>30</v>
      </c>
      <c r="I24" s="448" t="s">
        <v>349</v>
      </c>
      <c r="J24" s="449" t="s">
        <v>5473</v>
      </c>
      <c r="K24" s="54">
        <v>27.0</v>
      </c>
      <c r="L24" s="55">
        <v>27.0</v>
      </c>
      <c r="M24" s="55">
        <v>0.0</v>
      </c>
      <c r="N24" s="55">
        <v>0.0</v>
      </c>
      <c r="O24" s="95">
        <f t="shared" si="1"/>
        <v>0</v>
      </c>
      <c r="P24" s="55">
        <v>5.0</v>
      </c>
      <c r="Q24" s="55">
        <v>0.0</v>
      </c>
      <c r="R24" s="95">
        <f t="shared" si="2"/>
        <v>5</v>
      </c>
      <c r="S24" s="43"/>
      <c r="T24" s="55" t="s">
        <v>3389</v>
      </c>
      <c r="U24" s="43"/>
      <c r="V24" s="43"/>
      <c r="W24" s="43"/>
      <c r="X24" s="56" t="s">
        <v>46</v>
      </c>
    </row>
    <row r="25" ht="13.5" customHeight="1">
      <c r="A25" s="28">
        <v>19.0</v>
      </c>
      <c r="B25" s="450">
        <v>45712.0</v>
      </c>
      <c r="C25" s="158" t="s">
        <v>1532</v>
      </c>
      <c r="D25" s="158" t="s">
        <v>5474</v>
      </c>
      <c r="E25" s="158" t="s">
        <v>2881</v>
      </c>
      <c r="F25" s="447" t="s">
        <v>2330</v>
      </c>
      <c r="G25" s="205">
        <v>28.0</v>
      </c>
      <c r="H25" s="205" t="s">
        <v>30</v>
      </c>
      <c r="I25" s="448" t="s">
        <v>349</v>
      </c>
      <c r="J25" s="449" t="s">
        <v>5452</v>
      </c>
      <c r="K25" s="54">
        <v>32.0</v>
      </c>
      <c r="L25" s="55">
        <v>29.0</v>
      </c>
      <c r="M25" s="55">
        <v>2.0</v>
      </c>
      <c r="N25" s="55">
        <v>1.0</v>
      </c>
      <c r="O25" s="95">
        <f t="shared" si="1"/>
        <v>3</v>
      </c>
      <c r="P25" s="55">
        <v>0.0</v>
      </c>
      <c r="Q25" s="55">
        <v>0.0</v>
      </c>
      <c r="R25" s="95">
        <f t="shared" si="2"/>
        <v>3</v>
      </c>
      <c r="S25" s="43"/>
      <c r="T25" s="43"/>
      <c r="U25" s="43"/>
      <c r="V25" s="43"/>
      <c r="W25" s="43"/>
      <c r="X25" s="56" t="s">
        <v>46</v>
      </c>
    </row>
    <row r="26" ht="13.5" customHeight="1">
      <c r="A26" s="28">
        <v>20.0</v>
      </c>
      <c r="B26" s="450">
        <v>45713.0</v>
      </c>
      <c r="C26" s="158" t="s">
        <v>5475</v>
      </c>
      <c r="D26" s="158" t="s">
        <v>5476</v>
      </c>
      <c r="E26" s="158" t="s">
        <v>5477</v>
      </c>
      <c r="F26" s="447" t="s">
        <v>2330</v>
      </c>
      <c r="G26" s="205">
        <v>30.0</v>
      </c>
      <c r="H26" s="205" t="s">
        <v>29</v>
      </c>
      <c r="I26" s="448" t="s">
        <v>5478</v>
      </c>
      <c r="J26" s="449" t="s">
        <v>5479</v>
      </c>
      <c r="K26" s="54">
        <v>24.0</v>
      </c>
      <c r="L26" s="55">
        <v>21.0</v>
      </c>
      <c r="M26" s="55">
        <v>0.0</v>
      </c>
      <c r="N26" s="55">
        <v>0.0</v>
      </c>
      <c r="O26" s="95">
        <f t="shared" si="1"/>
        <v>0</v>
      </c>
      <c r="P26" s="55">
        <v>8.0</v>
      </c>
      <c r="Q26" s="55">
        <v>3.0</v>
      </c>
      <c r="R26" s="95">
        <f t="shared" si="2"/>
        <v>11</v>
      </c>
      <c r="S26" s="43"/>
      <c r="T26" s="43"/>
      <c r="U26" s="43"/>
      <c r="V26" s="43"/>
      <c r="W26" s="43"/>
      <c r="X26" s="56" t="s">
        <v>46</v>
      </c>
    </row>
    <row r="27" ht="13.5" customHeight="1">
      <c r="A27" s="28">
        <v>21.0</v>
      </c>
      <c r="B27" s="450">
        <v>45713.0</v>
      </c>
      <c r="C27" s="158" t="s">
        <v>5480</v>
      </c>
      <c r="D27" s="158" t="s">
        <v>5481</v>
      </c>
      <c r="E27" s="158" t="s">
        <v>5482</v>
      </c>
      <c r="F27" s="447" t="s">
        <v>5483</v>
      </c>
      <c r="G27" s="205">
        <v>32.0</v>
      </c>
      <c r="H27" s="205" t="s">
        <v>5484</v>
      </c>
      <c r="I27" s="448" t="s">
        <v>5485</v>
      </c>
      <c r="J27" s="449" t="s">
        <v>5486</v>
      </c>
      <c r="K27" s="54">
        <v>27.0</v>
      </c>
      <c r="L27" s="55">
        <v>24.0</v>
      </c>
      <c r="M27" s="55">
        <v>0.0</v>
      </c>
      <c r="N27" s="55">
        <v>0.0</v>
      </c>
      <c r="O27" s="95">
        <f t="shared" si="1"/>
        <v>0</v>
      </c>
      <c r="P27" s="55">
        <v>5.0</v>
      </c>
      <c r="Q27" s="55">
        <v>7.0</v>
      </c>
      <c r="R27" s="95">
        <f t="shared" si="2"/>
        <v>12</v>
      </c>
      <c r="S27" s="43"/>
      <c r="T27" s="43"/>
      <c r="U27" s="43"/>
      <c r="V27" s="43"/>
      <c r="W27" s="43"/>
      <c r="X27" s="56" t="s">
        <v>46</v>
      </c>
    </row>
    <row r="28" ht="13.5" customHeight="1">
      <c r="A28" s="28">
        <v>22.0</v>
      </c>
      <c r="B28" s="450">
        <v>45726.0</v>
      </c>
      <c r="C28" s="158" t="s">
        <v>5487</v>
      </c>
      <c r="D28" s="158" t="s">
        <v>5488</v>
      </c>
      <c r="E28" s="158" t="s">
        <v>5489</v>
      </c>
      <c r="F28" s="447" t="s">
        <v>5418</v>
      </c>
      <c r="G28" s="205">
        <v>26.0</v>
      </c>
      <c r="H28" s="205" t="s">
        <v>30</v>
      </c>
      <c r="I28" s="448" t="s">
        <v>349</v>
      </c>
      <c r="J28" s="449" t="s">
        <v>5490</v>
      </c>
      <c r="K28" s="54">
        <v>13.0</v>
      </c>
      <c r="L28" s="55">
        <v>9.0</v>
      </c>
      <c r="M28" s="55">
        <v>0.0</v>
      </c>
      <c r="N28" s="55">
        <v>4.0</v>
      </c>
      <c r="O28" s="95">
        <f t="shared" si="1"/>
        <v>4</v>
      </c>
      <c r="P28" s="55">
        <v>18.0</v>
      </c>
      <c r="Q28" s="55">
        <v>0.0</v>
      </c>
      <c r="R28" s="95">
        <f t="shared" si="2"/>
        <v>22</v>
      </c>
      <c r="S28" s="43"/>
      <c r="T28" s="43"/>
      <c r="U28" s="43"/>
      <c r="V28" s="43"/>
      <c r="W28" s="43"/>
      <c r="X28" s="56" t="s">
        <v>46</v>
      </c>
    </row>
    <row r="29" ht="13.5" customHeight="1">
      <c r="A29" s="28">
        <v>23.0</v>
      </c>
      <c r="B29" s="450">
        <v>45728.0</v>
      </c>
      <c r="C29" s="158" t="s">
        <v>5491</v>
      </c>
      <c r="D29" s="158" t="s">
        <v>5492</v>
      </c>
      <c r="E29" s="158" t="s">
        <v>2415</v>
      </c>
      <c r="F29" s="447" t="s">
        <v>5418</v>
      </c>
      <c r="G29" s="205">
        <v>27.0</v>
      </c>
      <c r="H29" s="205" t="s">
        <v>30</v>
      </c>
      <c r="I29" s="448" t="s">
        <v>349</v>
      </c>
      <c r="J29" s="449" t="s">
        <v>5493</v>
      </c>
      <c r="K29" s="54">
        <v>29.0</v>
      </c>
      <c r="L29" s="55">
        <v>26.0</v>
      </c>
      <c r="M29" s="55">
        <v>1.0</v>
      </c>
      <c r="N29" s="55">
        <v>2.0</v>
      </c>
      <c r="O29" s="95">
        <f t="shared" si="1"/>
        <v>3</v>
      </c>
      <c r="P29" s="55">
        <v>3.0</v>
      </c>
      <c r="Q29" s="55">
        <v>0.0</v>
      </c>
      <c r="R29" s="95">
        <f t="shared" si="2"/>
        <v>6</v>
      </c>
      <c r="S29" s="43"/>
      <c r="T29" s="43"/>
      <c r="U29" s="43"/>
      <c r="V29" s="43"/>
      <c r="W29" s="43"/>
      <c r="X29" s="56" t="s">
        <v>46</v>
      </c>
    </row>
    <row r="30" ht="13.5" customHeight="1">
      <c r="A30" s="28">
        <v>24.0</v>
      </c>
      <c r="B30" s="445">
        <v>45805.0</v>
      </c>
      <c r="C30" s="158" t="s">
        <v>202</v>
      </c>
      <c r="D30" s="158" t="s">
        <v>5494</v>
      </c>
      <c r="E30" s="158" t="s">
        <v>325</v>
      </c>
      <c r="F30" s="447" t="s">
        <v>2330</v>
      </c>
      <c r="G30" s="205">
        <v>47.0</v>
      </c>
      <c r="H30" s="205" t="s">
        <v>29</v>
      </c>
      <c r="I30" s="448" t="s">
        <v>314</v>
      </c>
      <c r="J30" s="186"/>
      <c r="K30" s="54">
        <v>28.0</v>
      </c>
      <c r="L30" s="55">
        <v>28.0</v>
      </c>
      <c r="M30" s="55">
        <v>0.0</v>
      </c>
      <c r="N30" s="55">
        <v>0.0</v>
      </c>
      <c r="O30" s="95">
        <f t="shared" si="1"/>
        <v>0</v>
      </c>
      <c r="P30" s="55">
        <v>4.0</v>
      </c>
      <c r="Q30" s="55">
        <v>0.0</v>
      </c>
      <c r="R30" s="95">
        <f t="shared" si="2"/>
        <v>4</v>
      </c>
      <c r="S30" s="43"/>
      <c r="T30" s="43"/>
      <c r="U30" s="43"/>
      <c r="V30" s="43"/>
      <c r="W30" s="43"/>
      <c r="X30" s="56" t="s">
        <v>46</v>
      </c>
    </row>
    <row r="31" ht="13.5" customHeight="1">
      <c r="A31" s="28">
        <v>25.0</v>
      </c>
      <c r="B31" s="450">
        <v>45811.0</v>
      </c>
      <c r="C31" s="158" t="s">
        <v>119</v>
      </c>
      <c r="D31" s="158" t="s">
        <v>5495</v>
      </c>
      <c r="E31" s="158" t="s">
        <v>4796</v>
      </c>
      <c r="F31" s="447" t="s">
        <v>2330</v>
      </c>
      <c r="G31" s="205">
        <v>28.0</v>
      </c>
      <c r="H31" s="205" t="s">
        <v>29</v>
      </c>
      <c r="I31" s="448" t="s">
        <v>5496</v>
      </c>
      <c r="J31" s="186"/>
      <c r="K31" s="54">
        <v>29.0</v>
      </c>
      <c r="L31" s="55">
        <v>25.0</v>
      </c>
      <c r="M31" s="55">
        <v>0.0</v>
      </c>
      <c r="N31" s="55">
        <v>0.0</v>
      </c>
      <c r="O31" s="95">
        <f t="shared" si="1"/>
        <v>0</v>
      </c>
      <c r="P31" s="55">
        <v>3.0</v>
      </c>
      <c r="Q31" s="55">
        <v>4.0</v>
      </c>
      <c r="R31" s="95">
        <f t="shared" si="2"/>
        <v>7</v>
      </c>
      <c r="S31" s="43"/>
      <c r="T31" s="43"/>
      <c r="U31" s="43"/>
      <c r="V31" s="43"/>
      <c r="W31" s="43"/>
      <c r="X31" s="56" t="s">
        <v>46</v>
      </c>
    </row>
    <row r="32" ht="13.5" customHeight="1">
      <c r="A32" s="28">
        <v>26.0</v>
      </c>
      <c r="B32" s="452">
        <v>45826.0</v>
      </c>
      <c r="C32" s="158" t="s">
        <v>5497</v>
      </c>
      <c r="D32" s="158" t="s">
        <v>5498</v>
      </c>
      <c r="E32" s="158" t="s">
        <v>5499</v>
      </c>
      <c r="F32" s="447" t="s">
        <v>2330</v>
      </c>
      <c r="G32" s="205">
        <v>34.0</v>
      </c>
      <c r="H32" s="205" t="s">
        <v>30</v>
      </c>
      <c r="I32" s="448" t="s">
        <v>469</v>
      </c>
      <c r="J32" s="449" t="s">
        <v>5500</v>
      </c>
      <c r="K32" s="54">
        <v>29.0</v>
      </c>
      <c r="L32" s="55">
        <v>21.0</v>
      </c>
      <c r="M32" s="55">
        <v>0.0</v>
      </c>
      <c r="N32" s="55">
        <v>0.0</v>
      </c>
      <c r="O32" s="95">
        <f t="shared" si="1"/>
        <v>0</v>
      </c>
      <c r="P32" s="55">
        <v>3.0</v>
      </c>
      <c r="Q32" s="55">
        <v>8.0</v>
      </c>
      <c r="R32" s="95">
        <f t="shared" si="2"/>
        <v>11</v>
      </c>
      <c r="S32" s="43"/>
      <c r="T32" s="43"/>
      <c r="U32" s="43"/>
      <c r="V32" s="43"/>
      <c r="W32" s="43"/>
      <c r="X32" s="56" t="s">
        <v>46</v>
      </c>
    </row>
    <row r="33" ht="13.5" customHeight="1">
      <c r="A33" s="28">
        <v>27.0</v>
      </c>
      <c r="B33" s="452">
        <v>45828.0</v>
      </c>
      <c r="C33" s="158" t="s">
        <v>1283</v>
      </c>
      <c r="D33" s="158" t="s">
        <v>5501</v>
      </c>
      <c r="E33" s="158" t="s">
        <v>325</v>
      </c>
      <c r="F33" s="447" t="s">
        <v>2330</v>
      </c>
      <c r="G33" s="205">
        <v>26.0</v>
      </c>
      <c r="H33" s="205" t="s">
        <v>29</v>
      </c>
      <c r="I33" s="448" t="s">
        <v>5502</v>
      </c>
      <c r="J33" s="186"/>
      <c r="K33" s="54">
        <v>28.0</v>
      </c>
      <c r="L33" s="55">
        <v>28.0</v>
      </c>
      <c r="M33" s="55">
        <v>0.0</v>
      </c>
      <c r="N33" s="55">
        <v>0.0</v>
      </c>
      <c r="O33" s="95">
        <f t="shared" si="1"/>
        <v>0</v>
      </c>
      <c r="P33" s="55">
        <v>4.0</v>
      </c>
      <c r="Q33" s="55">
        <v>0.0</v>
      </c>
      <c r="R33" s="95">
        <f t="shared" si="2"/>
        <v>4</v>
      </c>
      <c r="S33" s="43"/>
      <c r="T33" s="43"/>
      <c r="U33" s="43"/>
      <c r="V33" s="43"/>
      <c r="W33" s="43"/>
      <c r="X33" s="56" t="s">
        <v>46</v>
      </c>
    </row>
    <row r="34" ht="13.5" customHeight="1">
      <c r="A34" s="28">
        <v>28.0</v>
      </c>
      <c r="B34" s="452">
        <v>45834.0</v>
      </c>
      <c r="C34" s="158" t="s">
        <v>5503</v>
      </c>
      <c r="D34" s="158" t="s">
        <v>5504</v>
      </c>
      <c r="E34" s="158" t="s">
        <v>5505</v>
      </c>
      <c r="F34" s="447" t="s">
        <v>2330</v>
      </c>
      <c r="G34" s="205">
        <v>30.0</v>
      </c>
      <c r="H34" s="205" t="s">
        <v>29</v>
      </c>
      <c r="I34" s="448" t="s">
        <v>5506</v>
      </c>
      <c r="J34" s="449" t="s">
        <v>5507</v>
      </c>
      <c r="K34" s="54">
        <v>31.0</v>
      </c>
      <c r="L34" s="55">
        <v>25.0</v>
      </c>
      <c r="M34" s="55">
        <v>0.0</v>
      </c>
      <c r="N34" s="55">
        <v>2.0</v>
      </c>
      <c r="O34" s="95">
        <f t="shared" si="1"/>
        <v>2</v>
      </c>
      <c r="P34" s="55">
        <v>1.0</v>
      </c>
      <c r="Q34" s="55">
        <v>4.0</v>
      </c>
      <c r="R34" s="95">
        <f t="shared" si="2"/>
        <v>7</v>
      </c>
      <c r="S34" s="43"/>
      <c r="T34" s="55" t="s">
        <v>277</v>
      </c>
      <c r="U34" s="43"/>
      <c r="V34" s="43"/>
      <c r="W34" s="55"/>
      <c r="X34" s="56" t="s">
        <v>46</v>
      </c>
    </row>
    <row r="35" ht="13.5" customHeight="1">
      <c r="A35" s="28">
        <v>29.0</v>
      </c>
      <c r="B35" s="452">
        <v>45834.0</v>
      </c>
      <c r="C35" s="158" t="s">
        <v>3730</v>
      </c>
      <c r="D35" s="158" t="s">
        <v>2285</v>
      </c>
      <c r="E35" s="158" t="s">
        <v>4378</v>
      </c>
      <c r="F35" s="447" t="s">
        <v>5418</v>
      </c>
      <c r="G35" s="205">
        <v>30.0</v>
      </c>
      <c r="H35" s="205" t="s">
        <v>29</v>
      </c>
      <c r="I35" s="448" t="s">
        <v>349</v>
      </c>
      <c r="J35" s="449" t="s">
        <v>5508</v>
      </c>
      <c r="K35" s="161">
        <v>31.0</v>
      </c>
      <c r="L35" s="55">
        <v>29.0</v>
      </c>
      <c r="M35" s="55">
        <v>0.0</v>
      </c>
      <c r="N35" s="55">
        <v>1.0</v>
      </c>
      <c r="O35" s="95">
        <f t="shared" si="1"/>
        <v>1</v>
      </c>
      <c r="P35" s="55">
        <v>1.0</v>
      </c>
      <c r="Q35" s="55">
        <v>0.0</v>
      </c>
      <c r="R35" s="95">
        <f t="shared" si="2"/>
        <v>2</v>
      </c>
      <c r="S35" s="43"/>
      <c r="T35" s="43"/>
      <c r="U35" s="43"/>
      <c r="V35" s="43"/>
      <c r="W35" s="43"/>
      <c r="X35" s="56" t="s">
        <v>46</v>
      </c>
    </row>
    <row r="36" ht="13.5" customHeight="1">
      <c r="A36" s="28">
        <v>30.0</v>
      </c>
      <c r="B36" s="452">
        <v>45834.0</v>
      </c>
      <c r="C36" s="158" t="s">
        <v>5509</v>
      </c>
      <c r="D36" s="158" t="s">
        <v>5510</v>
      </c>
      <c r="E36" s="158" t="s">
        <v>2415</v>
      </c>
      <c r="F36" s="447" t="s">
        <v>5418</v>
      </c>
      <c r="G36" s="205">
        <v>27.0</v>
      </c>
      <c r="H36" s="205" t="s">
        <v>30</v>
      </c>
      <c r="I36" s="448" t="s">
        <v>5511</v>
      </c>
      <c r="J36" s="449" t="s">
        <v>5512</v>
      </c>
      <c r="K36" s="87">
        <v>28.0</v>
      </c>
      <c r="L36" s="55">
        <v>28.0</v>
      </c>
      <c r="M36" s="55">
        <v>0.0</v>
      </c>
      <c r="N36" s="55">
        <v>0.0</v>
      </c>
      <c r="O36" s="95">
        <f t="shared" si="1"/>
        <v>0</v>
      </c>
      <c r="P36" s="55">
        <v>0.0</v>
      </c>
      <c r="Q36" s="55">
        <v>0.0</v>
      </c>
      <c r="R36" s="95">
        <f t="shared" si="2"/>
        <v>0</v>
      </c>
      <c r="S36" s="43"/>
      <c r="T36" s="43"/>
      <c r="U36" s="43"/>
      <c r="V36" s="43"/>
      <c r="W36" s="43"/>
      <c r="X36" s="56" t="s">
        <v>46</v>
      </c>
    </row>
    <row r="37" ht="13.5" customHeight="1">
      <c r="A37" s="28">
        <v>31.0</v>
      </c>
      <c r="B37" s="452">
        <v>45838.0</v>
      </c>
      <c r="C37" s="158" t="s">
        <v>1452</v>
      </c>
      <c r="D37" s="158" t="s">
        <v>5513</v>
      </c>
      <c r="E37" s="158" t="s">
        <v>140</v>
      </c>
      <c r="F37" s="447" t="s">
        <v>2330</v>
      </c>
      <c r="G37" s="205">
        <v>37.0</v>
      </c>
      <c r="H37" s="205" t="s">
        <v>29</v>
      </c>
      <c r="I37" s="448" t="s">
        <v>1833</v>
      </c>
      <c r="J37" s="187"/>
      <c r="K37" s="87">
        <v>29.0</v>
      </c>
      <c r="L37" s="55">
        <v>23.0</v>
      </c>
      <c r="M37" s="55">
        <v>1.0</v>
      </c>
      <c r="N37" s="55">
        <v>1.0</v>
      </c>
      <c r="O37" s="95">
        <f t="shared" si="1"/>
        <v>2</v>
      </c>
      <c r="P37" s="55">
        <v>4.0</v>
      </c>
      <c r="Q37" s="55">
        <v>2.0</v>
      </c>
      <c r="R37" s="95">
        <f t="shared" si="2"/>
        <v>8</v>
      </c>
      <c r="S37" s="43"/>
      <c r="T37" s="43"/>
      <c r="U37" s="43"/>
      <c r="V37" s="43"/>
      <c r="W37" s="43"/>
      <c r="X37" s="56" t="s">
        <v>46</v>
      </c>
    </row>
    <row r="38" ht="13.5" customHeight="1">
      <c r="A38" s="28">
        <v>32.0</v>
      </c>
      <c r="B38" s="452">
        <v>45838.0</v>
      </c>
      <c r="C38" s="158" t="s">
        <v>5514</v>
      </c>
      <c r="D38" s="158" t="s">
        <v>5515</v>
      </c>
      <c r="E38" s="158" t="s">
        <v>3647</v>
      </c>
      <c r="F38" s="447" t="s">
        <v>2330</v>
      </c>
      <c r="G38" s="205">
        <v>31.0</v>
      </c>
      <c r="H38" s="205" t="s">
        <v>29</v>
      </c>
      <c r="I38" s="448" t="s">
        <v>5516</v>
      </c>
      <c r="J38" s="187"/>
      <c r="K38" s="87">
        <v>32.0</v>
      </c>
      <c r="L38" s="55">
        <v>25.0</v>
      </c>
      <c r="M38" s="55">
        <v>1.0</v>
      </c>
      <c r="N38" s="55">
        <v>5.0</v>
      </c>
      <c r="O38" s="95">
        <f t="shared" si="1"/>
        <v>6</v>
      </c>
      <c r="P38" s="55">
        <v>0.0</v>
      </c>
      <c r="Q38" s="55">
        <v>1.0</v>
      </c>
      <c r="R38" s="95">
        <f t="shared" si="2"/>
        <v>7</v>
      </c>
      <c r="S38" s="43"/>
      <c r="T38" s="43"/>
      <c r="U38" s="43"/>
      <c r="V38" s="43"/>
      <c r="W38" s="43"/>
      <c r="X38" s="56" t="s">
        <v>46</v>
      </c>
    </row>
    <row r="39" ht="13.5" customHeight="1">
      <c r="A39" s="28">
        <v>33.0</v>
      </c>
      <c r="B39" s="452">
        <v>45838.0</v>
      </c>
      <c r="C39" s="158" t="s">
        <v>5517</v>
      </c>
      <c r="D39" s="158" t="s">
        <v>5518</v>
      </c>
      <c r="E39" s="158" t="s">
        <v>5519</v>
      </c>
      <c r="F39" s="447" t="s">
        <v>5418</v>
      </c>
      <c r="G39" s="205">
        <v>25.0</v>
      </c>
      <c r="H39" s="205" t="s">
        <v>30</v>
      </c>
      <c r="I39" s="448" t="s">
        <v>349</v>
      </c>
      <c r="J39" s="451" t="s">
        <v>5520</v>
      </c>
      <c r="K39" s="54">
        <v>30.0</v>
      </c>
      <c r="L39" s="55">
        <v>26.0</v>
      </c>
      <c r="M39" s="55">
        <v>1.0</v>
      </c>
      <c r="N39" s="55">
        <v>1.0</v>
      </c>
      <c r="O39" s="95">
        <f t="shared" si="1"/>
        <v>2</v>
      </c>
      <c r="P39" s="55">
        <v>2.0</v>
      </c>
      <c r="Q39" s="55">
        <v>2.0</v>
      </c>
      <c r="R39" s="95">
        <f t="shared" si="2"/>
        <v>6</v>
      </c>
      <c r="S39" s="43"/>
      <c r="T39" s="43"/>
      <c r="U39" s="43"/>
      <c r="V39" s="43"/>
      <c r="W39" s="55" t="s">
        <v>648</v>
      </c>
      <c r="X39" s="56" t="s">
        <v>46</v>
      </c>
    </row>
    <row r="40" ht="13.5" customHeight="1">
      <c r="A40" s="28">
        <v>34.0</v>
      </c>
      <c r="B40" s="452">
        <v>45838.0</v>
      </c>
      <c r="C40" s="144" t="s">
        <v>5521</v>
      </c>
      <c r="D40" s="144" t="s">
        <v>5522</v>
      </c>
      <c r="E40" s="144" t="s">
        <v>5523</v>
      </c>
      <c r="F40" s="103" t="s">
        <v>5524</v>
      </c>
      <c r="G40" s="453">
        <v>23.0</v>
      </c>
      <c r="H40" s="454" t="s">
        <v>29</v>
      </c>
      <c r="I40" s="455"/>
      <c r="J40" s="456"/>
      <c r="K40" s="87">
        <v>31.0</v>
      </c>
      <c r="L40" s="55">
        <v>29.0</v>
      </c>
      <c r="M40" s="55">
        <v>2.0</v>
      </c>
      <c r="N40" s="55">
        <v>0.0</v>
      </c>
      <c r="O40" s="95">
        <f t="shared" si="1"/>
        <v>2</v>
      </c>
      <c r="P40" s="55">
        <v>1.0</v>
      </c>
      <c r="Q40" s="55">
        <v>0.0</v>
      </c>
      <c r="R40" s="95">
        <f t="shared" si="2"/>
        <v>3</v>
      </c>
      <c r="S40" s="43"/>
      <c r="T40" s="43"/>
      <c r="U40" s="43"/>
      <c r="V40" s="43"/>
      <c r="W40" s="55" t="s">
        <v>5525</v>
      </c>
      <c r="X40" s="56" t="s">
        <v>46</v>
      </c>
    </row>
    <row r="41" ht="13.5" customHeight="1">
      <c r="A41" s="28">
        <v>35.0</v>
      </c>
      <c r="B41" s="452">
        <v>45840.0</v>
      </c>
      <c r="C41" s="404" t="s">
        <v>5526</v>
      </c>
      <c r="D41" s="404" t="s">
        <v>2304</v>
      </c>
      <c r="E41" s="404" t="s">
        <v>1702</v>
      </c>
      <c r="F41" s="103" t="s">
        <v>2330</v>
      </c>
      <c r="G41" s="453">
        <v>43.0</v>
      </c>
      <c r="H41" s="454" t="s">
        <v>30</v>
      </c>
      <c r="I41" s="453" t="s">
        <v>349</v>
      </c>
      <c r="J41" s="457"/>
      <c r="K41" s="87">
        <v>30.0</v>
      </c>
      <c r="L41" s="55">
        <v>28.0</v>
      </c>
      <c r="M41" s="55">
        <v>0.0</v>
      </c>
      <c r="N41" s="55">
        <v>2.0</v>
      </c>
      <c r="O41" s="95">
        <f t="shared" si="1"/>
        <v>2</v>
      </c>
      <c r="P41" s="55">
        <v>2.0</v>
      </c>
      <c r="Q41" s="55">
        <v>0.0</v>
      </c>
      <c r="R41" s="95">
        <f t="shared" si="2"/>
        <v>4</v>
      </c>
      <c r="S41" s="43"/>
      <c r="T41" s="43"/>
      <c r="U41" s="43"/>
      <c r="V41" s="43"/>
      <c r="W41" s="43"/>
      <c r="X41" s="56" t="s">
        <v>46</v>
      </c>
    </row>
    <row r="42" ht="13.5" customHeight="1">
      <c r="A42" s="28">
        <v>36.0</v>
      </c>
      <c r="B42" s="452">
        <v>45840.0</v>
      </c>
      <c r="C42" s="144" t="s">
        <v>5527</v>
      </c>
      <c r="D42" s="144" t="s">
        <v>5441</v>
      </c>
      <c r="E42" s="144" t="s">
        <v>3647</v>
      </c>
      <c r="F42" s="458" t="s">
        <v>5418</v>
      </c>
      <c r="G42" s="453">
        <v>41.0</v>
      </c>
      <c r="H42" s="454" t="s">
        <v>30</v>
      </c>
      <c r="I42" s="453" t="s">
        <v>349</v>
      </c>
      <c r="J42" s="457"/>
      <c r="K42" s="87">
        <v>18.0</v>
      </c>
      <c r="L42" s="55">
        <v>17.0</v>
      </c>
      <c r="M42" s="55">
        <v>0.0</v>
      </c>
      <c r="N42" s="55">
        <v>1.0</v>
      </c>
      <c r="O42" s="95">
        <f t="shared" si="1"/>
        <v>1</v>
      </c>
      <c r="P42" s="55">
        <v>14.0</v>
      </c>
      <c r="Q42" s="55">
        <v>0.0</v>
      </c>
      <c r="R42" s="95">
        <f t="shared" si="2"/>
        <v>15</v>
      </c>
      <c r="S42" s="43"/>
      <c r="T42" s="43"/>
      <c r="U42" s="43"/>
      <c r="V42" s="43"/>
      <c r="W42" s="55" t="s">
        <v>786</v>
      </c>
      <c r="X42" s="56" t="s">
        <v>46</v>
      </c>
    </row>
    <row r="43" ht="13.5" customHeight="1">
      <c r="A43" s="28">
        <v>37.0</v>
      </c>
      <c r="B43" s="452">
        <v>45841.0</v>
      </c>
      <c r="C43" s="287" t="s">
        <v>5528</v>
      </c>
      <c r="D43" s="287" t="s">
        <v>5529</v>
      </c>
      <c r="E43" s="287" t="s">
        <v>5530</v>
      </c>
      <c r="F43" s="458" t="s">
        <v>2330</v>
      </c>
      <c r="G43" s="453">
        <v>25.0</v>
      </c>
      <c r="H43" s="454" t="s">
        <v>29</v>
      </c>
      <c r="I43" s="453" t="s">
        <v>349</v>
      </c>
      <c r="J43" s="459"/>
      <c r="K43" s="87">
        <v>32.0</v>
      </c>
      <c r="L43" s="55">
        <v>28.0</v>
      </c>
      <c r="M43" s="55">
        <v>0.0</v>
      </c>
      <c r="N43" s="55">
        <v>3.0</v>
      </c>
      <c r="O43" s="95">
        <f t="shared" si="1"/>
        <v>3</v>
      </c>
      <c r="P43" s="55">
        <v>0.0</v>
      </c>
      <c r="Q43" s="55">
        <v>1.0</v>
      </c>
      <c r="R43" s="95">
        <f t="shared" si="2"/>
        <v>4</v>
      </c>
      <c r="S43" s="43"/>
      <c r="T43" s="43"/>
      <c r="U43" s="43"/>
      <c r="V43" s="43"/>
      <c r="W43" s="43"/>
      <c r="X43" s="56" t="s">
        <v>46</v>
      </c>
    </row>
    <row r="44" ht="13.5" customHeight="1">
      <c r="A44" s="28">
        <v>38.0</v>
      </c>
      <c r="B44" s="452">
        <v>45842.0</v>
      </c>
      <c r="C44" s="144" t="s">
        <v>5531</v>
      </c>
      <c r="D44" s="144" t="s">
        <v>1395</v>
      </c>
      <c r="E44" s="144" t="s">
        <v>2989</v>
      </c>
      <c r="F44" s="458" t="s">
        <v>5418</v>
      </c>
      <c r="G44" s="453">
        <v>40.0</v>
      </c>
      <c r="H44" s="454" t="s">
        <v>30</v>
      </c>
      <c r="I44" s="453" t="s">
        <v>349</v>
      </c>
      <c r="J44" s="454" t="s">
        <v>5532</v>
      </c>
      <c r="K44" s="87">
        <v>27.0</v>
      </c>
      <c r="L44" s="55">
        <v>23.0</v>
      </c>
      <c r="M44" s="55">
        <v>2.0</v>
      </c>
      <c r="N44" s="55">
        <v>2.0</v>
      </c>
      <c r="O44" s="95">
        <f t="shared" si="1"/>
        <v>4</v>
      </c>
      <c r="P44" s="55">
        <v>5.0</v>
      </c>
      <c r="Q44" s="55">
        <v>0.0</v>
      </c>
      <c r="R44" s="95">
        <f t="shared" si="2"/>
        <v>9</v>
      </c>
      <c r="S44" s="43"/>
      <c r="T44" s="43"/>
      <c r="U44" s="43"/>
      <c r="V44" s="43"/>
      <c r="W44" s="55" t="s">
        <v>648</v>
      </c>
      <c r="X44" s="56" t="s">
        <v>46</v>
      </c>
    </row>
    <row r="45" ht="13.5" customHeight="1">
      <c r="A45" s="28">
        <v>39.0</v>
      </c>
      <c r="B45" s="452">
        <v>45842.0</v>
      </c>
      <c r="C45" s="460" t="s">
        <v>1324</v>
      </c>
      <c r="D45" s="460" t="s">
        <v>5533</v>
      </c>
      <c r="E45" s="460" t="s">
        <v>1326</v>
      </c>
      <c r="F45" s="103" t="s">
        <v>2330</v>
      </c>
      <c r="G45" s="453">
        <v>28.0</v>
      </c>
      <c r="H45" s="453" t="s">
        <v>30</v>
      </c>
      <c r="I45" s="453" t="s">
        <v>349</v>
      </c>
      <c r="J45" s="461" t="s">
        <v>5479</v>
      </c>
      <c r="K45" s="87">
        <v>32.0</v>
      </c>
      <c r="L45" s="55">
        <v>30.0</v>
      </c>
      <c r="M45" s="55">
        <v>0.0</v>
      </c>
      <c r="N45" s="55">
        <v>2.0</v>
      </c>
      <c r="O45" s="95">
        <f t="shared" si="1"/>
        <v>2</v>
      </c>
      <c r="P45" s="55">
        <v>0.0</v>
      </c>
      <c r="Q45" s="55">
        <v>0.0</v>
      </c>
      <c r="R45" s="95">
        <f t="shared" si="2"/>
        <v>2</v>
      </c>
      <c r="S45" s="43"/>
      <c r="T45" s="55" t="s">
        <v>277</v>
      </c>
      <c r="U45" s="43"/>
      <c r="V45" s="43"/>
      <c r="W45" s="43"/>
      <c r="X45" s="56" t="s">
        <v>46</v>
      </c>
    </row>
    <row r="46" ht="13.5" customHeight="1">
      <c r="A46" s="28">
        <v>40.0</v>
      </c>
      <c r="B46" s="452">
        <v>45842.0</v>
      </c>
      <c r="C46" s="144" t="s">
        <v>5534</v>
      </c>
      <c r="D46" s="144" t="s">
        <v>5535</v>
      </c>
      <c r="E46" s="144" t="s">
        <v>4418</v>
      </c>
      <c r="F46" s="53"/>
      <c r="G46" s="455"/>
      <c r="H46" s="453" t="s">
        <v>30</v>
      </c>
      <c r="I46" s="455"/>
      <c r="J46" s="454" t="s">
        <v>5536</v>
      </c>
      <c r="K46" s="87">
        <v>29.0</v>
      </c>
      <c r="L46" s="55">
        <v>25.0</v>
      </c>
      <c r="M46" s="55">
        <v>0.0</v>
      </c>
      <c r="N46" s="55">
        <v>4.0</v>
      </c>
      <c r="O46" s="95">
        <f t="shared" si="1"/>
        <v>4</v>
      </c>
      <c r="P46" s="55">
        <v>3.0</v>
      </c>
      <c r="Q46" s="55">
        <v>0.0</v>
      </c>
      <c r="R46" s="95">
        <f t="shared" si="2"/>
        <v>7</v>
      </c>
      <c r="S46" s="43"/>
      <c r="T46" s="43"/>
      <c r="U46" s="43"/>
      <c r="V46" s="43"/>
      <c r="W46" s="43"/>
      <c r="X46" s="56" t="s">
        <v>46</v>
      </c>
    </row>
    <row r="47" ht="13.5" customHeight="1">
      <c r="A47" s="28">
        <v>41.0</v>
      </c>
      <c r="B47" s="462">
        <v>45842.0</v>
      </c>
      <c r="C47" s="144" t="s">
        <v>5537</v>
      </c>
      <c r="D47" s="144" t="s">
        <v>5538</v>
      </c>
      <c r="E47" s="144" t="s">
        <v>5539</v>
      </c>
      <c r="F47" s="103" t="s">
        <v>338</v>
      </c>
      <c r="G47" s="453">
        <v>34.0</v>
      </c>
      <c r="H47" s="453" t="s">
        <v>29</v>
      </c>
      <c r="I47" s="453" t="s">
        <v>480</v>
      </c>
      <c r="J47" s="454" t="s">
        <v>5540</v>
      </c>
      <c r="K47" s="87">
        <v>18.0</v>
      </c>
      <c r="L47" s="55">
        <v>9.0</v>
      </c>
      <c r="M47" s="55">
        <v>0.0</v>
      </c>
      <c r="N47" s="55">
        <v>0.0</v>
      </c>
      <c r="O47" s="95">
        <f t="shared" si="1"/>
        <v>0</v>
      </c>
      <c r="P47" s="55">
        <v>12.0</v>
      </c>
      <c r="Q47" s="55">
        <v>9.0</v>
      </c>
      <c r="R47" s="95">
        <f t="shared" si="2"/>
        <v>21</v>
      </c>
      <c r="S47" s="43"/>
      <c r="T47" s="43"/>
      <c r="U47" s="43"/>
      <c r="V47" s="43"/>
      <c r="W47" s="43"/>
      <c r="X47" s="56" t="s">
        <v>46</v>
      </c>
    </row>
    <row r="48" ht="13.5" customHeight="1">
      <c r="A48" s="28">
        <v>42.0</v>
      </c>
      <c r="B48" s="452">
        <v>45845.0</v>
      </c>
      <c r="C48" s="144" t="s">
        <v>5469</v>
      </c>
      <c r="D48" s="144" t="s">
        <v>5470</v>
      </c>
      <c r="E48" s="144" t="s">
        <v>3564</v>
      </c>
      <c r="F48" s="103" t="s">
        <v>2330</v>
      </c>
      <c r="G48" s="453">
        <v>55.0</v>
      </c>
      <c r="H48" s="453" t="s">
        <v>30</v>
      </c>
      <c r="I48" s="453" t="s">
        <v>422</v>
      </c>
      <c r="J48" s="454" t="s">
        <v>5541</v>
      </c>
      <c r="K48" s="87">
        <v>27.0</v>
      </c>
      <c r="L48" s="55">
        <v>27.0</v>
      </c>
      <c r="M48" s="55">
        <v>0.0</v>
      </c>
      <c r="N48" s="55">
        <v>4.0</v>
      </c>
      <c r="O48" s="95">
        <f t="shared" si="1"/>
        <v>4</v>
      </c>
      <c r="P48" s="55">
        <v>5.0</v>
      </c>
      <c r="Q48" s="55">
        <v>0.0</v>
      </c>
      <c r="R48" s="95">
        <f t="shared" si="2"/>
        <v>9</v>
      </c>
      <c r="S48" s="43"/>
      <c r="T48" s="43"/>
      <c r="U48" s="43"/>
      <c r="V48" s="43"/>
      <c r="W48" s="43"/>
      <c r="X48" s="56" t="s">
        <v>46</v>
      </c>
    </row>
    <row r="49" ht="13.5" customHeight="1">
      <c r="A49" s="28">
        <v>43.0</v>
      </c>
      <c r="B49" s="452">
        <v>45845.0</v>
      </c>
      <c r="C49" s="144" t="s">
        <v>1255</v>
      </c>
      <c r="D49" s="144" t="s">
        <v>5542</v>
      </c>
      <c r="E49" s="144" t="s">
        <v>5543</v>
      </c>
      <c r="F49" s="103" t="s">
        <v>5418</v>
      </c>
      <c r="G49" s="453">
        <v>27.0</v>
      </c>
      <c r="H49" s="453" t="s">
        <v>30</v>
      </c>
      <c r="I49" s="453" t="s">
        <v>349</v>
      </c>
      <c r="J49" s="454" t="s">
        <v>5473</v>
      </c>
      <c r="K49" s="87">
        <v>28.0</v>
      </c>
      <c r="L49" s="55">
        <v>26.0</v>
      </c>
      <c r="M49" s="55">
        <v>0.0</v>
      </c>
      <c r="N49" s="55">
        <v>0.0</v>
      </c>
      <c r="O49" s="95">
        <f t="shared" si="1"/>
        <v>0</v>
      </c>
      <c r="P49" s="55">
        <v>4.0</v>
      </c>
      <c r="Q49" s="55">
        <v>2.0</v>
      </c>
      <c r="R49" s="95">
        <f t="shared" si="2"/>
        <v>6</v>
      </c>
      <c r="S49" s="43"/>
      <c r="T49" s="43"/>
      <c r="U49" s="43"/>
      <c r="V49" s="43"/>
      <c r="W49" s="43"/>
      <c r="X49" s="56" t="s">
        <v>46</v>
      </c>
    </row>
    <row r="50" ht="13.5" customHeight="1">
      <c r="A50" s="28">
        <v>44.0</v>
      </c>
      <c r="B50" s="452">
        <v>45845.0</v>
      </c>
      <c r="C50" s="144" t="s">
        <v>202</v>
      </c>
      <c r="D50" s="144" t="s">
        <v>5544</v>
      </c>
      <c r="E50" s="144" t="s">
        <v>5545</v>
      </c>
      <c r="F50" s="103" t="s">
        <v>5546</v>
      </c>
      <c r="G50" s="453">
        <v>45.0</v>
      </c>
      <c r="H50" s="453" t="s">
        <v>30</v>
      </c>
      <c r="I50" s="453" t="s">
        <v>349</v>
      </c>
      <c r="J50" s="454" t="s">
        <v>5547</v>
      </c>
      <c r="K50" s="87">
        <v>27.0</v>
      </c>
      <c r="L50" s="55">
        <v>25.0</v>
      </c>
      <c r="M50" s="55">
        <v>0.0</v>
      </c>
      <c r="N50" s="55">
        <v>1.0</v>
      </c>
      <c r="O50" s="95">
        <f t="shared" si="1"/>
        <v>1</v>
      </c>
      <c r="P50" s="55">
        <v>5.0</v>
      </c>
      <c r="Q50" s="55">
        <v>0.0</v>
      </c>
      <c r="R50" s="95">
        <f t="shared" si="2"/>
        <v>6</v>
      </c>
      <c r="S50" s="43"/>
      <c r="T50" s="43"/>
      <c r="U50" s="43"/>
      <c r="V50" s="43"/>
      <c r="W50" s="43"/>
      <c r="X50" s="56" t="s">
        <v>46</v>
      </c>
    </row>
    <row r="51" ht="13.5" customHeight="1">
      <c r="A51" s="28">
        <v>45.0</v>
      </c>
      <c r="B51" s="452">
        <v>45845.0</v>
      </c>
      <c r="C51" s="144" t="s">
        <v>2216</v>
      </c>
      <c r="D51" s="144" t="s">
        <v>2217</v>
      </c>
      <c r="E51" s="144" t="s">
        <v>2218</v>
      </c>
      <c r="F51" s="103" t="s">
        <v>2330</v>
      </c>
      <c r="G51" s="453">
        <v>50.0</v>
      </c>
      <c r="H51" s="453" t="s">
        <v>29</v>
      </c>
      <c r="I51" s="453" t="s">
        <v>349</v>
      </c>
      <c r="J51" s="454" t="s">
        <v>5547</v>
      </c>
      <c r="K51" s="87">
        <v>28.0</v>
      </c>
      <c r="L51" s="55">
        <v>26.0</v>
      </c>
      <c r="M51" s="55">
        <v>0.0</v>
      </c>
      <c r="N51" s="55">
        <v>1.0</v>
      </c>
      <c r="O51" s="95">
        <f t="shared" si="1"/>
        <v>1</v>
      </c>
      <c r="P51" s="55">
        <v>0.0</v>
      </c>
      <c r="Q51" s="55">
        <v>0.0</v>
      </c>
      <c r="R51" s="95">
        <f t="shared" si="2"/>
        <v>1</v>
      </c>
      <c r="S51" s="43"/>
      <c r="T51" s="43"/>
      <c r="U51" s="43"/>
      <c r="V51" s="43"/>
      <c r="W51" s="43"/>
      <c r="X51" s="56" t="s">
        <v>46</v>
      </c>
    </row>
    <row r="52" ht="13.5" customHeight="1">
      <c r="A52" s="28">
        <v>46.0</v>
      </c>
      <c r="B52" s="462">
        <v>45846.0</v>
      </c>
      <c r="C52" s="144" t="s">
        <v>5548</v>
      </c>
      <c r="D52" s="144" t="s">
        <v>5549</v>
      </c>
      <c r="E52" s="144" t="s">
        <v>1424</v>
      </c>
      <c r="F52" s="103" t="s">
        <v>2330</v>
      </c>
      <c r="G52" s="453">
        <v>32.0</v>
      </c>
      <c r="H52" s="453" t="s">
        <v>29</v>
      </c>
      <c r="I52" s="453" t="s">
        <v>349</v>
      </c>
      <c r="J52" s="454" t="s">
        <v>5540</v>
      </c>
      <c r="K52" s="87">
        <v>31.0</v>
      </c>
      <c r="L52" s="55">
        <v>26.0</v>
      </c>
      <c r="M52" s="55">
        <v>3.0</v>
      </c>
      <c r="N52" s="55">
        <v>2.0</v>
      </c>
      <c r="O52" s="43">
        <f t="shared" si="1"/>
        <v>5</v>
      </c>
      <c r="P52" s="55">
        <v>1.0</v>
      </c>
      <c r="Q52" s="55">
        <v>0.0</v>
      </c>
      <c r="R52" s="95">
        <f t="shared" si="2"/>
        <v>6</v>
      </c>
      <c r="S52" s="43"/>
      <c r="T52" s="43"/>
      <c r="U52" s="43"/>
      <c r="V52" s="43"/>
      <c r="W52" s="43"/>
      <c r="X52" s="56" t="s">
        <v>46</v>
      </c>
    </row>
    <row r="53" ht="13.5" customHeight="1">
      <c r="A53" s="28">
        <v>47.0</v>
      </c>
      <c r="B53" s="452">
        <v>45846.0</v>
      </c>
      <c r="C53" s="144" t="s">
        <v>5550</v>
      </c>
      <c r="D53" s="144" t="s">
        <v>5551</v>
      </c>
      <c r="E53" s="144" t="s">
        <v>5552</v>
      </c>
      <c r="F53" s="103" t="s">
        <v>2330</v>
      </c>
      <c r="G53" s="453">
        <v>30.0</v>
      </c>
      <c r="H53" s="453" t="s">
        <v>30</v>
      </c>
      <c r="I53" s="453" t="s">
        <v>349</v>
      </c>
      <c r="J53" s="454" t="s">
        <v>5553</v>
      </c>
      <c r="K53" s="87">
        <v>30.0</v>
      </c>
      <c r="L53" s="55">
        <v>27.0</v>
      </c>
      <c r="M53" s="55">
        <v>0.0</v>
      </c>
      <c r="N53" s="55">
        <v>2.0</v>
      </c>
      <c r="O53" s="43">
        <f t="shared" si="1"/>
        <v>2</v>
      </c>
      <c r="P53" s="55">
        <v>2.0</v>
      </c>
      <c r="Q53" s="55">
        <v>1.0</v>
      </c>
      <c r="R53" s="43">
        <f t="shared" si="2"/>
        <v>5</v>
      </c>
      <c r="S53" s="43"/>
      <c r="T53" s="43"/>
      <c r="U53" s="43"/>
      <c r="V53" s="43"/>
      <c r="W53" s="43"/>
      <c r="X53" s="56" t="s">
        <v>46</v>
      </c>
    </row>
    <row r="54" ht="13.5" customHeight="1">
      <c r="A54" s="28">
        <v>48.0</v>
      </c>
      <c r="B54" s="452">
        <v>45846.0</v>
      </c>
      <c r="C54" s="144" t="s">
        <v>5554</v>
      </c>
      <c r="D54" s="144" t="s">
        <v>5555</v>
      </c>
      <c r="E54" s="144" t="s">
        <v>5556</v>
      </c>
      <c r="F54" s="103" t="s">
        <v>5418</v>
      </c>
      <c r="G54" s="453">
        <v>25.0</v>
      </c>
      <c r="H54" s="453" t="s">
        <v>30</v>
      </c>
      <c r="I54" s="453" t="s">
        <v>349</v>
      </c>
      <c r="J54" s="454" t="s">
        <v>5452</v>
      </c>
      <c r="K54" s="87">
        <v>29.0</v>
      </c>
      <c r="L54" s="55">
        <v>24.0</v>
      </c>
      <c r="M54" s="55">
        <v>3.0</v>
      </c>
      <c r="N54" s="55">
        <v>0.0</v>
      </c>
      <c r="O54" s="43">
        <f t="shared" si="1"/>
        <v>3</v>
      </c>
      <c r="P54" s="55">
        <v>3.0</v>
      </c>
      <c r="Q54" s="55">
        <v>2.0</v>
      </c>
      <c r="R54" s="43">
        <f t="shared" si="2"/>
        <v>8</v>
      </c>
      <c r="S54" s="43"/>
      <c r="T54" s="43"/>
      <c r="U54" s="43"/>
      <c r="V54" s="43"/>
      <c r="W54" s="43"/>
      <c r="X54" s="56" t="s">
        <v>46</v>
      </c>
    </row>
    <row r="55" ht="13.5" customHeight="1">
      <c r="A55" s="28">
        <v>49.0</v>
      </c>
      <c r="B55" s="452">
        <v>45870.0</v>
      </c>
      <c r="C55" s="144" t="s">
        <v>2727</v>
      </c>
      <c r="D55" s="144" t="s">
        <v>5557</v>
      </c>
      <c r="E55" s="144" t="s">
        <v>3829</v>
      </c>
      <c r="F55" s="103" t="s">
        <v>2330</v>
      </c>
      <c r="G55" s="453">
        <v>26.0</v>
      </c>
      <c r="H55" s="453" t="s">
        <v>29</v>
      </c>
      <c r="I55" s="453" t="s">
        <v>349</v>
      </c>
      <c r="J55" s="454" t="s">
        <v>5558</v>
      </c>
      <c r="K55" s="87">
        <v>27.0</v>
      </c>
      <c r="L55" s="55">
        <v>25.0</v>
      </c>
      <c r="M55" s="55">
        <v>0.0</v>
      </c>
      <c r="N55" s="55">
        <v>0.0</v>
      </c>
      <c r="O55" s="43">
        <f t="shared" si="1"/>
        <v>0</v>
      </c>
      <c r="P55" s="55">
        <v>5.0</v>
      </c>
      <c r="Q55" s="55">
        <v>1.0</v>
      </c>
      <c r="R55" s="43">
        <f t="shared" si="2"/>
        <v>6</v>
      </c>
      <c r="S55" s="43"/>
      <c r="T55" s="55" t="s">
        <v>78</v>
      </c>
      <c r="U55" s="43"/>
      <c r="V55" s="43"/>
      <c r="W55" s="43"/>
      <c r="X55" s="56" t="s">
        <v>46</v>
      </c>
    </row>
    <row r="56" ht="13.5" customHeight="1">
      <c r="A56" s="28">
        <v>50.0</v>
      </c>
      <c r="B56" s="462">
        <v>45874.0</v>
      </c>
      <c r="C56" s="144" t="s">
        <v>1154</v>
      </c>
      <c r="D56" s="144" t="s">
        <v>5559</v>
      </c>
      <c r="E56" s="144" t="s">
        <v>5560</v>
      </c>
      <c r="F56" s="103" t="s">
        <v>2330</v>
      </c>
      <c r="G56" s="453">
        <v>31.0</v>
      </c>
      <c r="H56" s="453" t="s">
        <v>29</v>
      </c>
      <c r="I56" s="453" t="s">
        <v>349</v>
      </c>
      <c r="J56" s="454" t="s">
        <v>5561</v>
      </c>
      <c r="K56" s="87">
        <v>29.0</v>
      </c>
      <c r="L56" s="55">
        <v>14.0</v>
      </c>
      <c r="M56" s="55">
        <v>5.0</v>
      </c>
      <c r="N56" s="55">
        <v>10.0</v>
      </c>
      <c r="O56" s="43">
        <f t="shared" si="1"/>
        <v>15</v>
      </c>
      <c r="P56" s="55">
        <v>3.0</v>
      </c>
      <c r="Q56" s="55">
        <v>0.0</v>
      </c>
      <c r="R56" s="43">
        <f t="shared" si="2"/>
        <v>18</v>
      </c>
      <c r="S56" s="43"/>
      <c r="T56" s="43"/>
      <c r="U56" s="43"/>
      <c r="V56" s="43"/>
      <c r="W56" s="43"/>
      <c r="X56" s="56" t="s">
        <v>46</v>
      </c>
    </row>
    <row r="57" ht="13.5" customHeight="1">
      <c r="A57" s="28">
        <v>51.0</v>
      </c>
      <c r="B57" s="462">
        <v>45876.0</v>
      </c>
      <c r="C57" s="144" t="s">
        <v>5562</v>
      </c>
      <c r="D57" s="144" t="s">
        <v>5432</v>
      </c>
      <c r="E57" s="144" t="s">
        <v>5433</v>
      </c>
      <c r="F57" s="103" t="s">
        <v>2330</v>
      </c>
      <c r="G57" s="453">
        <v>25.0</v>
      </c>
      <c r="H57" s="453" t="s">
        <v>30</v>
      </c>
      <c r="I57" s="453" t="s">
        <v>5418</v>
      </c>
      <c r="J57" s="454" t="s">
        <v>3316</v>
      </c>
      <c r="K57" s="87">
        <v>26.0</v>
      </c>
      <c r="L57" s="55">
        <v>24.0</v>
      </c>
      <c r="M57" s="55">
        <v>0.0</v>
      </c>
      <c r="N57" s="55">
        <v>2.0</v>
      </c>
      <c r="O57" s="43">
        <f t="shared" si="1"/>
        <v>2</v>
      </c>
      <c r="P57" s="55">
        <v>2.0</v>
      </c>
      <c r="Q57" s="55">
        <v>0.0</v>
      </c>
      <c r="R57" s="43">
        <f t="shared" si="2"/>
        <v>4</v>
      </c>
      <c r="S57" s="43"/>
      <c r="T57" s="43"/>
      <c r="U57" s="43"/>
      <c r="V57" s="43"/>
      <c r="W57" s="43"/>
      <c r="X57" s="56" t="s">
        <v>46</v>
      </c>
    </row>
    <row r="58" ht="13.5" customHeight="1">
      <c r="A58" s="28">
        <v>52.0</v>
      </c>
      <c r="B58" s="452">
        <v>45884.0</v>
      </c>
      <c r="C58" s="144" t="s">
        <v>5563</v>
      </c>
      <c r="D58" s="144" t="s">
        <v>5564</v>
      </c>
      <c r="E58" s="144" t="s">
        <v>5565</v>
      </c>
      <c r="F58" s="103" t="s">
        <v>2330</v>
      </c>
      <c r="G58" s="453">
        <v>33.0</v>
      </c>
      <c r="H58" s="453" t="s">
        <v>30</v>
      </c>
      <c r="I58" s="453" t="s">
        <v>349</v>
      </c>
      <c r="J58" s="454" t="s">
        <v>5566</v>
      </c>
      <c r="K58" s="87">
        <v>29.0</v>
      </c>
      <c r="L58" s="55">
        <v>28.0</v>
      </c>
      <c r="M58" s="55">
        <v>0.0</v>
      </c>
      <c r="N58" s="55">
        <v>0.0</v>
      </c>
      <c r="O58" s="43">
        <f t="shared" si="1"/>
        <v>0</v>
      </c>
      <c r="P58" s="55">
        <v>3.0</v>
      </c>
      <c r="Q58" s="55">
        <v>0.0</v>
      </c>
      <c r="R58" s="43">
        <f t="shared" si="2"/>
        <v>3</v>
      </c>
      <c r="S58" s="43"/>
      <c r="T58" s="43"/>
      <c r="U58" s="43"/>
      <c r="V58" s="43"/>
      <c r="W58" s="43"/>
      <c r="X58" s="56" t="s">
        <v>46</v>
      </c>
    </row>
    <row r="59" ht="13.5" customHeight="1">
      <c r="A59" s="28">
        <v>53.0</v>
      </c>
      <c r="B59" s="452">
        <v>45884.0</v>
      </c>
      <c r="C59" s="144" t="s">
        <v>5487</v>
      </c>
      <c r="D59" s="144" t="s">
        <v>5488</v>
      </c>
      <c r="E59" s="144" t="s">
        <v>1098</v>
      </c>
      <c r="F59" s="103" t="s">
        <v>2330</v>
      </c>
      <c r="G59" s="453">
        <v>27.0</v>
      </c>
      <c r="H59" s="453" t="s">
        <v>30</v>
      </c>
      <c r="I59" s="453" t="s">
        <v>349</v>
      </c>
      <c r="J59" s="454" t="s">
        <v>5567</v>
      </c>
      <c r="K59" s="87">
        <v>14.0</v>
      </c>
      <c r="L59" s="55">
        <v>12.0</v>
      </c>
      <c r="M59" s="55">
        <v>0.0</v>
      </c>
      <c r="N59" s="55">
        <v>2.0</v>
      </c>
      <c r="O59" s="43">
        <f t="shared" si="1"/>
        <v>2</v>
      </c>
      <c r="P59" s="55">
        <v>14.0</v>
      </c>
      <c r="Q59" s="55">
        <v>0.0</v>
      </c>
      <c r="R59" s="43">
        <f t="shared" si="2"/>
        <v>16</v>
      </c>
      <c r="S59" s="43"/>
      <c r="T59" s="43"/>
      <c r="U59" s="43"/>
      <c r="V59" s="43"/>
      <c r="W59" s="55" t="s">
        <v>3233</v>
      </c>
      <c r="X59" s="56" t="s">
        <v>46</v>
      </c>
    </row>
    <row r="60" ht="13.5" customHeight="1">
      <c r="A60" s="28">
        <v>54.0</v>
      </c>
      <c r="B60" s="462">
        <v>45898.0</v>
      </c>
      <c r="C60" s="144" t="s">
        <v>3893</v>
      </c>
      <c r="D60" s="144" t="s">
        <v>5568</v>
      </c>
      <c r="E60" s="144" t="s">
        <v>3670</v>
      </c>
      <c r="F60" s="103" t="s">
        <v>2330</v>
      </c>
      <c r="G60" s="453">
        <v>34.0</v>
      </c>
      <c r="H60" s="453" t="s">
        <v>30</v>
      </c>
      <c r="I60" s="453" t="s">
        <v>349</v>
      </c>
      <c r="J60" s="454" t="s">
        <v>5558</v>
      </c>
      <c r="K60" s="87">
        <v>24.0</v>
      </c>
      <c r="L60" s="55">
        <v>16.0</v>
      </c>
      <c r="M60" s="55">
        <v>0.0</v>
      </c>
      <c r="N60" s="55">
        <v>8.0</v>
      </c>
      <c r="O60" s="43">
        <f t="shared" si="1"/>
        <v>8</v>
      </c>
      <c r="P60" s="55">
        <v>8.0</v>
      </c>
      <c r="Q60" s="55">
        <v>0.0</v>
      </c>
      <c r="R60" s="43">
        <f t="shared" si="2"/>
        <v>16</v>
      </c>
      <c r="S60" s="43"/>
      <c r="T60" s="43"/>
      <c r="U60" s="43"/>
      <c r="V60" s="43"/>
      <c r="W60" s="55" t="s">
        <v>648</v>
      </c>
      <c r="X60" s="56" t="s">
        <v>46</v>
      </c>
    </row>
    <row r="61" ht="13.5" customHeight="1">
      <c r="A61" s="28">
        <v>55.0</v>
      </c>
      <c r="B61" s="463">
        <v>45898.0</v>
      </c>
      <c r="C61" s="144" t="s">
        <v>5569</v>
      </c>
      <c r="D61" s="144" t="s">
        <v>5570</v>
      </c>
      <c r="E61" s="144" t="s">
        <v>1570</v>
      </c>
      <c r="F61" s="103" t="s">
        <v>5571</v>
      </c>
      <c r="G61" s="453">
        <v>23.0</v>
      </c>
      <c r="H61" s="453" t="s">
        <v>29</v>
      </c>
      <c r="I61" s="453" t="s">
        <v>349</v>
      </c>
      <c r="J61" s="454" t="s">
        <v>5536</v>
      </c>
      <c r="K61" s="87">
        <v>31.0</v>
      </c>
      <c r="L61" s="55">
        <v>14.0</v>
      </c>
      <c r="M61" s="55">
        <v>11.0</v>
      </c>
      <c r="N61" s="55">
        <v>6.0</v>
      </c>
      <c r="O61" s="43">
        <f t="shared" si="1"/>
        <v>17</v>
      </c>
      <c r="P61" s="55">
        <v>1.0</v>
      </c>
      <c r="Q61" s="55">
        <v>0.0</v>
      </c>
      <c r="R61" s="43">
        <f t="shared" si="2"/>
        <v>18</v>
      </c>
      <c r="S61" s="43"/>
      <c r="T61" s="43"/>
      <c r="U61" s="43"/>
      <c r="V61" s="43"/>
      <c r="W61" s="43"/>
      <c r="X61" s="56" t="s">
        <v>46</v>
      </c>
    </row>
    <row r="62" ht="13.5" customHeight="1">
      <c r="A62" s="28">
        <v>56.0</v>
      </c>
      <c r="B62" s="452">
        <v>45911.0</v>
      </c>
      <c r="C62" s="144" t="s">
        <v>5572</v>
      </c>
      <c r="D62" s="144" t="s">
        <v>5573</v>
      </c>
      <c r="E62" s="144" t="s">
        <v>473</v>
      </c>
      <c r="F62" s="103" t="s">
        <v>2330</v>
      </c>
      <c r="G62" s="453">
        <v>27.0</v>
      </c>
      <c r="H62" s="453" t="s">
        <v>30</v>
      </c>
      <c r="I62" s="453" t="s">
        <v>349</v>
      </c>
      <c r="J62" s="454" t="s">
        <v>5508</v>
      </c>
      <c r="K62" s="87">
        <v>27.0</v>
      </c>
      <c r="L62" s="55">
        <v>27.0</v>
      </c>
      <c r="M62" s="55">
        <v>0.0</v>
      </c>
      <c r="N62" s="55">
        <v>0.0</v>
      </c>
      <c r="O62" s="43">
        <f t="shared" si="1"/>
        <v>0</v>
      </c>
      <c r="P62" s="55">
        <v>5.0</v>
      </c>
      <c r="Q62" s="55">
        <v>0.0</v>
      </c>
      <c r="R62" s="43">
        <f t="shared" si="2"/>
        <v>5</v>
      </c>
      <c r="S62" s="43"/>
      <c r="T62" s="55" t="s">
        <v>277</v>
      </c>
      <c r="U62" s="43"/>
      <c r="V62" s="43"/>
      <c r="W62" s="43"/>
      <c r="X62" s="56" t="s">
        <v>46</v>
      </c>
    </row>
    <row r="63" ht="13.5" customHeight="1">
      <c r="A63" s="28">
        <v>57.0</v>
      </c>
      <c r="B63" s="452">
        <v>45912.0</v>
      </c>
      <c r="C63" s="144" t="s">
        <v>5574</v>
      </c>
      <c r="D63" s="144" t="s">
        <v>5575</v>
      </c>
      <c r="E63" s="144" t="s">
        <v>2318</v>
      </c>
      <c r="F63" s="103" t="s">
        <v>2330</v>
      </c>
      <c r="G63" s="453">
        <v>33.0</v>
      </c>
      <c r="H63" s="453" t="s">
        <v>30</v>
      </c>
      <c r="I63" s="453" t="s">
        <v>5576</v>
      </c>
      <c r="J63" s="454" t="s">
        <v>5577</v>
      </c>
      <c r="K63" s="87">
        <v>30.0</v>
      </c>
      <c r="L63" s="55">
        <v>28.0</v>
      </c>
      <c r="M63" s="55">
        <v>2.0</v>
      </c>
      <c r="N63" s="55">
        <v>0.0</v>
      </c>
      <c r="O63" s="43">
        <f t="shared" si="1"/>
        <v>2</v>
      </c>
      <c r="P63" s="55">
        <v>2.0</v>
      </c>
      <c r="Q63" s="55">
        <v>2.0</v>
      </c>
      <c r="R63" s="43">
        <f t="shared" si="2"/>
        <v>6</v>
      </c>
      <c r="S63" s="43"/>
      <c r="T63" s="55" t="s">
        <v>277</v>
      </c>
      <c r="U63" s="43"/>
      <c r="V63" s="43"/>
      <c r="W63" s="43"/>
      <c r="X63" s="56" t="s">
        <v>46</v>
      </c>
    </row>
    <row r="64" ht="13.5" customHeight="1">
      <c r="A64" s="28">
        <v>58.0</v>
      </c>
      <c r="B64" s="452">
        <v>45912.0</v>
      </c>
      <c r="C64" s="144" t="s">
        <v>5578</v>
      </c>
      <c r="D64" s="144" t="s">
        <v>5579</v>
      </c>
      <c r="E64" s="144" t="s">
        <v>5422</v>
      </c>
      <c r="F64" s="103" t="s">
        <v>2330</v>
      </c>
      <c r="G64" s="453">
        <v>29.0</v>
      </c>
      <c r="H64" s="453" t="s">
        <v>30</v>
      </c>
      <c r="I64" s="453" t="s">
        <v>5580</v>
      </c>
      <c r="J64" s="454" t="s">
        <v>5581</v>
      </c>
      <c r="K64" s="87">
        <v>30.0</v>
      </c>
      <c r="L64" s="55">
        <v>30.0</v>
      </c>
      <c r="M64" s="55">
        <v>0.0</v>
      </c>
      <c r="N64" s="55">
        <v>0.0</v>
      </c>
      <c r="O64" s="43">
        <f t="shared" si="1"/>
        <v>0</v>
      </c>
      <c r="P64" s="55">
        <v>2.0</v>
      </c>
      <c r="Q64" s="55">
        <v>0.0</v>
      </c>
      <c r="R64" s="43">
        <f t="shared" si="2"/>
        <v>2</v>
      </c>
      <c r="S64" s="43"/>
      <c r="T64" s="43"/>
      <c r="U64" s="43"/>
      <c r="V64" s="43"/>
      <c r="W64" s="43"/>
      <c r="X64" s="56" t="s">
        <v>46</v>
      </c>
    </row>
    <row r="65" ht="13.5" customHeight="1">
      <c r="A65" s="28">
        <v>59.0</v>
      </c>
      <c r="B65" s="452">
        <v>45912.0</v>
      </c>
      <c r="C65" s="144" t="s">
        <v>3721</v>
      </c>
      <c r="D65" s="144" t="s">
        <v>5582</v>
      </c>
      <c r="E65" s="144" t="s">
        <v>5583</v>
      </c>
      <c r="F65" s="103" t="s">
        <v>5418</v>
      </c>
      <c r="G65" s="453">
        <v>41.0</v>
      </c>
      <c r="H65" s="453" t="s">
        <v>30</v>
      </c>
      <c r="I65" s="453" t="s">
        <v>349</v>
      </c>
      <c r="J65" s="454" t="s">
        <v>5558</v>
      </c>
      <c r="K65" s="87">
        <v>21.0</v>
      </c>
      <c r="L65" s="55">
        <v>20.0</v>
      </c>
      <c r="M65" s="55">
        <v>0.0</v>
      </c>
      <c r="N65" s="55">
        <v>0.0</v>
      </c>
      <c r="O65" s="43">
        <f t="shared" si="1"/>
        <v>0</v>
      </c>
      <c r="P65" s="55">
        <v>11.0</v>
      </c>
      <c r="Q65" s="55">
        <v>1.0</v>
      </c>
      <c r="R65" s="43">
        <f t="shared" si="2"/>
        <v>12</v>
      </c>
      <c r="S65" s="43"/>
      <c r="T65" s="43"/>
      <c r="U65" s="43"/>
      <c r="V65" s="43"/>
      <c r="W65" s="43"/>
      <c r="X65" s="56" t="s">
        <v>46</v>
      </c>
    </row>
    <row r="66" ht="13.5" customHeight="1">
      <c r="A66" s="28">
        <v>60.0</v>
      </c>
      <c r="B66" s="452">
        <v>45918.0</v>
      </c>
      <c r="C66" s="144" t="s">
        <v>1188</v>
      </c>
      <c r="D66" s="144" t="s">
        <v>5584</v>
      </c>
      <c r="E66" s="144" t="s">
        <v>1563</v>
      </c>
      <c r="F66" s="103" t="s">
        <v>2330</v>
      </c>
      <c r="G66" s="453">
        <v>26.0</v>
      </c>
      <c r="H66" s="453" t="s">
        <v>30</v>
      </c>
      <c r="I66" s="453" t="s">
        <v>349</v>
      </c>
      <c r="J66" s="454" t="s">
        <v>5581</v>
      </c>
      <c r="K66" s="87">
        <v>28.0</v>
      </c>
      <c r="L66" s="55">
        <v>26.0</v>
      </c>
      <c r="M66" s="55">
        <v>0.0</v>
      </c>
      <c r="N66" s="55">
        <v>0.0</v>
      </c>
      <c r="O66" s="43">
        <f t="shared" si="1"/>
        <v>0</v>
      </c>
      <c r="P66" s="55">
        <v>4.0</v>
      </c>
      <c r="Q66" s="55">
        <v>2.0</v>
      </c>
      <c r="R66" s="43">
        <f t="shared" si="2"/>
        <v>6</v>
      </c>
      <c r="S66" s="43"/>
      <c r="T66" s="55" t="s">
        <v>277</v>
      </c>
      <c r="U66" s="43"/>
      <c r="V66" s="43"/>
      <c r="W66" s="43"/>
      <c r="X66" s="56" t="s">
        <v>46</v>
      </c>
    </row>
    <row r="67" ht="13.5" customHeight="1">
      <c r="A67" s="28">
        <v>61.0</v>
      </c>
      <c r="B67" s="452">
        <v>45918.0</v>
      </c>
      <c r="C67" s="144" t="s">
        <v>5585</v>
      </c>
      <c r="D67" s="144" t="s">
        <v>5586</v>
      </c>
      <c r="E67" s="144" t="s">
        <v>4844</v>
      </c>
      <c r="F67" s="103" t="s">
        <v>5418</v>
      </c>
      <c r="G67" s="453">
        <v>29.0</v>
      </c>
      <c r="H67" s="453" t="s">
        <v>29</v>
      </c>
      <c r="I67" s="453" t="s">
        <v>349</v>
      </c>
      <c r="J67" s="454" t="s">
        <v>5587</v>
      </c>
      <c r="K67" s="87">
        <v>31.0</v>
      </c>
      <c r="L67" s="55">
        <v>29.0</v>
      </c>
      <c r="M67" s="55">
        <v>0.0</v>
      </c>
      <c r="N67" s="55">
        <v>2.0</v>
      </c>
      <c r="O67" s="43">
        <f t="shared" si="1"/>
        <v>2</v>
      </c>
      <c r="P67" s="55">
        <v>1.0</v>
      </c>
      <c r="Q67" s="55">
        <v>0.0</v>
      </c>
      <c r="R67" s="43">
        <f t="shared" si="2"/>
        <v>3</v>
      </c>
      <c r="S67" s="43"/>
      <c r="T67" s="43"/>
      <c r="U67" s="43"/>
      <c r="V67" s="43"/>
      <c r="W67" s="43"/>
      <c r="X67" s="56" t="s">
        <v>46</v>
      </c>
    </row>
    <row r="68" ht="13.5" customHeight="1">
      <c r="A68" s="28">
        <v>62.0</v>
      </c>
      <c r="B68" s="452">
        <v>45918.0</v>
      </c>
      <c r="C68" s="144" t="s">
        <v>5588</v>
      </c>
      <c r="D68" s="144" t="s">
        <v>5589</v>
      </c>
      <c r="E68" s="144" t="s">
        <v>5590</v>
      </c>
      <c r="F68" s="103" t="s">
        <v>2330</v>
      </c>
      <c r="G68" s="453">
        <v>24.0</v>
      </c>
      <c r="H68" s="453" t="s">
        <v>29</v>
      </c>
      <c r="I68" s="453" t="s">
        <v>5591</v>
      </c>
      <c r="J68" s="454" t="s">
        <v>5592</v>
      </c>
      <c r="K68" s="87">
        <v>28.0</v>
      </c>
      <c r="L68" s="55">
        <v>25.0</v>
      </c>
      <c r="M68" s="55">
        <v>0.0</v>
      </c>
      <c r="N68" s="55">
        <v>3.0</v>
      </c>
      <c r="O68" s="43">
        <f t="shared" si="1"/>
        <v>3</v>
      </c>
      <c r="P68" s="55">
        <v>0.0</v>
      </c>
      <c r="Q68" s="55">
        <v>0.0</v>
      </c>
      <c r="R68" s="43">
        <f t="shared" si="2"/>
        <v>3</v>
      </c>
      <c r="S68" s="43"/>
      <c r="T68" s="55" t="s">
        <v>277</v>
      </c>
      <c r="U68" s="43"/>
      <c r="V68" s="43"/>
      <c r="W68" s="43"/>
      <c r="X68" s="56" t="s">
        <v>46</v>
      </c>
    </row>
    <row r="69" ht="13.5" customHeight="1">
      <c r="A69" s="28">
        <v>63.0</v>
      </c>
      <c r="B69" s="452">
        <v>45918.0</v>
      </c>
      <c r="C69" s="144" t="s">
        <v>1565</v>
      </c>
      <c r="D69" s="144" t="s">
        <v>5593</v>
      </c>
      <c r="E69" s="144" t="s">
        <v>1567</v>
      </c>
      <c r="F69" s="103" t="s">
        <v>2330</v>
      </c>
      <c r="G69" s="453">
        <v>25.0</v>
      </c>
      <c r="H69" s="453" t="s">
        <v>30</v>
      </c>
      <c r="I69" s="453" t="s">
        <v>349</v>
      </c>
      <c r="J69" s="454" t="s">
        <v>5594</v>
      </c>
      <c r="K69" s="87">
        <v>28.0</v>
      </c>
      <c r="L69" s="55">
        <v>15.0</v>
      </c>
      <c r="M69" s="55">
        <v>0.0</v>
      </c>
      <c r="N69" s="55">
        <v>2.0</v>
      </c>
      <c r="O69" s="43">
        <f t="shared" si="1"/>
        <v>2</v>
      </c>
      <c r="P69" s="55">
        <v>4.0</v>
      </c>
      <c r="Q69" s="55">
        <v>11.0</v>
      </c>
      <c r="R69" s="43">
        <f t="shared" si="2"/>
        <v>17</v>
      </c>
      <c r="S69" s="43"/>
      <c r="T69" s="55" t="s">
        <v>277</v>
      </c>
      <c r="U69" s="43"/>
      <c r="V69" s="43"/>
      <c r="W69" s="43"/>
      <c r="X69" s="56" t="s">
        <v>46</v>
      </c>
    </row>
    <row r="70" ht="13.5" customHeight="1">
      <c r="A70" s="28">
        <v>64.0</v>
      </c>
      <c r="B70" s="452">
        <v>45923.0</v>
      </c>
      <c r="C70" s="144" t="s">
        <v>864</v>
      </c>
      <c r="D70" s="144" t="s">
        <v>2854</v>
      </c>
      <c r="E70" s="144" t="s">
        <v>5595</v>
      </c>
      <c r="F70" s="103" t="s">
        <v>2330</v>
      </c>
      <c r="G70" s="453">
        <v>30.0</v>
      </c>
      <c r="H70" s="453" t="s">
        <v>30</v>
      </c>
      <c r="I70" s="453" t="s">
        <v>349</v>
      </c>
      <c r="J70" s="454" t="s">
        <v>5594</v>
      </c>
      <c r="K70" s="87">
        <v>25.0</v>
      </c>
      <c r="L70" s="55">
        <v>21.0</v>
      </c>
      <c r="M70" s="55">
        <v>0.0</v>
      </c>
      <c r="N70" s="55">
        <v>4.0</v>
      </c>
      <c r="O70" s="43">
        <f t="shared" si="1"/>
        <v>4</v>
      </c>
      <c r="P70" s="55">
        <v>7.0</v>
      </c>
      <c r="Q70" s="55">
        <v>0.0</v>
      </c>
      <c r="R70" s="43">
        <f t="shared" si="2"/>
        <v>11</v>
      </c>
      <c r="S70" s="43"/>
      <c r="T70" s="43"/>
      <c r="U70" s="43"/>
      <c r="V70" s="43"/>
      <c r="W70" s="43"/>
      <c r="X70" s="56" t="s">
        <v>46</v>
      </c>
    </row>
    <row r="71" ht="13.5" customHeight="1">
      <c r="A71" s="28">
        <v>65.0</v>
      </c>
      <c r="B71" s="452">
        <v>45929.0</v>
      </c>
      <c r="C71" s="144" t="s">
        <v>5596</v>
      </c>
      <c r="D71" s="144" t="s">
        <v>5597</v>
      </c>
      <c r="E71" s="144" t="s">
        <v>5598</v>
      </c>
      <c r="F71" s="103" t="s">
        <v>5418</v>
      </c>
      <c r="G71" s="453">
        <v>29.0</v>
      </c>
      <c r="H71" s="453" t="s">
        <v>29</v>
      </c>
      <c r="I71" s="453" t="s">
        <v>349</v>
      </c>
      <c r="J71" s="454" t="s">
        <v>5567</v>
      </c>
      <c r="K71" s="87">
        <v>31.0</v>
      </c>
      <c r="L71" s="55">
        <v>29.0</v>
      </c>
      <c r="M71" s="55">
        <v>0.0</v>
      </c>
      <c r="N71" s="55">
        <v>2.0</v>
      </c>
      <c r="O71" s="43">
        <f t="shared" si="1"/>
        <v>2</v>
      </c>
      <c r="P71" s="55">
        <v>1.0</v>
      </c>
      <c r="Q71" s="55">
        <v>0.0</v>
      </c>
      <c r="R71" s="43">
        <f t="shared" si="2"/>
        <v>3</v>
      </c>
      <c r="S71" s="43"/>
      <c r="T71" s="43"/>
      <c r="U71" s="43"/>
      <c r="V71" s="43"/>
      <c r="W71" s="43"/>
      <c r="X71" s="56" t="s">
        <v>46</v>
      </c>
    </row>
    <row r="72" ht="13.5" customHeight="1">
      <c r="A72" s="28">
        <v>66.0</v>
      </c>
      <c r="B72" s="452">
        <v>45944.0</v>
      </c>
      <c r="C72" s="144" t="s">
        <v>5531</v>
      </c>
      <c r="D72" s="144" t="s">
        <v>1395</v>
      </c>
      <c r="E72" s="144" t="s">
        <v>2989</v>
      </c>
      <c r="F72" s="103" t="s">
        <v>5418</v>
      </c>
      <c r="G72" s="453">
        <v>41.0</v>
      </c>
      <c r="H72" s="453" t="s">
        <v>30</v>
      </c>
      <c r="I72" s="453" t="s">
        <v>480</v>
      </c>
      <c r="J72" s="454" t="s">
        <v>5599</v>
      </c>
      <c r="K72" s="87">
        <v>27.0</v>
      </c>
      <c r="L72" s="55">
        <v>20.0</v>
      </c>
      <c r="M72" s="55">
        <v>3.0</v>
      </c>
      <c r="N72" s="55">
        <v>4.0</v>
      </c>
      <c r="O72" s="43">
        <f t="shared" si="1"/>
        <v>7</v>
      </c>
      <c r="P72" s="55">
        <v>5.0</v>
      </c>
      <c r="Q72" s="55">
        <v>0.0</v>
      </c>
      <c r="R72" s="43">
        <f t="shared" si="2"/>
        <v>12</v>
      </c>
      <c r="S72" s="43"/>
      <c r="T72" s="43"/>
      <c r="U72" s="43"/>
      <c r="V72" s="43"/>
      <c r="W72" s="55" t="s">
        <v>648</v>
      </c>
      <c r="X72" s="56" t="s">
        <v>46</v>
      </c>
    </row>
    <row r="73" ht="13.5" customHeight="1">
      <c r="A73" s="28">
        <v>67.0</v>
      </c>
      <c r="B73" s="452">
        <v>45945.0</v>
      </c>
      <c r="C73" s="144" t="s">
        <v>148</v>
      </c>
      <c r="D73" s="144" t="s">
        <v>5600</v>
      </c>
      <c r="E73" s="106"/>
      <c r="F73" s="103" t="s">
        <v>5418</v>
      </c>
      <c r="G73" s="453">
        <v>35.0</v>
      </c>
      <c r="H73" s="453" t="s">
        <v>498</v>
      </c>
      <c r="I73" s="453" t="s">
        <v>5601</v>
      </c>
      <c r="J73" s="454" t="s">
        <v>5602</v>
      </c>
      <c r="K73" s="87">
        <v>26.0</v>
      </c>
      <c r="L73" s="55">
        <v>23.0</v>
      </c>
      <c r="M73" s="55">
        <v>0.0</v>
      </c>
      <c r="N73" s="55">
        <v>2.0</v>
      </c>
      <c r="O73" s="43">
        <f t="shared" si="1"/>
        <v>2</v>
      </c>
      <c r="P73" s="55">
        <v>5.0</v>
      </c>
      <c r="Q73" s="55">
        <v>1.0</v>
      </c>
      <c r="R73" s="43">
        <f t="shared" si="2"/>
        <v>8</v>
      </c>
      <c r="S73" s="43"/>
      <c r="T73" s="43"/>
      <c r="U73" s="43"/>
      <c r="V73" s="43"/>
      <c r="W73" s="55" t="s">
        <v>5603</v>
      </c>
      <c r="X73" s="56" t="s">
        <v>46</v>
      </c>
    </row>
    <row r="74" ht="13.5" customHeight="1">
      <c r="A74" s="28">
        <v>68.0</v>
      </c>
      <c r="B74" s="452">
        <v>45950.0</v>
      </c>
      <c r="C74" s="144" t="s">
        <v>5527</v>
      </c>
      <c r="D74" s="144" t="s">
        <v>5441</v>
      </c>
      <c r="E74" s="144" t="s">
        <v>3647</v>
      </c>
      <c r="F74" s="458" t="s">
        <v>5418</v>
      </c>
      <c r="G74" s="453">
        <v>41.0</v>
      </c>
      <c r="H74" s="454" t="s">
        <v>30</v>
      </c>
      <c r="I74" s="453" t="s">
        <v>349</v>
      </c>
      <c r="J74" s="457"/>
      <c r="K74" s="87">
        <v>18.0</v>
      </c>
      <c r="L74" s="55">
        <v>17.0</v>
      </c>
      <c r="M74" s="55">
        <v>0.0</v>
      </c>
      <c r="N74" s="55">
        <v>1.0</v>
      </c>
      <c r="O74" s="95">
        <f t="shared" si="1"/>
        <v>1</v>
      </c>
      <c r="P74" s="55">
        <v>14.0</v>
      </c>
      <c r="Q74" s="55">
        <v>0.0</v>
      </c>
      <c r="R74" s="95">
        <f t="shared" si="2"/>
        <v>15</v>
      </c>
      <c r="S74" s="43"/>
      <c r="T74" s="43"/>
      <c r="U74" s="43"/>
      <c r="V74" s="43"/>
      <c r="W74" s="55" t="s">
        <v>786</v>
      </c>
      <c r="X74" s="56" t="s">
        <v>46</v>
      </c>
    </row>
    <row r="75" ht="13.5" customHeight="1">
      <c r="A75" s="28">
        <v>69.0</v>
      </c>
      <c r="B75" s="452">
        <v>45952.0</v>
      </c>
      <c r="C75" s="144" t="s">
        <v>5604</v>
      </c>
      <c r="D75" s="144" t="s">
        <v>5605</v>
      </c>
      <c r="E75" s="144" t="s">
        <v>5606</v>
      </c>
      <c r="F75" s="103" t="s">
        <v>2330</v>
      </c>
      <c r="G75" s="453">
        <v>27.0</v>
      </c>
      <c r="H75" s="453" t="s">
        <v>29</v>
      </c>
      <c r="I75" s="453" t="s">
        <v>422</v>
      </c>
      <c r="J75" s="454" t="s">
        <v>5607</v>
      </c>
      <c r="K75" s="87">
        <v>28.0</v>
      </c>
      <c r="L75" s="55">
        <v>26.0</v>
      </c>
      <c r="M75" s="55">
        <v>1.0</v>
      </c>
      <c r="N75" s="55">
        <v>0.0</v>
      </c>
      <c r="O75" s="55">
        <v>1.0</v>
      </c>
      <c r="P75" s="55">
        <v>4.0</v>
      </c>
      <c r="Q75" s="55">
        <v>1.0</v>
      </c>
      <c r="R75" s="55">
        <v>6.0</v>
      </c>
      <c r="S75" s="43"/>
      <c r="T75" s="43"/>
      <c r="U75" s="43"/>
      <c r="V75" s="43"/>
      <c r="W75" s="55" t="s">
        <v>648</v>
      </c>
      <c r="X75" s="56" t="s">
        <v>46</v>
      </c>
    </row>
    <row r="76" ht="13.5" customHeight="1">
      <c r="A76" s="28">
        <v>70.0</v>
      </c>
      <c r="B76" s="452">
        <v>45953.0</v>
      </c>
      <c r="C76" s="144" t="s">
        <v>2646</v>
      </c>
      <c r="D76" s="144" t="s">
        <v>5608</v>
      </c>
      <c r="E76" s="144" t="s">
        <v>5609</v>
      </c>
      <c r="F76" s="103" t="s">
        <v>5418</v>
      </c>
      <c r="G76" s="453">
        <v>25.0</v>
      </c>
      <c r="H76" s="453" t="s">
        <v>30</v>
      </c>
      <c r="I76" s="453" t="s">
        <v>349</v>
      </c>
      <c r="J76" s="453" t="s">
        <v>5610</v>
      </c>
      <c r="K76" s="54">
        <v>28.0</v>
      </c>
      <c r="L76" s="55">
        <v>27.0</v>
      </c>
      <c r="M76" s="55">
        <v>0.0</v>
      </c>
      <c r="N76" s="55">
        <v>0.0</v>
      </c>
      <c r="O76" s="55">
        <v>0.0</v>
      </c>
      <c r="P76" s="55">
        <v>4.0</v>
      </c>
      <c r="Q76" s="55">
        <v>1.0</v>
      </c>
      <c r="R76" s="55">
        <v>5.0</v>
      </c>
      <c r="S76" s="43"/>
      <c r="T76" s="43"/>
      <c r="U76" s="43"/>
      <c r="V76" s="43"/>
      <c r="W76" s="43"/>
      <c r="X76" s="56" t="s">
        <v>46</v>
      </c>
    </row>
    <row r="77" ht="13.5" customHeight="1">
      <c r="A77" s="28">
        <v>71.0</v>
      </c>
      <c r="B77" s="452">
        <v>45953.0</v>
      </c>
      <c r="C77" s="144" t="s">
        <v>5611</v>
      </c>
      <c r="D77" s="144" t="s">
        <v>5612</v>
      </c>
      <c r="E77" s="144" t="s">
        <v>5613</v>
      </c>
      <c r="F77" s="103" t="s">
        <v>5418</v>
      </c>
      <c r="G77" s="453">
        <v>23.0</v>
      </c>
      <c r="H77" s="453" t="s">
        <v>30</v>
      </c>
      <c r="I77" s="453" t="s">
        <v>422</v>
      </c>
      <c r="J77" s="453" t="s">
        <v>5614</v>
      </c>
      <c r="K77" s="54">
        <v>31.0</v>
      </c>
      <c r="L77" s="55">
        <v>26.0</v>
      </c>
      <c r="M77" s="55">
        <v>0.0</v>
      </c>
      <c r="N77" s="55">
        <v>0.0</v>
      </c>
      <c r="O77" s="55">
        <v>0.0</v>
      </c>
      <c r="P77" s="55">
        <v>1.0</v>
      </c>
      <c r="Q77" s="55">
        <v>5.0</v>
      </c>
      <c r="R77" s="55">
        <v>6.0</v>
      </c>
      <c r="S77" s="43"/>
      <c r="T77" s="43"/>
      <c r="U77" s="43"/>
      <c r="V77" s="43"/>
      <c r="W77" s="43"/>
      <c r="X77" s="56" t="s">
        <v>46</v>
      </c>
    </row>
    <row r="78" ht="13.5" customHeight="1">
      <c r="A78" s="28">
        <v>72.0</v>
      </c>
      <c r="B78" s="452">
        <v>45957.0</v>
      </c>
      <c r="C78" s="144" t="s">
        <v>3049</v>
      </c>
      <c r="D78" s="144" t="s">
        <v>5615</v>
      </c>
      <c r="E78" s="144" t="s">
        <v>5616</v>
      </c>
      <c r="F78" s="103" t="s">
        <v>2330</v>
      </c>
      <c r="G78" s="453">
        <v>25.0</v>
      </c>
      <c r="H78" s="453" t="s">
        <v>30</v>
      </c>
      <c r="I78" s="453" t="s">
        <v>5617</v>
      </c>
      <c r="J78" s="453" t="s">
        <v>5592</v>
      </c>
      <c r="K78" s="54">
        <v>30.0</v>
      </c>
      <c r="L78" s="55">
        <v>26.0</v>
      </c>
      <c r="M78" s="55">
        <v>0.0</v>
      </c>
      <c r="N78" s="55">
        <v>0.0</v>
      </c>
      <c r="O78" s="55">
        <v>0.0</v>
      </c>
      <c r="P78" s="55">
        <v>2.0</v>
      </c>
      <c r="Q78" s="55">
        <v>4.0</v>
      </c>
      <c r="R78" s="55">
        <v>6.0</v>
      </c>
      <c r="S78" s="43"/>
      <c r="T78" s="43"/>
      <c r="U78" s="43"/>
      <c r="V78" s="43"/>
      <c r="W78" s="43"/>
      <c r="X78" s="56" t="s">
        <v>46</v>
      </c>
    </row>
    <row r="79" ht="13.5" customHeight="1">
      <c r="A79" s="28">
        <v>73.0</v>
      </c>
      <c r="B79" s="452">
        <v>45957.0</v>
      </c>
      <c r="C79" s="144" t="s">
        <v>5618</v>
      </c>
      <c r="D79" s="144" t="s">
        <v>5619</v>
      </c>
      <c r="E79" s="144" t="s">
        <v>140</v>
      </c>
      <c r="F79" s="103" t="s">
        <v>2330</v>
      </c>
      <c r="G79" s="453">
        <v>25.0</v>
      </c>
      <c r="H79" s="453" t="s">
        <v>30</v>
      </c>
      <c r="I79" s="453" t="s">
        <v>5620</v>
      </c>
      <c r="J79" s="453" t="s">
        <v>5592</v>
      </c>
      <c r="K79" s="54">
        <v>30.0</v>
      </c>
      <c r="L79" s="55">
        <v>30.0</v>
      </c>
      <c r="M79" s="55">
        <v>0.0</v>
      </c>
      <c r="N79" s="55">
        <v>0.0</v>
      </c>
      <c r="O79" s="55">
        <v>0.0</v>
      </c>
      <c r="P79" s="55">
        <v>2.0</v>
      </c>
      <c r="Q79" s="55">
        <v>0.0</v>
      </c>
      <c r="R79" s="55">
        <v>2.0</v>
      </c>
      <c r="S79" s="43"/>
      <c r="T79" s="43"/>
      <c r="U79" s="43"/>
      <c r="V79" s="43"/>
      <c r="W79" s="43"/>
      <c r="X79" s="56" t="s">
        <v>46</v>
      </c>
    </row>
    <row r="80" ht="13.5" customHeight="1">
      <c r="A80" s="28">
        <v>74.0</v>
      </c>
      <c r="B80" s="452">
        <v>45958.0</v>
      </c>
      <c r="C80" s="144" t="s">
        <v>4770</v>
      </c>
      <c r="D80" s="144" t="s">
        <v>5621</v>
      </c>
      <c r="E80" s="144" t="s">
        <v>5622</v>
      </c>
      <c r="F80" s="103" t="s">
        <v>2330</v>
      </c>
      <c r="G80" s="453">
        <v>26.0</v>
      </c>
      <c r="H80" s="453" t="s">
        <v>29</v>
      </c>
      <c r="I80" s="453" t="s">
        <v>5623</v>
      </c>
      <c r="J80" s="453" t="s">
        <v>5592</v>
      </c>
      <c r="K80" s="54">
        <v>30.0</v>
      </c>
      <c r="L80" s="55">
        <v>25.0</v>
      </c>
      <c r="M80" s="55">
        <v>0.0</v>
      </c>
      <c r="N80" s="55">
        <v>0.0</v>
      </c>
      <c r="O80" s="55">
        <v>0.0</v>
      </c>
      <c r="P80" s="55">
        <v>2.0</v>
      </c>
      <c r="Q80" s="55">
        <v>5.0</v>
      </c>
      <c r="R80" s="55">
        <v>7.0</v>
      </c>
      <c r="S80" s="43"/>
      <c r="T80" s="43"/>
      <c r="U80" s="43"/>
      <c r="V80" s="43"/>
      <c r="W80" s="55" t="s">
        <v>277</v>
      </c>
      <c r="X80" s="56" t="s">
        <v>46</v>
      </c>
    </row>
    <row r="81" ht="13.5" customHeight="1">
      <c r="A81" s="28">
        <v>75.0</v>
      </c>
      <c r="B81" s="452">
        <v>45958.0</v>
      </c>
      <c r="C81" s="144" t="s">
        <v>5415</v>
      </c>
      <c r="D81" s="144" t="s">
        <v>5624</v>
      </c>
      <c r="E81" s="106"/>
      <c r="F81" s="103" t="s">
        <v>5418</v>
      </c>
      <c r="G81" s="453">
        <v>30.0</v>
      </c>
      <c r="H81" s="453" t="s">
        <v>30</v>
      </c>
      <c r="I81" s="453" t="s">
        <v>349</v>
      </c>
      <c r="J81" s="453" t="s">
        <v>5625</v>
      </c>
      <c r="K81" s="54">
        <v>30.0</v>
      </c>
      <c r="L81" s="55">
        <v>24.0</v>
      </c>
      <c r="M81" s="55">
        <v>0.0</v>
      </c>
      <c r="N81" s="55">
        <v>2.0</v>
      </c>
      <c r="O81" s="55">
        <v>2.0</v>
      </c>
      <c r="P81" s="55">
        <v>2.0</v>
      </c>
      <c r="Q81" s="55">
        <v>3.0</v>
      </c>
      <c r="R81" s="55">
        <v>7.0</v>
      </c>
      <c r="S81" s="43"/>
      <c r="T81" s="43"/>
      <c r="U81" s="43"/>
      <c r="V81" s="43"/>
      <c r="W81" s="43"/>
      <c r="X81" s="56" t="s">
        <v>46</v>
      </c>
    </row>
    <row r="82" ht="13.5" customHeight="1">
      <c r="A82" s="28">
        <v>76.0</v>
      </c>
      <c r="B82" s="464">
        <v>45959.0</v>
      </c>
      <c r="C82" s="144" t="s">
        <v>1255</v>
      </c>
      <c r="D82" s="144" t="s">
        <v>5542</v>
      </c>
      <c r="E82" s="144" t="s">
        <v>5543</v>
      </c>
      <c r="F82" s="103" t="s">
        <v>5418</v>
      </c>
      <c r="G82" s="453">
        <v>27.0</v>
      </c>
      <c r="H82" s="453" t="s">
        <v>30</v>
      </c>
      <c r="I82" s="453" t="s">
        <v>349</v>
      </c>
      <c r="J82" s="453" t="s">
        <v>5473</v>
      </c>
      <c r="K82" s="54">
        <v>30.0</v>
      </c>
      <c r="L82" s="55">
        <v>24.0</v>
      </c>
      <c r="M82" s="55">
        <v>0.0</v>
      </c>
      <c r="N82" s="55">
        <v>1.0</v>
      </c>
      <c r="O82" s="55">
        <f>SUM(M82:N82)</f>
        <v>1</v>
      </c>
      <c r="P82" s="55">
        <v>2.0</v>
      </c>
      <c r="Q82" s="55">
        <v>5.0</v>
      </c>
      <c r="R82" s="43">
        <f>SUM(O82:Q82)</f>
        <v>8</v>
      </c>
      <c r="S82" s="43"/>
      <c r="T82" s="43"/>
      <c r="U82" s="43"/>
      <c r="V82" s="43"/>
      <c r="W82" s="43"/>
      <c r="X82" s="56" t="s">
        <v>46</v>
      </c>
    </row>
    <row r="83" ht="13.5" customHeight="1">
      <c r="A83" s="28">
        <v>77.0</v>
      </c>
      <c r="B83" s="452">
        <v>45964.0</v>
      </c>
      <c r="C83" s="144" t="s">
        <v>5155</v>
      </c>
      <c r="D83" s="144" t="s">
        <v>1425</v>
      </c>
      <c r="E83" s="144" t="s">
        <v>2318</v>
      </c>
      <c r="F83" s="103" t="s">
        <v>5418</v>
      </c>
      <c r="G83" s="453">
        <v>33.0</v>
      </c>
      <c r="H83" s="453" t="s">
        <v>30</v>
      </c>
      <c r="I83" s="453" t="s">
        <v>5626</v>
      </c>
      <c r="J83" s="453" t="s">
        <v>5547</v>
      </c>
      <c r="K83" s="54">
        <v>31.0</v>
      </c>
      <c r="L83" s="55">
        <v>25.0</v>
      </c>
      <c r="M83" s="55">
        <v>3.0</v>
      </c>
      <c r="N83" s="55">
        <v>1.0</v>
      </c>
      <c r="O83" s="55">
        <v>4.0</v>
      </c>
      <c r="P83" s="55">
        <v>1.0</v>
      </c>
      <c r="Q83" s="55">
        <v>0.0</v>
      </c>
      <c r="R83" s="55">
        <v>5.0</v>
      </c>
      <c r="S83" s="43"/>
      <c r="T83" s="43"/>
      <c r="U83" s="43"/>
      <c r="V83" s="43"/>
      <c r="W83" s="43"/>
      <c r="X83" s="56" t="s">
        <v>46</v>
      </c>
    </row>
    <row r="84" ht="13.5" customHeight="1">
      <c r="A84" s="28">
        <v>78.0</v>
      </c>
      <c r="B84" s="452">
        <v>45965.0</v>
      </c>
      <c r="C84" s="465" t="s">
        <v>5627</v>
      </c>
      <c r="D84" s="144" t="s">
        <v>5628</v>
      </c>
      <c r="E84" s="144" t="s">
        <v>5629</v>
      </c>
      <c r="F84" s="103" t="s">
        <v>5418</v>
      </c>
      <c r="G84" s="453">
        <v>27.0</v>
      </c>
      <c r="H84" s="453" t="s">
        <v>30</v>
      </c>
      <c r="I84" s="453" t="s">
        <v>349</v>
      </c>
      <c r="J84" s="453" t="s">
        <v>5630</v>
      </c>
      <c r="K84" s="54">
        <v>31.0</v>
      </c>
      <c r="L84" s="55">
        <v>29.0</v>
      </c>
      <c r="M84" s="55">
        <v>0.0</v>
      </c>
      <c r="N84" s="55">
        <v>2.0</v>
      </c>
      <c r="O84" s="55">
        <v>2.0</v>
      </c>
      <c r="P84" s="55">
        <v>1.0</v>
      </c>
      <c r="Q84" s="55">
        <v>1.0</v>
      </c>
      <c r="R84" s="55">
        <v>4.0</v>
      </c>
      <c r="S84" s="43"/>
      <c r="T84" s="43"/>
      <c r="U84" s="43"/>
      <c r="V84" s="43"/>
      <c r="W84" s="43"/>
      <c r="X84" s="56" t="s">
        <v>46</v>
      </c>
    </row>
    <row r="85" ht="13.5" customHeight="1">
      <c r="A85" s="28">
        <v>79.0</v>
      </c>
      <c r="B85" s="452">
        <v>45966.0</v>
      </c>
      <c r="C85" s="144" t="s">
        <v>5554</v>
      </c>
      <c r="D85" s="144" t="s">
        <v>5555</v>
      </c>
      <c r="E85" s="144" t="s">
        <v>5556</v>
      </c>
      <c r="F85" s="103" t="s">
        <v>5418</v>
      </c>
      <c r="G85" s="453">
        <v>26.0</v>
      </c>
      <c r="H85" s="453" t="s">
        <v>30</v>
      </c>
      <c r="I85" s="453" t="s">
        <v>349</v>
      </c>
      <c r="J85" s="453" t="s">
        <v>5452</v>
      </c>
      <c r="K85" s="54">
        <v>28.0</v>
      </c>
      <c r="L85" s="55">
        <v>24.0</v>
      </c>
      <c r="M85" s="55">
        <v>4.0</v>
      </c>
      <c r="N85" s="55">
        <v>0.0</v>
      </c>
      <c r="O85" s="55">
        <v>4.0</v>
      </c>
      <c r="P85" s="55">
        <v>4.0</v>
      </c>
      <c r="Q85" s="55">
        <v>1.0</v>
      </c>
      <c r="R85" s="55">
        <v>9.0</v>
      </c>
      <c r="S85" s="43"/>
      <c r="T85" s="43"/>
      <c r="U85" s="43"/>
      <c r="V85" s="43"/>
      <c r="W85" s="43"/>
      <c r="X85" s="56" t="s">
        <v>46</v>
      </c>
    </row>
    <row r="86" ht="13.5" customHeight="1">
      <c r="A86" s="28">
        <v>80.0</v>
      </c>
      <c r="B86" s="452">
        <v>45966.0</v>
      </c>
      <c r="C86" s="144" t="s">
        <v>4524</v>
      </c>
      <c r="D86" s="144" t="s">
        <v>5631</v>
      </c>
      <c r="E86" s="144" t="s">
        <v>1190</v>
      </c>
      <c r="F86" s="103" t="s">
        <v>5418</v>
      </c>
      <c r="G86" s="453">
        <v>44.0</v>
      </c>
      <c r="H86" s="453" t="s">
        <v>29</v>
      </c>
      <c r="I86" s="453" t="s">
        <v>349</v>
      </c>
      <c r="J86" s="453" t="s">
        <v>5632</v>
      </c>
      <c r="K86" s="54">
        <v>24.0</v>
      </c>
      <c r="L86" s="55">
        <v>23.0</v>
      </c>
      <c r="M86" s="55">
        <v>0.0</v>
      </c>
      <c r="N86" s="55">
        <v>1.0</v>
      </c>
      <c r="O86" s="55">
        <v>1.0</v>
      </c>
      <c r="P86" s="55">
        <v>8.0</v>
      </c>
      <c r="Q86" s="55">
        <v>0.0</v>
      </c>
      <c r="R86" s="55">
        <v>9.0</v>
      </c>
      <c r="S86" s="43"/>
      <c r="T86" s="43"/>
      <c r="U86" s="43"/>
      <c r="V86" s="43"/>
      <c r="W86" s="55" t="s">
        <v>648</v>
      </c>
      <c r="X86" s="56" t="s">
        <v>46</v>
      </c>
    </row>
    <row r="87" ht="13.5" customHeight="1">
      <c r="A87" s="28">
        <v>81.0</v>
      </c>
      <c r="B87" s="452">
        <v>45966.0</v>
      </c>
      <c r="C87" s="144" t="s">
        <v>5633</v>
      </c>
      <c r="D87" s="144" t="s">
        <v>1145</v>
      </c>
      <c r="E87" s="144" t="s">
        <v>1389</v>
      </c>
      <c r="F87" s="103" t="s">
        <v>5418</v>
      </c>
      <c r="G87" s="453">
        <v>29.0</v>
      </c>
      <c r="H87" s="453" t="s">
        <v>30</v>
      </c>
      <c r="I87" s="453" t="s">
        <v>349</v>
      </c>
      <c r="J87" s="453" t="s">
        <v>5630</v>
      </c>
      <c r="K87" s="54">
        <v>26.0</v>
      </c>
      <c r="L87" s="55">
        <v>17.0</v>
      </c>
      <c r="M87" s="55">
        <v>7.0</v>
      </c>
      <c r="N87" s="55">
        <v>2.0</v>
      </c>
      <c r="O87" s="55">
        <v>9.0</v>
      </c>
      <c r="P87" s="55">
        <v>6.0</v>
      </c>
      <c r="Q87" s="55">
        <v>0.0</v>
      </c>
      <c r="R87" s="55">
        <v>15.0</v>
      </c>
      <c r="S87" s="43"/>
      <c r="T87" s="43"/>
      <c r="U87" s="43"/>
      <c r="V87" s="43"/>
      <c r="W87" s="55" t="s">
        <v>648</v>
      </c>
      <c r="X87" s="56" t="s">
        <v>46</v>
      </c>
    </row>
    <row r="88" ht="13.5" customHeight="1">
      <c r="A88" s="28">
        <v>82.0</v>
      </c>
      <c r="B88" s="452">
        <v>45968.0</v>
      </c>
      <c r="C88" s="144" t="s">
        <v>5634</v>
      </c>
      <c r="D88" s="144" t="s">
        <v>3935</v>
      </c>
      <c r="E88" s="144" t="s">
        <v>5635</v>
      </c>
      <c r="F88" s="103" t="s">
        <v>5418</v>
      </c>
      <c r="G88" s="453">
        <v>30.0</v>
      </c>
      <c r="H88" s="453" t="s">
        <v>30</v>
      </c>
      <c r="I88" s="453" t="s">
        <v>349</v>
      </c>
      <c r="J88" s="466" t="s">
        <v>5630</v>
      </c>
      <c r="K88" s="54">
        <v>31.0</v>
      </c>
      <c r="L88" s="55">
        <v>28.0</v>
      </c>
      <c r="M88" s="55">
        <v>1.0</v>
      </c>
      <c r="N88" s="55">
        <v>2.0</v>
      </c>
      <c r="O88" s="55">
        <v>3.0</v>
      </c>
      <c r="P88" s="55">
        <v>1.0</v>
      </c>
      <c r="Q88" s="55">
        <v>0.0</v>
      </c>
      <c r="R88" s="55">
        <v>4.0</v>
      </c>
      <c r="S88" s="43"/>
      <c r="T88" s="43"/>
      <c r="U88" s="43"/>
      <c r="V88" s="43"/>
      <c r="W88" s="43"/>
      <c r="X88" s="56" t="s">
        <v>46</v>
      </c>
    </row>
    <row r="89" ht="13.5" customHeight="1">
      <c r="A89" s="28">
        <v>83.0</v>
      </c>
      <c r="B89" s="452">
        <v>45974.0</v>
      </c>
      <c r="C89" s="144" t="s">
        <v>4533</v>
      </c>
      <c r="D89" s="144" t="s">
        <v>5636</v>
      </c>
      <c r="E89" s="144" t="s">
        <v>2494</v>
      </c>
      <c r="F89" s="53"/>
      <c r="G89" s="453">
        <v>26.0</v>
      </c>
      <c r="H89" s="453" t="s">
        <v>30</v>
      </c>
      <c r="I89" s="453" t="s">
        <v>349</v>
      </c>
      <c r="J89" s="453" t="s">
        <v>5625</v>
      </c>
      <c r="K89" s="54">
        <v>28.0</v>
      </c>
      <c r="L89" s="55">
        <v>23.0</v>
      </c>
      <c r="M89" s="55">
        <v>0.0</v>
      </c>
      <c r="N89" s="55">
        <v>4.0</v>
      </c>
      <c r="O89" s="55">
        <v>4.0</v>
      </c>
      <c r="P89" s="55">
        <v>6.0</v>
      </c>
      <c r="Q89" s="55">
        <v>1.0</v>
      </c>
      <c r="R89" s="55">
        <v>11.0</v>
      </c>
      <c r="S89" s="43"/>
      <c r="T89" s="43"/>
      <c r="U89" s="43"/>
      <c r="V89" s="43"/>
      <c r="W89" s="43"/>
      <c r="X89" s="56" t="s">
        <v>46</v>
      </c>
    </row>
    <row r="90" ht="13.5" customHeight="1">
      <c r="A90" s="28">
        <v>84.0</v>
      </c>
      <c r="B90" s="452">
        <v>45978.0</v>
      </c>
      <c r="C90" s="144" t="s">
        <v>4063</v>
      </c>
      <c r="D90" s="144" t="s">
        <v>5637</v>
      </c>
      <c r="E90" s="144" t="s">
        <v>5638</v>
      </c>
      <c r="F90" s="103"/>
      <c r="G90" s="453">
        <v>24.0</v>
      </c>
      <c r="H90" s="453" t="s">
        <v>29</v>
      </c>
      <c r="I90" s="453" t="s">
        <v>349</v>
      </c>
      <c r="J90" s="453" t="s">
        <v>5639</v>
      </c>
      <c r="K90" s="54">
        <v>28.0</v>
      </c>
      <c r="L90" s="55">
        <v>22.0</v>
      </c>
      <c r="M90" s="55">
        <v>0.0</v>
      </c>
      <c r="N90" s="55">
        <v>4.0</v>
      </c>
      <c r="O90" s="55">
        <v>4.0</v>
      </c>
      <c r="P90" s="55">
        <v>4.0</v>
      </c>
      <c r="Q90" s="55">
        <v>2.0</v>
      </c>
      <c r="R90" s="55">
        <v>10.0</v>
      </c>
      <c r="S90" s="43"/>
      <c r="T90" s="43"/>
      <c r="U90" s="43"/>
      <c r="V90" s="43"/>
      <c r="W90" s="43"/>
      <c r="X90" s="56" t="s">
        <v>46</v>
      </c>
    </row>
    <row r="91" ht="13.5" customHeight="1">
      <c r="A91" s="28">
        <v>85.0</v>
      </c>
      <c r="B91" s="452">
        <v>45978.0</v>
      </c>
      <c r="C91" s="144" t="s">
        <v>5640</v>
      </c>
      <c r="D91" s="144" t="s">
        <v>5641</v>
      </c>
      <c r="E91" s="106"/>
      <c r="F91" s="53"/>
      <c r="G91" s="453">
        <v>38.0</v>
      </c>
      <c r="H91" s="453" t="s">
        <v>29</v>
      </c>
      <c r="I91" s="453" t="s">
        <v>349</v>
      </c>
      <c r="J91" s="455"/>
      <c r="K91" s="54">
        <v>6.0</v>
      </c>
      <c r="L91" s="55">
        <v>3.0</v>
      </c>
      <c r="M91" s="55">
        <v>1.0</v>
      </c>
      <c r="N91" s="55">
        <v>2.0</v>
      </c>
      <c r="O91" s="55">
        <v>3.0</v>
      </c>
      <c r="P91" s="55">
        <v>26.0</v>
      </c>
      <c r="Q91" s="55">
        <v>0.0</v>
      </c>
      <c r="R91" s="55">
        <v>29.0</v>
      </c>
      <c r="S91" s="43"/>
      <c r="T91" s="55"/>
      <c r="U91" s="43"/>
      <c r="V91" s="43"/>
      <c r="W91" s="55" t="s">
        <v>3233</v>
      </c>
      <c r="X91" s="56" t="s">
        <v>46</v>
      </c>
    </row>
    <row r="92" ht="13.5" customHeight="1">
      <c r="A92" s="28">
        <v>86.0</v>
      </c>
      <c r="B92" s="452">
        <v>45993.0</v>
      </c>
      <c r="C92" s="144" t="s">
        <v>5642</v>
      </c>
      <c r="D92" s="144" t="s">
        <v>1752</v>
      </c>
      <c r="E92" s="144" t="s">
        <v>5643</v>
      </c>
      <c r="F92" s="53"/>
      <c r="G92" s="453">
        <v>33.0</v>
      </c>
      <c r="H92" s="453" t="s">
        <v>30</v>
      </c>
      <c r="I92" s="453" t="s">
        <v>349</v>
      </c>
      <c r="J92" s="453" t="s">
        <v>5443</v>
      </c>
      <c r="K92" s="54">
        <v>30.0</v>
      </c>
      <c r="L92" s="55">
        <v>28.0</v>
      </c>
      <c r="M92" s="55">
        <v>0.0</v>
      </c>
      <c r="N92" s="55">
        <v>0.0</v>
      </c>
      <c r="O92" s="55">
        <v>0.0</v>
      </c>
      <c r="P92" s="55">
        <v>2.0</v>
      </c>
      <c r="Q92" s="55">
        <v>0.0</v>
      </c>
      <c r="R92" s="55">
        <v>2.0</v>
      </c>
      <c r="S92" s="43"/>
      <c r="T92" s="43"/>
      <c r="U92" s="43"/>
      <c r="V92" s="43"/>
      <c r="W92" s="55" t="s">
        <v>277</v>
      </c>
      <c r="X92" s="56" t="s">
        <v>46</v>
      </c>
    </row>
    <row r="93" ht="13.5" customHeight="1">
      <c r="A93" s="28">
        <v>87.0</v>
      </c>
      <c r="B93" s="462">
        <v>46000.0</v>
      </c>
      <c r="C93" s="144" t="s">
        <v>1255</v>
      </c>
      <c r="D93" s="144" t="s">
        <v>5542</v>
      </c>
      <c r="E93" s="144" t="s">
        <v>5543</v>
      </c>
      <c r="F93" s="103" t="s">
        <v>5418</v>
      </c>
      <c r="G93" s="453">
        <v>28.0</v>
      </c>
      <c r="H93" s="453" t="s">
        <v>30</v>
      </c>
      <c r="I93" s="453" t="s">
        <v>349</v>
      </c>
      <c r="J93" s="453" t="s">
        <v>5473</v>
      </c>
      <c r="K93" s="54">
        <v>29.0</v>
      </c>
      <c r="L93" s="55">
        <v>27.0</v>
      </c>
      <c r="M93" s="55">
        <v>0.0</v>
      </c>
      <c r="N93" s="55">
        <v>0.0</v>
      </c>
      <c r="O93" s="43">
        <f t="shared" ref="O93:O96" si="3">SUM(M93:N93)</f>
        <v>0</v>
      </c>
      <c r="P93" s="55">
        <v>2.0</v>
      </c>
      <c r="Q93" s="55">
        <v>2.0</v>
      </c>
      <c r="R93" s="43">
        <f t="shared" ref="R93:R96" si="4">SUM(O93:Q93)</f>
        <v>4</v>
      </c>
      <c r="S93" s="43"/>
      <c r="T93" s="43"/>
      <c r="U93" s="43"/>
      <c r="V93" s="43"/>
      <c r="W93" s="43"/>
      <c r="X93" s="56" t="s">
        <v>46</v>
      </c>
    </row>
    <row r="94" ht="13.5" customHeight="1">
      <c r="A94" s="28">
        <v>88.0</v>
      </c>
      <c r="B94" s="462">
        <v>46000.0</v>
      </c>
      <c r="C94" s="144" t="s">
        <v>3329</v>
      </c>
      <c r="D94" s="144" t="s">
        <v>5644</v>
      </c>
      <c r="E94" s="144" t="s">
        <v>5645</v>
      </c>
      <c r="F94" s="103" t="s">
        <v>2330</v>
      </c>
      <c r="G94" s="453">
        <v>31.0</v>
      </c>
      <c r="H94" s="453" t="s">
        <v>29</v>
      </c>
      <c r="I94" s="453" t="s">
        <v>349</v>
      </c>
      <c r="J94" s="453" t="s">
        <v>5632</v>
      </c>
      <c r="K94" s="54">
        <v>19.0</v>
      </c>
      <c r="L94" s="55">
        <v>15.0</v>
      </c>
      <c r="M94" s="55">
        <v>0.0</v>
      </c>
      <c r="N94" s="55">
        <v>4.0</v>
      </c>
      <c r="O94" s="43">
        <f t="shared" si="3"/>
        <v>4</v>
      </c>
      <c r="P94" s="55">
        <v>11.0</v>
      </c>
      <c r="Q94" s="55">
        <v>0.0</v>
      </c>
      <c r="R94" s="43">
        <f t="shared" si="4"/>
        <v>15</v>
      </c>
      <c r="S94" s="43"/>
      <c r="T94" s="43"/>
      <c r="U94" s="43"/>
      <c r="V94" s="43"/>
      <c r="W94" s="55" t="s">
        <v>648</v>
      </c>
      <c r="X94" s="56" t="s">
        <v>46</v>
      </c>
    </row>
    <row r="95" ht="13.5" customHeight="1">
      <c r="A95" s="28">
        <v>89.0</v>
      </c>
      <c r="B95" s="462">
        <v>46000.0</v>
      </c>
      <c r="C95" s="144" t="s">
        <v>5646</v>
      </c>
      <c r="D95" s="144" t="s">
        <v>2494</v>
      </c>
      <c r="E95" s="144" t="s">
        <v>5647</v>
      </c>
      <c r="F95" s="103" t="s">
        <v>2330</v>
      </c>
      <c r="G95" s="453">
        <v>34.0</v>
      </c>
      <c r="H95" s="453" t="s">
        <v>29</v>
      </c>
      <c r="I95" s="453" t="s">
        <v>349</v>
      </c>
      <c r="J95" s="453" t="s">
        <v>5639</v>
      </c>
      <c r="K95" s="54">
        <v>6.0</v>
      </c>
      <c r="L95" s="55">
        <v>1.0</v>
      </c>
      <c r="M95" s="55">
        <v>3.0</v>
      </c>
      <c r="N95" s="55">
        <v>2.0</v>
      </c>
      <c r="O95" s="43">
        <f t="shared" si="3"/>
        <v>5</v>
      </c>
      <c r="P95" s="55">
        <v>27.0</v>
      </c>
      <c r="Q95" s="55">
        <v>0.0</v>
      </c>
      <c r="R95" s="43">
        <f t="shared" si="4"/>
        <v>32</v>
      </c>
      <c r="S95" s="43"/>
      <c r="T95" s="43"/>
      <c r="U95" s="43"/>
      <c r="V95" s="43"/>
      <c r="W95" s="55" t="s">
        <v>3233</v>
      </c>
      <c r="X95" s="56" t="s">
        <v>46</v>
      </c>
    </row>
    <row r="96" ht="13.5" customHeight="1">
      <c r="A96" s="28">
        <v>90.0</v>
      </c>
      <c r="B96" s="462">
        <v>46000.0</v>
      </c>
      <c r="C96" s="404" t="s">
        <v>5554</v>
      </c>
      <c r="D96" s="404" t="s">
        <v>5555</v>
      </c>
      <c r="E96" s="404" t="s">
        <v>5648</v>
      </c>
      <c r="F96" s="103" t="s">
        <v>5418</v>
      </c>
      <c r="G96" s="453">
        <v>26.0</v>
      </c>
      <c r="H96" s="453" t="s">
        <v>30</v>
      </c>
      <c r="I96" s="453" t="s">
        <v>349</v>
      </c>
      <c r="J96" s="453" t="s">
        <v>5452</v>
      </c>
      <c r="K96" s="54">
        <v>28.0</v>
      </c>
      <c r="L96" s="55">
        <v>20.0</v>
      </c>
      <c r="M96" s="55">
        <v>3.0</v>
      </c>
      <c r="N96" s="55">
        <v>3.0</v>
      </c>
      <c r="O96" s="43">
        <f t="shared" si="3"/>
        <v>6</v>
      </c>
      <c r="P96" s="55">
        <v>2.0</v>
      </c>
      <c r="Q96" s="55">
        <v>1.0</v>
      </c>
      <c r="R96" s="43">
        <f t="shared" si="4"/>
        <v>9</v>
      </c>
      <c r="S96" s="43"/>
      <c r="T96" s="43"/>
      <c r="U96" s="43"/>
      <c r="V96" s="43"/>
      <c r="W96" s="43"/>
      <c r="X96" s="56" t="s">
        <v>46</v>
      </c>
    </row>
    <row r="97" ht="13.5" customHeight="1">
      <c r="A97" s="28">
        <v>91.0</v>
      </c>
      <c r="B97" s="452">
        <v>46002.0</v>
      </c>
      <c r="C97" s="467" t="s">
        <v>5155</v>
      </c>
      <c r="D97" s="467" t="s">
        <v>1425</v>
      </c>
      <c r="E97" s="467" t="s">
        <v>2308</v>
      </c>
      <c r="F97" s="109"/>
      <c r="G97" s="468">
        <v>33.0</v>
      </c>
      <c r="H97" s="453" t="s">
        <v>30</v>
      </c>
      <c r="I97" s="453" t="s">
        <v>349</v>
      </c>
      <c r="J97" s="469" t="s">
        <v>5465</v>
      </c>
      <c r="K97" s="54">
        <v>32.0</v>
      </c>
      <c r="L97" s="55">
        <v>27.0</v>
      </c>
      <c r="M97" s="55">
        <v>3.0</v>
      </c>
      <c r="N97" s="55">
        <v>1.0</v>
      </c>
      <c r="O97" s="55">
        <v>4.0</v>
      </c>
      <c r="P97" s="55">
        <v>0.0</v>
      </c>
      <c r="Q97" s="55">
        <v>0.0</v>
      </c>
      <c r="R97" s="55">
        <v>4.0</v>
      </c>
      <c r="S97" s="43"/>
      <c r="T97" s="43"/>
      <c r="U97" s="43"/>
      <c r="V97" s="43"/>
      <c r="W97" s="43"/>
      <c r="X97" s="56" t="s">
        <v>46</v>
      </c>
    </row>
    <row r="98" ht="13.5" customHeight="1">
      <c r="A98" s="28">
        <v>92.0</v>
      </c>
      <c r="B98" s="452">
        <v>46002.0</v>
      </c>
      <c r="C98" s="460" t="s">
        <v>4524</v>
      </c>
      <c r="D98" s="460" t="s">
        <v>5631</v>
      </c>
      <c r="E98" s="460" t="s">
        <v>1190</v>
      </c>
      <c r="F98" s="103" t="s">
        <v>5418</v>
      </c>
      <c r="G98" s="453">
        <v>44.0</v>
      </c>
      <c r="H98" s="453" t="s">
        <v>29</v>
      </c>
      <c r="I98" s="453" t="s">
        <v>349</v>
      </c>
      <c r="J98" s="453" t="s">
        <v>5649</v>
      </c>
      <c r="K98" s="54">
        <v>24.0</v>
      </c>
      <c r="L98" s="55">
        <v>19.0</v>
      </c>
      <c r="M98" s="55">
        <v>0.0</v>
      </c>
      <c r="N98" s="55">
        <v>4.0</v>
      </c>
      <c r="O98" s="43">
        <f t="shared" ref="O98:O99" si="5">SUM(M98:N98)</f>
        <v>4</v>
      </c>
      <c r="P98" s="55">
        <v>7.0</v>
      </c>
      <c r="Q98" s="55">
        <v>1.0</v>
      </c>
      <c r="R98" s="43">
        <f t="shared" ref="R98:R99" si="6">SUM(O98:Q98)</f>
        <v>12</v>
      </c>
      <c r="S98" s="43"/>
      <c r="T98" s="43"/>
      <c r="U98" s="43"/>
      <c r="V98" s="43"/>
      <c r="W98" s="55" t="s">
        <v>648</v>
      </c>
      <c r="X98" s="56" t="s">
        <v>46</v>
      </c>
    </row>
    <row r="99" ht="13.5" customHeight="1">
      <c r="A99" s="28">
        <v>93.0</v>
      </c>
      <c r="B99" s="452">
        <v>46002.0</v>
      </c>
      <c r="C99" s="144" t="s">
        <v>5634</v>
      </c>
      <c r="D99" s="144" t="s">
        <v>3935</v>
      </c>
      <c r="E99" s="144" t="s">
        <v>5635</v>
      </c>
      <c r="F99" s="103" t="s">
        <v>5418</v>
      </c>
      <c r="G99" s="453">
        <v>30.0</v>
      </c>
      <c r="H99" s="453" t="s">
        <v>30</v>
      </c>
      <c r="I99" s="453" t="s">
        <v>349</v>
      </c>
      <c r="J99" s="453" t="s">
        <v>5650</v>
      </c>
      <c r="K99" s="54">
        <v>28.0</v>
      </c>
      <c r="L99" s="55">
        <v>23.0</v>
      </c>
      <c r="M99" s="55">
        <v>1.0</v>
      </c>
      <c r="N99" s="55">
        <v>3.0</v>
      </c>
      <c r="O99" s="43">
        <f t="shared" si="5"/>
        <v>4</v>
      </c>
      <c r="P99" s="55">
        <v>1.0</v>
      </c>
      <c r="Q99" s="55">
        <v>0.0</v>
      </c>
      <c r="R99" s="43">
        <f t="shared" si="6"/>
        <v>5</v>
      </c>
      <c r="S99" s="43"/>
      <c r="T99" s="43"/>
      <c r="U99" s="43"/>
      <c r="V99" s="43"/>
      <c r="W99" s="43"/>
      <c r="X99" s="56" t="s">
        <v>46</v>
      </c>
    </row>
    <row r="100" ht="13.5" customHeight="1">
      <c r="A100" s="28">
        <v>94.0</v>
      </c>
      <c r="B100" s="452">
        <v>46002.0</v>
      </c>
      <c r="C100" s="465" t="s">
        <v>5627</v>
      </c>
      <c r="D100" s="144" t="s">
        <v>5628</v>
      </c>
      <c r="E100" s="144" t="s">
        <v>5629</v>
      </c>
      <c r="F100" s="103" t="s">
        <v>5418</v>
      </c>
      <c r="G100" s="453">
        <v>27.0</v>
      </c>
      <c r="H100" s="453" t="s">
        <v>30</v>
      </c>
      <c r="I100" s="453" t="s">
        <v>349</v>
      </c>
      <c r="J100" s="453" t="s">
        <v>5630</v>
      </c>
      <c r="K100" s="54">
        <v>31.0</v>
      </c>
      <c r="L100" s="55">
        <v>29.0</v>
      </c>
      <c r="M100" s="55">
        <v>0.0</v>
      </c>
      <c r="N100" s="55">
        <v>2.0</v>
      </c>
      <c r="O100" s="55">
        <v>2.0</v>
      </c>
      <c r="P100" s="55">
        <v>1.0</v>
      </c>
      <c r="Q100" s="55">
        <v>1.0</v>
      </c>
      <c r="R100" s="55">
        <v>4.0</v>
      </c>
      <c r="S100" s="43"/>
      <c r="T100" s="43"/>
      <c r="U100" s="43"/>
      <c r="V100" s="43"/>
      <c r="W100" s="43"/>
      <c r="X100" s="56" t="s">
        <v>46</v>
      </c>
    </row>
    <row r="101" ht="13.5" customHeight="1">
      <c r="A101" s="28">
        <v>95.0</v>
      </c>
      <c r="B101" s="452">
        <v>46002.0</v>
      </c>
      <c r="C101" s="144" t="s">
        <v>5415</v>
      </c>
      <c r="D101" s="144" t="s">
        <v>5416</v>
      </c>
      <c r="E101" s="144" t="s">
        <v>5417</v>
      </c>
      <c r="F101" s="103" t="s">
        <v>5418</v>
      </c>
      <c r="G101" s="453">
        <v>30.0</v>
      </c>
      <c r="H101" s="453" t="s">
        <v>30</v>
      </c>
      <c r="I101" s="453" t="s">
        <v>349</v>
      </c>
      <c r="J101" s="453" t="s">
        <v>5625</v>
      </c>
      <c r="K101" s="54">
        <v>30.0</v>
      </c>
      <c r="L101" s="55">
        <v>25.0</v>
      </c>
      <c r="M101" s="55">
        <v>1.0</v>
      </c>
      <c r="N101" s="55">
        <v>2.0</v>
      </c>
      <c r="O101" s="43">
        <f>sum(M101, N101)</f>
        <v>3</v>
      </c>
      <c r="P101" s="55">
        <v>2.0</v>
      </c>
      <c r="Q101" s="55">
        <v>2.0</v>
      </c>
      <c r="R101" s="43">
        <f>sum(O101, P101, Q101)</f>
        <v>7</v>
      </c>
      <c r="S101" s="43"/>
      <c r="T101" s="43"/>
      <c r="U101" s="43"/>
      <c r="V101" s="43"/>
      <c r="W101" s="43"/>
      <c r="X101" s="56" t="s">
        <v>46</v>
      </c>
    </row>
    <row r="102" ht="13.5" customHeight="1">
      <c r="A102" s="28">
        <v>96.0</v>
      </c>
      <c r="B102" s="452">
        <v>46003.0</v>
      </c>
      <c r="C102" s="144" t="s">
        <v>4063</v>
      </c>
      <c r="D102" s="144" t="s">
        <v>5637</v>
      </c>
      <c r="E102" s="144" t="s">
        <v>5638</v>
      </c>
      <c r="F102" s="103" t="s">
        <v>5418</v>
      </c>
      <c r="G102" s="453">
        <v>24.0</v>
      </c>
      <c r="H102" s="453" t="s">
        <v>29</v>
      </c>
      <c r="I102" s="453" t="s">
        <v>349</v>
      </c>
      <c r="J102" s="453" t="s">
        <v>5639</v>
      </c>
      <c r="K102" s="54">
        <v>29.0</v>
      </c>
      <c r="L102" s="55">
        <v>25.0</v>
      </c>
      <c r="M102" s="55">
        <v>0.0</v>
      </c>
      <c r="N102" s="55">
        <v>2.0</v>
      </c>
      <c r="O102" s="55">
        <v>2.0</v>
      </c>
      <c r="P102" s="55">
        <v>3.0</v>
      </c>
      <c r="Q102" s="55">
        <v>2.0</v>
      </c>
      <c r="R102" s="55">
        <v>7.0</v>
      </c>
      <c r="S102" s="43"/>
      <c r="T102" s="43"/>
      <c r="U102" s="43"/>
      <c r="V102" s="43"/>
      <c r="W102" s="55" t="s">
        <v>277</v>
      </c>
      <c r="X102" s="56" t="s">
        <v>46</v>
      </c>
    </row>
    <row r="103" ht="13.5" customHeight="1">
      <c r="A103" s="28">
        <v>97.0</v>
      </c>
      <c r="B103" s="452">
        <v>46010.0</v>
      </c>
      <c r="C103" s="144" t="s">
        <v>5640</v>
      </c>
      <c r="D103" s="144" t="s">
        <v>5641</v>
      </c>
      <c r="E103" s="144" t="s">
        <v>5651</v>
      </c>
      <c r="F103" s="103" t="s">
        <v>2330</v>
      </c>
      <c r="G103" s="453">
        <v>38.0</v>
      </c>
      <c r="H103" s="453" t="s">
        <v>30</v>
      </c>
      <c r="I103" s="453" t="s">
        <v>349</v>
      </c>
      <c r="J103" s="453" t="s">
        <v>5652</v>
      </c>
      <c r="K103" s="54">
        <v>6.0</v>
      </c>
      <c r="L103" s="55">
        <v>5.0</v>
      </c>
      <c r="M103" s="55">
        <v>0.0</v>
      </c>
      <c r="N103" s="55">
        <v>1.0</v>
      </c>
      <c r="O103" s="43">
        <f t="shared" ref="O103:O104" si="7">SUM(M103:N103)</f>
        <v>1</v>
      </c>
      <c r="P103" s="55">
        <v>26.0</v>
      </c>
      <c r="Q103" s="55">
        <v>0.0</v>
      </c>
      <c r="R103" s="43">
        <f t="shared" ref="R103:R104" si="8">SUM(O103:Q103)</f>
        <v>27</v>
      </c>
      <c r="S103" s="43"/>
      <c r="T103" s="43"/>
      <c r="U103" s="43"/>
      <c r="V103" s="43"/>
      <c r="W103" s="55" t="s">
        <v>3233</v>
      </c>
      <c r="X103" s="56" t="s">
        <v>46</v>
      </c>
    </row>
    <row r="104" ht="13.5" customHeight="1">
      <c r="A104" s="28">
        <v>98.0</v>
      </c>
      <c r="B104" s="452">
        <v>46013.0</v>
      </c>
      <c r="C104" s="144" t="s">
        <v>5653</v>
      </c>
      <c r="D104" s="144" t="s">
        <v>5600</v>
      </c>
      <c r="E104" s="144" t="s">
        <v>148</v>
      </c>
      <c r="F104" s="103" t="s">
        <v>5418</v>
      </c>
      <c r="G104" s="453">
        <v>35.0</v>
      </c>
      <c r="H104" s="453" t="s">
        <v>30</v>
      </c>
      <c r="I104" s="453" t="s">
        <v>349</v>
      </c>
      <c r="J104" s="453" t="s">
        <v>5654</v>
      </c>
      <c r="K104" s="54">
        <v>29.0</v>
      </c>
      <c r="L104" s="55">
        <v>24.0</v>
      </c>
      <c r="M104" s="55">
        <v>0.0</v>
      </c>
      <c r="N104" s="55">
        <v>4.0</v>
      </c>
      <c r="O104" s="43">
        <f t="shared" si="7"/>
        <v>4</v>
      </c>
      <c r="P104" s="55">
        <v>1.0</v>
      </c>
      <c r="Q104" s="55">
        <v>1.0</v>
      </c>
      <c r="R104" s="43">
        <f t="shared" si="8"/>
        <v>6</v>
      </c>
      <c r="S104" s="43"/>
      <c r="T104" s="43"/>
      <c r="U104" s="43"/>
      <c r="V104" s="43"/>
      <c r="W104" s="55" t="s">
        <v>5655</v>
      </c>
      <c r="X104" s="56" t="s">
        <v>46</v>
      </c>
    </row>
    <row r="105" ht="13.5" customHeight="1">
      <c r="A105" s="28">
        <v>99.0</v>
      </c>
      <c r="B105" s="452">
        <v>46027.0</v>
      </c>
      <c r="C105" s="144" t="s">
        <v>5656</v>
      </c>
      <c r="D105" s="144" t="s">
        <v>5657</v>
      </c>
      <c r="E105" s="144" t="s">
        <v>5658</v>
      </c>
      <c r="F105" s="103" t="s">
        <v>2330</v>
      </c>
      <c r="G105" s="453">
        <v>33.0</v>
      </c>
      <c r="H105" s="453" t="s">
        <v>30</v>
      </c>
      <c r="I105" s="455"/>
      <c r="J105" s="455"/>
      <c r="K105" s="54">
        <v>29.0</v>
      </c>
      <c r="L105" s="55">
        <v>25.0</v>
      </c>
      <c r="M105" s="55">
        <v>0.0</v>
      </c>
      <c r="N105" s="55">
        <v>0.0</v>
      </c>
      <c r="O105" s="55">
        <v>3.0</v>
      </c>
      <c r="P105" s="55">
        <v>3.0</v>
      </c>
      <c r="Q105" s="55">
        <v>1.0</v>
      </c>
      <c r="R105" s="55">
        <v>7.0</v>
      </c>
      <c r="S105" s="43"/>
      <c r="T105" s="43"/>
      <c r="U105" s="43"/>
      <c r="V105" s="43"/>
      <c r="W105" s="43"/>
      <c r="X105" s="56" t="s">
        <v>46</v>
      </c>
    </row>
    <row r="106" ht="13.5" customHeight="1">
      <c r="A106" s="28">
        <v>100.0</v>
      </c>
      <c r="B106" s="444"/>
      <c r="C106" s="106"/>
      <c r="D106" s="106"/>
      <c r="E106" s="106"/>
      <c r="F106" s="53"/>
      <c r="G106" s="455"/>
      <c r="H106" s="455"/>
      <c r="I106" s="455"/>
      <c r="J106" s="455"/>
      <c r="K106" s="42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4"/>
    </row>
    <row r="107" ht="13.5" customHeight="1">
      <c r="A107" s="28">
        <v>101.0</v>
      </c>
      <c r="B107" s="444"/>
      <c r="C107" s="106"/>
      <c r="D107" s="106"/>
      <c r="E107" s="106"/>
      <c r="F107" s="53"/>
      <c r="G107" s="455"/>
      <c r="H107" s="455"/>
      <c r="I107" s="455"/>
      <c r="J107" s="455"/>
      <c r="K107" s="42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4"/>
    </row>
    <row r="108" ht="13.5" customHeight="1">
      <c r="A108" s="28">
        <v>102.0</v>
      </c>
      <c r="B108" s="444"/>
      <c r="C108" s="106"/>
      <c r="D108" s="106"/>
      <c r="E108" s="106"/>
      <c r="F108" s="53"/>
      <c r="G108" s="455"/>
      <c r="H108" s="455"/>
      <c r="I108" s="455"/>
      <c r="J108" s="455"/>
      <c r="K108" s="42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4"/>
    </row>
    <row r="109" ht="13.5" customHeight="1">
      <c r="A109" s="28">
        <v>103.0</v>
      </c>
      <c r="B109" s="444"/>
      <c r="C109" s="106"/>
      <c r="D109" s="106"/>
      <c r="E109" s="106"/>
      <c r="F109" s="53"/>
      <c r="G109" s="455"/>
      <c r="H109" s="455"/>
      <c r="I109" s="455"/>
      <c r="J109" s="455"/>
      <c r="K109" s="42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4"/>
    </row>
    <row r="110" ht="13.5" customHeight="1">
      <c r="A110" s="28">
        <v>104.0</v>
      </c>
      <c r="B110" s="444"/>
      <c r="C110" s="106"/>
      <c r="D110" s="106"/>
      <c r="E110" s="106"/>
      <c r="F110" s="53"/>
      <c r="G110" s="455"/>
      <c r="H110" s="455"/>
      <c r="I110" s="455"/>
      <c r="J110" s="455"/>
      <c r="K110" s="42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4"/>
    </row>
    <row r="111" ht="13.5" customHeight="1">
      <c r="A111" s="28">
        <v>105.0</v>
      </c>
      <c r="B111" s="444"/>
      <c r="C111" s="106"/>
      <c r="D111" s="106"/>
      <c r="E111" s="106"/>
      <c r="F111" s="53"/>
      <c r="G111" s="455"/>
      <c r="H111" s="455"/>
      <c r="I111" s="455"/>
      <c r="J111" s="455"/>
      <c r="K111" s="42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4"/>
    </row>
    <row r="112" ht="13.5" customHeight="1">
      <c r="A112" s="28">
        <v>106.0</v>
      </c>
      <c r="B112" s="444"/>
      <c r="C112" s="106"/>
      <c r="D112" s="106"/>
      <c r="E112" s="106"/>
      <c r="F112" s="53"/>
      <c r="G112" s="455"/>
      <c r="H112" s="455"/>
      <c r="I112" s="455"/>
      <c r="J112" s="455"/>
      <c r="K112" s="42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4"/>
    </row>
    <row r="113" ht="13.5" customHeight="1">
      <c r="A113" s="28">
        <v>107.0</v>
      </c>
      <c r="B113" s="444"/>
      <c r="C113" s="106"/>
      <c r="D113" s="106"/>
      <c r="E113" s="106"/>
      <c r="F113" s="53"/>
      <c r="G113" s="455"/>
      <c r="H113" s="455"/>
      <c r="I113" s="455"/>
      <c r="J113" s="455"/>
      <c r="K113" s="42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4"/>
    </row>
    <row r="114" ht="13.5" customHeight="1">
      <c r="A114" s="28">
        <v>108.0</v>
      </c>
      <c r="B114" s="444"/>
      <c r="C114" s="106"/>
      <c r="D114" s="106"/>
      <c r="E114" s="106"/>
      <c r="F114" s="53"/>
      <c r="G114" s="455"/>
      <c r="H114" s="455"/>
      <c r="I114" s="455"/>
      <c r="J114" s="455"/>
      <c r="K114" s="42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4"/>
    </row>
    <row r="115" ht="13.5" customHeight="1">
      <c r="A115" s="28">
        <v>109.0</v>
      </c>
      <c r="B115" s="444"/>
      <c r="C115" s="106"/>
      <c r="D115" s="106"/>
      <c r="E115" s="106"/>
      <c r="F115" s="53"/>
      <c r="G115" s="455"/>
      <c r="H115" s="455"/>
      <c r="I115" s="455"/>
      <c r="J115" s="455"/>
      <c r="K115" s="42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4"/>
    </row>
    <row r="116" ht="13.5" customHeight="1">
      <c r="A116" s="28">
        <v>110.0</v>
      </c>
      <c r="B116" s="444"/>
      <c r="C116" s="106"/>
      <c r="D116" s="106"/>
      <c r="E116" s="106"/>
      <c r="F116" s="53"/>
      <c r="G116" s="455"/>
      <c r="H116" s="455"/>
      <c r="I116" s="455"/>
      <c r="J116" s="455"/>
      <c r="K116" s="42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4"/>
    </row>
    <row r="117" ht="13.5" customHeight="1">
      <c r="A117" s="28">
        <v>111.0</v>
      </c>
      <c r="B117" s="444"/>
      <c r="C117" s="106"/>
      <c r="D117" s="106"/>
      <c r="E117" s="106"/>
      <c r="F117" s="53"/>
      <c r="G117" s="455"/>
      <c r="H117" s="455"/>
      <c r="I117" s="455"/>
      <c r="J117" s="455"/>
      <c r="K117" s="42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4"/>
    </row>
    <row r="118" ht="13.5" customHeight="1">
      <c r="A118" s="28">
        <v>112.0</v>
      </c>
      <c r="B118" s="444"/>
      <c r="C118" s="106"/>
      <c r="D118" s="106"/>
      <c r="E118" s="106"/>
      <c r="F118" s="53"/>
      <c r="G118" s="455"/>
      <c r="H118" s="455"/>
      <c r="I118" s="455"/>
      <c r="J118" s="455"/>
      <c r="K118" s="42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4"/>
    </row>
    <row r="119" ht="13.5" customHeight="1">
      <c r="A119" s="28">
        <v>113.0</v>
      </c>
      <c r="B119" s="444"/>
      <c r="C119" s="106"/>
      <c r="D119" s="106"/>
      <c r="E119" s="106"/>
      <c r="F119" s="53"/>
      <c r="G119" s="455"/>
      <c r="H119" s="455"/>
      <c r="I119" s="455"/>
      <c r="J119" s="455"/>
      <c r="K119" s="42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4"/>
    </row>
    <row r="120" ht="13.5" customHeight="1">
      <c r="A120" s="28">
        <v>114.0</v>
      </c>
      <c r="B120" s="444"/>
      <c r="C120" s="106"/>
      <c r="D120" s="106"/>
      <c r="E120" s="106"/>
      <c r="F120" s="53"/>
      <c r="G120" s="455"/>
      <c r="H120" s="455"/>
      <c r="I120" s="455"/>
      <c r="J120" s="455"/>
      <c r="K120" s="42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4"/>
    </row>
    <row r="121" ht="13.5" customHeight="1">
      <c r="A121" s="28">
        <v>115.0</v>
      </c>
      <c r="B121" s="444"/>
      <c r="C121" s="106"/>
      <c r="D121" s="106"/>
      <c r="E121" s="106"/>
      <c r="F121" s="53"/>
      <c r="G121" s="455"/>
      <c r="H121" s="455"/>
      <c r="I121" s="455"/>
      <c r="J121" s="455"/>
      <c r="K121" s="42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4"/>
    </row>
    <row r="122" ht="13.5" customHeight="1">
      <c r="A122" s="28">
        <v>116.0</v>
      </c>
      <c r="B122" s="444"/>
      <c r="C122" s="106"/>
      <c r="D122" s="106"/>
      <c r="E122" s="106"/>
      <c r="F122" s="53"/>
      <c r="G122" s="455"/>
      <c r="H122" s="455"/>
      <c r="I122" s="455"/>
      <c r="J122" s="455"/>
      <c r="K122" s="42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4"/>
    </row>
    <row r="123" ht="13.5" customHeight="1">
      <c r="A123" s="28">
        <v>117.0</v>
      </c>
      <c r="B123" s="444"/>
      <c r="C123" s="106"/>
      <c r="D123" s="106"/>
      <c r="E123" s="106"/>
      <c r="F123" s="53"/>
      <c r="G123" s="455"/>
      <c r="H123" s="455"/>
      <c r="I123" s="455"/>
      <c r="J123" s="455"/>
      <c r="K123" s="42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4"/>
    </row>
    <row r="124" ht="13.5" customHeight="1">
      <c r="A124" s="28">
        <v>118.0</v>
      </c>
      <c r="B124" s="444"/>
      <c r="C124" s="106"/>
      <c r="D124" s="106"/>
      <c r="E124" s="106"/>
      <c r="F124" s="53"/>
      <c r="G124" s="455"/>
      <c r="H124" s="455"/>
      <c r="I124" s="455"/>
      <c r="J124" s="455"/>
      <c r="K124" s="42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4"/>
    </row>
    <row r="125" ht="13.5" customHeight="1">
      <c r="A125" s="28">
        <v>119.0</v>
      </c>
      <c r="B125" s="444"/>
      <c r="C125" s="106"/>
      <c r="D125" s="106"/>
      <c r="E125" s="106"/>
      <c r="F125" s="53"/>
      <c r="G125" s="455"/>
      <c r="H125" s="455"/>
      <c r="I125" s="455"/>
      <c r="J125" s="455"/>
      <c r="K125" s="42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4"/>
    </row>
    <row r="126" ht="13.5" customHeight="1">
      <c r="A126" s="28">
        <v>120.0</v>
      </c>
      <c r="B126" s="444"/>
      <c r="C126" s="106"/>
      <c r="D126" s="106"/>
      <c r="E126" s="106"/>
      <c r="F126" s="53"/>
      <c r="G126" s="455"/>
      <c r="H126" s="455"/>
      <c r="I126" s="455"/>
      <c r="J126" s="455"/>
      <c r="K126" s="42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4"/>
    </row>
    <row r="127" ht="13.5" customHeight="1">
      <c r="A127" s="28">
        <v>121.0</v>
      </c>
      <c r="B127" s="444"/>
      <c r="C127" s="106"/>
      <c r="D127" s="106"/>
      <c r="E127" s="106"/>
      <c r="F127" s="53"/>
      <c r="G127" s="455"/>
      <c r="H127" s="455"/>
      <c r="I127" s="455"/>
      <c r="J127" s="455"/>
      <c r="K127" s="42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4"/>
    </row>
    <row r="128" ht="13.5" customHeight="1">
      <c r="A128" s="28">
        <v>122.0</v>
      </c>
      <c r="B128" s="444"/>
      <c r="C128" s="106"/>
      <c r="D128" s="106"/>
      <c r="E128" s="106"/>
      <c r="F128" s="53"/>
      <c r="G128" s="455"/>
      <c r="H128" s="455"/>
      <c r="I128" s="455"/>
      <c r="J128" s="455"/>
      <c r="K128" s="42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4"/>
    </row>
    <row r="129" ht="13.5" customHeight="1">
      <c r="A129" s="28">
        <v>123.0</v>
      </c>
      <c r="B129" s="444"/>
      <c r="C129" s="106"/>
      <c r="D129" s="106"/>
      <c r="E129" s="106"/>
      <c r="F129" s="53"/>
      <c r="G129" s="455"/>
      <c r="H129" s="455"/>
      <c r="I129" s="455"/>
      <c r="J129" s="455"/>
      <c r="K129" s="42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4"/>
    </row>
    <row r="130" ht="13.5" customHeight="1">
      <c r="A130" s="28">
        <v>124.0</v>
      </c>
      <c r="B130" s="444"/>
      <c r="C130" s="106"/>
      <c r="D130" s="106"/>
      <c r="E130" s="106"/>
      <c r="F130" s="53"/>
      <c r="G130" s="455"/>
      <c r="H130" s="455"/>
      <c r="I130" s="455"/>
      <c r="J130" s="455"/>
      <c r="K130" s="42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4"/>
    </row>
    <row r="131" ht="13.5" customHeight="1">
      <c r="A131" s="28">
        <v>125.0</v>
      </c>
      <c r="B131" s="444"/>
      <c r="C131" s="106"/>
      <c r="D131" s="106"/>
      <c r="E131" s="106"/>
      <c r="F131" s="53"/>
      <c r="G131" s="455"/>
      <c r="H131" s="455"/>
      <c r="I131" s="455"/>
      <c r="J131" s="455"/>
      <c r="K131" s="42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4"/>
    </row>
    <row r="132" ht="13.5" customHeight="1">
      <c r="A132" s="28">
        <v>126.0</v>
      </c>
      <c r="B132" s="444"/>
      <c r="C132" s="107"/>
      <c r="D132" s="107"/>
      <c r="E132" s="107"/>
      <c r="F132" s="109"/>
      <c r="G132" s="455"/>
      <c r="H132" s="470"/>
      <c r="I132" s="455"/>
      <c r="J132" s="455"/>
      <c r="K132" s="42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4"/>
    </row>
    <row r="133" ht="13.5" customHeight="1">
      <c r="A133" s="28">
        <v>127.0</v>
      </c>
      <c r="B133" s="444"/>
      <c r="C133" s="108"/>
      <c r="D133" s="108"/>
      <c r="E133" s="108"/>
      <c r="F133" s="113"/>
      <c r="G133" s="471"/>
      <c r="H133" s="455"/>
      <c r="I133" s="470"/>
      <c r="J133" s="472"/>
      <c r="K133" s="42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4"/>
    </row>
    <row r="134" ht="13.5" customHeight="1">
      <c r="A134" s="28">
        <v>128.0</v>
      </c>
      <c r="B134" s="444"/>
      <c r="C134" s="108"/>
      <c r="D134" s="108"/>
      <c r="E134" s="108"/>
      <c r="F134" s="113"/>
      <c r="G134" s="473"/>
      <c r="H134" s="455"/>
      <c r="I134" s="455"/>
      <c r="J134" s="473"/>
      <c r="K134" s="42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4"/>
    </row>
    <row r="135" ht="13.5" customHeight="1">
      <c r="A135" s="28">
        <v>129.0</v>
      </c>
      <c r="B135" s="444"/>
      <c r="C135" s="108"/>
      <c r="D135" s="108"/>
      <c r="E135" s="108"/>
      <c r="F135" s="113"/>
      <c r="G135" s="473"/>
      <c r="H135" s="455"/>
      <c r="I135" s="455"/>
      <c r="J135" s="473"/>
      <c r="K135" s="42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4"/>
    </row>
    <row r="136" ht="13.5" customHeight="1">
      <c r="A136" s="28">
        <v>130.0</v>
      </c>
      <c r="B136" s="444"/>
      <c r="C136" s="108"/>
      <c r="D136" s="108"/>
      <c r="E136" s="108"/>
      <c r="F136" s="113"/>
      <c r="G136" s="473"/>
      <c r="H136" s="455"/>
      <c r="I136" s="455"/>
      <c r="J136" s="473"/>
      <c r="K136" s="42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4"/>
    </row>
    <row r="137" ht="13.5" customHeight="1">
      <c r="A137" s="28">
        <v>131.0</v>
      </c>
      <c r="B137" s="444"/>
      <c r="C137" s="106"/>
      <c r="D137" s="106"/>
      <c r="E137" s="106"/>
      <c r="F137" s="113"/>
      <c r="G137" s="473"/>
      <c r="H137" s="455"/>
      <c r="I137" s="455"/>
      <c r="J137" s="473"/>
      <c r="K137" s="42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4"/>
    </row>
    <row r="138" ht="13.5" customHeight="1">
      <c r="A138" s="28">
        <v>132.0</v>
      </c>
      <c r="B138" s="444"/>
      <c r="C138" s="106"/>
      <c r="D138" s="106"/>
      <c r="E138" s="106"/>
      <c r="F138" s="113"/>
      <c r="G138" s="455"/>
      <c r="H138" s="455"/>
      <c r="I138" s="455"/>
      <c r="J138" s="455"/>
      <c r="K138" s="42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4"/>
    </row>
    <row r="139" ht="13.5" customHeight="1">
      <c r="A139" s="28">
        <v>133.0</v>
      </c>
      <c r="B139" s="444"/>
      <c r="C139" s="114"/>
      <c r="D139" s="108"/>
      <c r="E139" s="108"/>
      <c r="F139" s="113"/>
      <c r="G139" s="455"/>
      <c r="H139" s="455"/>
      <c r="I139" s="455"/>
      <c r="J139" s="455"/>
      <c r="K139" s="42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4"/>
    </row>
    <row r="140" ht="13.5" customHeight="1">
      <c r="A140" s="28">
        <v>134.0</v>
      </c>
      <c r="B140" s="444"/>
      <c r="C140" s="106"/>
      <c r="D140" s="106"/>
      <c r="E140" s="106"/>
      <c r="F140" s="109"/>
      <c r="G140" s="455"/>
      <c r="H140" s="474"/>
      <c r="I140" s="455"/>
      <c r="J140" s="455"/>
      <c r="K140" s="42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4"/>
    </row>
    <row r="141" ht="13.5" customHeight="1">
      <c r="A141" s="28">
        <v>135.0</v>
      </c>
      <c r="B141" s="444"/>
      <c r="C141" s="106"/>
      <c r="D141" s="106"/>
      <c r="E141" s="106"/>
      <c r="F141" s="109"/>
      <c r="G141" s="474"/>
      <c r="H141" s="455"/>
      <c r="I141" s="474"/>
      <c r="J141" s="474"/>
      <c r="K141" s="42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4"/>
    </row>
    <row r="142" ht="13.5" customHeight="1">
      <c r="A142" s="28">
        <v>136.0</v>
      </c>
      <c r="B142" s="444"/>
      <c r="C142" s="106"/>
      <c r="D142" s="106"/>
      <c r="E142" s="106"/>
      <c r="F142" s="109"/>
      <c r="G142" s="455"/>
      <c r="H142" s="455"/>
      <c r="I142" s="455"/>
      <c r="J142" s="455"/>
      <c r="K142" s="42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4"/>
    </row>
    <row r="143" ht="13.5" customHeight="1">
      <c r="A143" s="28">
        <v>137.0</v>
      </c>
      <c r="B143" s="444"/>
      <c r="C143" s="106"/>
      <c r="D143" s="106"/>
      <c r="E143" s="106"/>
      <c r="F143" s="109"/>
      <c r="G143" s="455"/>
      <c r="H143" s="455"/>
      <c r="I143" s="455"/>
      <c r="J143" s="455"/>
      <c r="K143" s="42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4"/>
    </row>
    <row r="144" ht="13.5" customHeight="1">
      <c r="A144" s="28">
        <v>138.0</v>
      </c>
      <c r="B144" s="444"/>
      <c r="C144" s="106"/>
      <c r="D144" s="106"/>
      <c r="E144" s="106"/>
      <c r="F144" s="53"/>
      <c r="G144" s="455"/>
      <c r="H144" s="455"/>
      <c r="I144" s="455"/>
      <c r="J144" s="455"/>
      <c r="K144" s="42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4"/>
    </row>
    <row r="145" ht="13.5" customHeight="1">
      <c r="A145" s="28">
        <v>139.0</v>
      </c>
      <c r="B145" s="444"/>
      <c r="C145" s="112"/>
      <c r="D145" s="112"/>
      <c r="E145" s="112"/>
      <c r="F145" s="53"/>
      <c r="G145" s="455"/>
      <c r="H145" s="455"/>
      <c r="I145" s="455"/>
      <c r="J145" s="455"/>
      <c r="K145" s="42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4"/>
    </row>
    <row r="146" ht="13.5" customHeight="1">
      <c r="A146" s="28">
        <v>140.0</v>
      </c>
      <c r="B146" s="444"/>
      <c r="C146" s="106"/>
      <c r="D146" s="106"/>
      <c r="E146" s="106"/>
      <c r="F146" s="53"/>
      <c r="G146" s="455"/>
      <c r="H146" s="455"/>
      <c r="I146" s="455"/>
      <c r="J146" s="455"/>
      <c r="K146" s="42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4"/>
    </row>
    <row r="147" ht="13.5" customHeight="1">
      <c r="A147" s="28">
        <v>141.0</v>
      </c>
      <c r="B147" s="444"/>
      <c r="C147" s="106"/>
      <c r="D147" s="106"/>
      <c r="E147" s="106"/>
      <c r="F147" s="53"/>
      <c r="G147" s="455"/>
      <c r="H147" s="455"/>
      <c r="I147" s="455"/>
      <c r="J147" s="455"/>
      <c r="K147" s="42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4"/>
    </row>
    <row r="148" ht="13.5" customHeight="1">
      <c r="A148" s="28">
        <v>142.0</v>
      </c>
      <c r="B148" s="444"/>
      <c r="C148" s="106"/>
      <c r="D148" s="106"/>
      <c r="E148" s="106"/>
      <c r="F148" s="53"/>
      <c r="G148" s="455"/>
      <c r="H148" s="455"/>
      <c r="I148" s="455"/>
      <c r="J148" s="455"/>
      <c r="K148" s="42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4"/>
    </row>
    <row r="149" ht="13.5" customHeight="1">
      <c r="A149" s="28">
        <v>143.0</v>
      </c>
      <c r="B149" s="444"/>
      <c r="C149" s="106"/>
      <c r="D149" s="106"/>
      <c r="E149" s="106"/>
      <c r="F149" s="53"/>
      <c r="G149" s="455"/>
      <c r="H149" s="455"/>
      <c r="I149" s="455"/>
      <c r="J149" s="455"/>
      <c r="K149" s="42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4"/>
    </row>
    <row r="150" ht="13.5" customHeight="1">
      <c r="A150" s="28">
        <v>144.0</v>
      </c>
      <c r="B150" s="444"/>
      <c r="C150" s="107"/>
      <c r="D150" s="107"/>
      <c r="E150" s="107"/>
      <c r="F150" s="53"/>
      <c r="G150" s="455"/>
      <c r="H150" s="455"/>
      <c r="I150" s="455"/>
      <c r="J150" s="455"/>
      <c r="K150" s="42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4"/>
    </row>
    <row r="151" ht="13.5" customHeight="1">
      <c r="A151" s="28">
        <v>145.0</v>
      </c>
      <c r="B151" s="444"/>
      <c r="C151" s="106"/>
      <c r="D151" s="106"/>
      <c r="E151" s="106"/>
      <c r="F151" s="109"/>
      <c r="G151" s="455"/>
      <c r="H151" s="455"/>
      <c r="I151" s="455"/>
      <c r="J151" s="455"/>
      <c r="K151" s="42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4"/>
    </row>
    <row r="152" ht="13.5" customHeight="1">
      <c r="A152" s="28">
        <v>146.0</v>
      </c>
      <c r="B152" s="444"/>
      <c r="C152" s="115"/>
      <c r="D152" s="115"/>
      <c r="E152" s="115"/>
      <c r="F152" s="109"/>
      <c r="G152" s="455"/>
      <c r="H152" s="455"/>
      <c r="I152" s="455"/>
      <c r="J152" s="455"/>
      <c r="K152" s="42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4"/>
    </row>
    <row r="153" ht="13.5" customHeight="1">
      <c r="A153" s="28">
        <v>147.0</v>
      </c>
      <c r="B153" s="444"/>
      <c r="C153" s="112"/>
      <c r="D153" s="112"/>
      <c r="E153" s="112"/>
      <c r="F153" s="53"/>
      <c r="G153" s="455"/>
      <c r="H153" s="455"/>
      <c r="I153" s="455"/>
      <c r="J153" s="455"/>
      <c r="K153" s="42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4"/>
    </row>
    <row r="154" ht="13.5" customHeight="1">
      <c r="A154" s="28">
        <v>148.0</v>
      </c>
      <c r="B154" s="444"/>
      <c r="C154" s="116"/>
      <c r="D154" s="116"/>
      <c r="E154" s="116"/>
      <c r="F154" s="117"/>
      <c r="G154" s="475"/>
      <c r="H154" s="475"/>
      <c r="I154" s="475"/>
      <c r="J154" s="475"/>
      <c r="K154" s="42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4"/>
    </row>
    <row r="155" ht="13.5" customHeight="1">
      <c r="A155" s="28">
        <v>149.0</v>
      </c>
      <c r="B155" s="444"/>
      <c r="C155" s="116"/>
      <c r="D155" s="116"/>
      <c r="E155" s="116"/>
      <c r="F155" s="117"/>
      <c r="G155" s="475"/>
      <c r="H155" s="475"/>
      <c r="I155" s="475"/>
      <c r="J155" s="475"/>
      <c r="K155" s="42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4"/>
    </row>
    <row r="156" ht="13.5" customHeight="1">
      <c r="A156" s="28">
        <v>150.0</v>
      </c>
      <c r="B156" s="444"/>
      <c r="C156" s="116"/>
      <c r="D156" s="116"/>
      <c r="E156" s="116"/>
      <c r="F156" s="117"/>
      <c r="G156" s="475"/>
      <c r="H156" s="475"/>
      <c r="I156" s="475"/>
      <c r="J156" s="475"/>
      <c r="K156" s="42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4"/>
    </row>
    <row r="157" ht="13.5" customHeight="1">
      <c r="A157" s="118"/>
      <c r="B157" s="444"/>
      <c r="C157" s="119"/>
      <c r="D157" s="119"/>
      <c r="E157" s="120"/>
      <c r="F157" s="121"/>
      <c r="G157" s="476"/>
      <c r="H157" s="476"/>
      <c r="I157" s="476"/>
      <c r="J157" s="477" t="s">
        <v>329</v>
      </c>
      <c r="K157" s="123">
        <f t="shared" ref="K157:R157" si="9">SUM(K7:K156)</f>
        <v>2671</v>
      </c>
      <c r="L157" s="123">
        <f t="shared" si="9"/>
        <v>2296</v>
      </c>
      <c r="M157" s="123">
        <f t="shared" si="9"/>
        <v>75</v>
      </c>
      <c r="N157" s="123">
        <f t="shared" si="9"/>
        <v>184</v>
      </c>
      <c r="O157" s="123">
        <f t="shared" si="9"/>
        <v>262</v>
      </c>
      <c r="P157" s="123">
        <f t="shared" si="9"/>
        <v>452</v>
      </c>
      <c r="Q157" s="123">
        <f t="shared" si="9"/>
        <v>114</v>
      </c>
      <c r="R157" s="123">
        <f t="shared" si="9"/>
        <v>828</v>
      </c>
      <c r="S157" s="124"/>
      <c r="T157" s="124"/>
      <c r="U157" s="125"/>
      <c r="V157" s="145" t="s">
        <v>330</v>
      </c>
      <c r="W157" s="5"/>
      <c r="X157" s="126">
        <f>COUNTIF(X7:X156,"YES")</f>
        <v>99</v>
      </c>
    </row>
    <row r="158" ht="13.5" customHeight="1">
      <c r="A158" s="127"/>
      <c r="B158" s="444"/>
      <c r="C158" s="128"/>
      <c r="D158" s="128"/>
      <c r="E158" s="129"/>
      <c r="F158" s="130"/>
      <c r="G158" s="478"/>
      <c r="H158" s="478"/>
      <c r="I158" s="478"/>
      <c r="J158" s="478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46" t="s">
        <v>331</v>
      </c>
      <c r="W158" s="147"/>
      <c r="X158" s="126"/>
    </row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8">
    <mergeCell ref="W1:X1"/>
    <mergeCell ref="A2:C2"/>
    <mergeCell ref="D2:J2"/>
    <mergeCell ref="W2:X2"/>
    <mergeCell ref="A3:C3"/>
    <mergeCell ref="D3:J3"/>
    <mergeCell ref="W3:X3"/>
    <mergeCell ref="A4:C4"/>
    <mergeCell ref="D4:J4"/>
    <mergeCell ref="B5:B6"/>
    <mergeCell ref="C5:E5"/>
    <mergeCell ref="F5:F6"/>
    <mergeCell ref="G5:G6"/>
    <mergeCell ref="H5:H6"/>
    <mergeCell ref="T5:T6"/>
    <mergeCell ref="U5:U6"/>
    <mergeCell ref="V5:V6"/>
    <mergeCell ref="W5:W6"/>
    <mergeCell ref="X5:X6"/>
    <mergeCell ref="V157:W157"/>
    <mergeCell ref="V158:W158"/>
    <mergeCell ref="I5:I6"/>
    <mergeCell ref="J5:J6"/>
    <mergeCell ref="K5:K6"/>
    <mergeCell ref="L5:L6"/>
    <mergeCell ref="M5:Q5"/>
    <mergeCell ref="R5:R6"/>
    <mergeCell ref="S5:S6"/>
  </mergeCells>
  <dataValidations>
    <dataValidation type="list" allowBlank="1" sqref="X7:X156">
      <formula1>"YES,NO"</formula1>
    </dataValidation>
    <dataValidation type="list" allowBlank="1" showErrorMessage="1" sqref="F157:F158">
      <formula1>'Data Dont Use'!$A$8:$A$9</formula1>
    </dataValidation>
    <dataValidation type="list" allowBlank="1" showErrorMessage="1" sqref="H157:H158">
      <formula1>'Data Dont Use'!$A$4:$A$5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1" width="8.0"/>
  </cols>
  <sheetData>
    <row r="1" ht="16.5" customHeight="1">
      <c r="A1" s="479"/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/>
      <c r="P1" s="479"/>
      <c r="Q1" s="479"/>
      <c r="R1" s="479"/>
      <c r="S1" s="479"/>
      <c r="T1" s="479"/>
      <c r="U1" s="479"/>
    </row>
    <row r="2" ht="16.5" customHeight="1">
      <c r="A2" s="480"/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</row>
    <row r="3" ht="16.5" customHeight="1">
      <c r="A3" s="480" t="s">
        <v>5659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</row>
    <row r="4" ht="16.5" customHeight="1">
      <c r="A4" s="480" t="s">
        <v>584</v>
      </c>
      <c r="B4" s="479"/>
      <c r="C4" s="479"/>
      <c r="D4" s="479"/>
      <c r="E4" s="479"/>
      <c r="F4" s="479"/>
      <c r="G4" s="479"/>
      <c r="H4" s="479"/>
      <c r="I4" s="479"/>
      <c r="J4" s="479"/>
      <c r="K4" s="479"/>
      <c r="L4" s="479"/>
      <c r="M4" s="479"/>
      <c r="N4" s="479"/>
      <c r="O4" s="479"/>
      <c r="P4" s="479"/>
      <c r="Q4" s="479"/>
      <c r="R4" s="479"/>
      <c r="S4" s="479"/>
      <c r="T4" s="479"/>
      <c r="U4" s="479"/>
    </row>
    <row r="5" ht="16.5" customHeight="1">
      <c r="A5" s="480" t="s">
        <v>476</v>
      </c>
      <c r="B5" s="479"/>
      <c r="C5" s="479"/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79"/>
      <c r="O5" s="479"/>
      <c r="P5" s="479"/>
      <c r="Q5" s="479"/>
      <c r="R5" s="479"/>
      <c r="S5" s="479"/>
      <c r="T5" s="479"/>
      <c r="U5" s="479"/>
    </row>
    <row r="6" ht="16.5" customHeight="1">
      <c r="A6" s="480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79"/>
      <c r="T6" s="479"/>
      <c r="U6" s="479"/>
    </row>
    <row r="7" ht="16.5" customHeight="1">
      <c r="A7" s="480" t="s">
        <v>5660</v>
      </c>
      <c r="B7" s="479"/>
      <c r="C7" s="479"/>
      <c r="D7" s="479"/>
      <c r="E7" s="479"/>
      <c r="F7" s="479"/>
      <c r="G7" s="479"/>
      <c r="H7" s="479"/>
      <c r="I7" s="479"/>
      <c r="J7" s="479"/>
      <c r="K7" s="479"/>
      <c r="L7" s="479"/>
      <c r="M7" s="479"/>
      <c r="N7" s="479"/>
      <c r="O7" s="479"/>
      <c r="P7" s="479"/>
      <c r="Q7" s="479"/>
      <c r="R7" s="479"/>
      <c r="S7" s="479"/>
      <c r="T7" s="479"/>
      <c r="U7" s="479"/>
    </row>
    <row r="8" ht="16.5" customHeight="1">
      <c r="A8" s="480" t="s">
        <v>338</v>
      </c>
      <c r="B8" s="479"/>
      <c r="C8" s="479"/>
      <c r="D8" s="479"/>
      <c r="E8" s="479"/>
      <c r="F8" s="479"/>
      <c r="G8" s="479"/>
      <c r="H8" s="479"/>
      <c r="I8" s="479"/>
      <c r="J8" s="479"/>
      <c r="K8" s="479"/>
      <c r="L8" s="479"/>
      <c r="M8" s="479"/>
      <c r="N8" s="479"/>
      <c r="O8" s="479"/>
      <c r="P8" s="479"/>
      <c r="Q8" s="479"/>
      <c r="R8" s="479"/>
      <c r="S8" s="479"/>
      <c r="T8" s="479"/>
      <c r="U8" s="479"/>
    </row>
    <row r="9" ht="16.5" customHeight="1">
      <c r="A9" s="480" t="s">
        <v>5661</v>
      </c>
      <c r="B9" s="479"/>
      <c r="C9" s="479"/>
      <c r="D9" s="479"/>
      <c r="E9" s="479"/>
      <c r="F9" s="479"/>
      <c r="G9" s="479"/>
      <c r="H9" s="479"/>
      <c r="I9" s="479"/>
      <c r="J9" s="479"/>
      <c r="K9" s="479"/>
      <c r="L9" s="479"/>
      <c r="M9" s="479"/>
      <c r="N9" s="479"/>
      <c r="O9" s="479"/>
      <c r="P9" s="479"/>
      <c r="Q9" s="479"/>
      <c r="R9" s="479"/>
      <c r="S9" s="479"/>
      <c r="T9" s="479"/>
      <c r="U9" s="479"/>
    </row>
    <row r="10" ht="16.5" customHeight="1">
      <c r="A10" s="480"/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  <c r="O10" s="479"/>
      <c r="P10" s="479"/>
      <c r="Q10" s="479"/>
      <c r="R10" s="479"/>
      <c r="S10" s="479"/>
      <c r="T10" s="479"/>
      <c r="U10" s="479"/>
    </row>
    <row r="11" ht="16.5" customHeight="1">
      <c r="A11" s="479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</row>
    <row r="12" ht="16.5" customHeight="1">
      <c r="A12" s="481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</row>
    <row r="13" ht="16.5" customHeight="1">
      <c r="A13" s="481"/>
      <c r="B13" s="479"/>
      <c r="C13" s="479"/>
      <c r="D13" s="479"/>
      <c r="E13" s="479"/>
      <c r="F13" s="479"/>
      <c r="G13" s="479"/>
      <c r="H13" s="479"/>
      <c r="I13" s="479"/>
      <c r="J13" s="479"/>
      <c r="K13" s="479"/>
      <c r="L13" s="479"/>
      <c r="M13" s="479"/>
      <c r="N13" s="479"/>
      <c r="O13" s="479"/>
      <c r="P13" s="479"/>
      <c r="Q13" s="479"/>
      <c r="R13" s="479"/>
      <c r="S13" s="479"/>
      <c r="T13" s="479"/>
      <c r="U13" s="479"/>
    </row>
    <row r="14" ht="16.5" customHeight="1">
      <c r="A14" s="479"/>
      <c r="B14" s="479"/>
      <c r="C14" s="479"/>
      <c r="D14" s="479"/>
      <c r="E14" s="479"/>
      <c r="F14" s="479"/>
      <c r="G14" s="479"/>
      <c r="H14" s="479"/>
      <c r="I14" s="479"/>
      <c r="J14" s="479"/>
      <c r="K14" s="479"/>
      <c r="L14" s="479"/>
      <c r="M14" s="479"/>
      <c r="N14" s="479"/>
      <c r="O14" s="479"/>
      <c r="P14" s="479"/>
      <c r="Q14" s="479"/>
      <c r="R14" s="479"/>
      <c r="S14" s="479"/>
      <c r="T14" s="479"/>
      <c r="U14" s="479"/>
    </row>
    <row r="15" ht="16.5" customHeight="1">
      <c r="A15" s="479"/>
      <c r="B15" s="479"/>
      <c r="C15" s="479"/>
      <c r="D15" s="479"/>
      <c r="E15" s="479"/>
      <c r="F15" s="479"/>
      <c r="G15" s="479"/>
      <c r="H15" s="479"/>
      <c r="I15" s="479"/>
      <c r="J15" s="479"/>
      <c r="K15" s="479"/>
      <c r="L15" s="479"/>
      <c r="M15" s="479"/>
      <c r="N15" s="479"/>
      <c r="O15" s="479"/>
      <c r="P15" s="479"/>
      <c r="Q15" s="479"/>
      <c r="R15" s="479"/>
      <c r="S15" s="479"/>
      <c r="T15" s="479"/>
      <c r="U15" s="479"/>
    </row>
    <row r="16" ht="16.5" customHeight="1">
      <c r="A16" s="479"/>
      <c r="B16" s="479"/>
      <c r="C16" s="479"/>
      <c r="D16" s="479"/>
      <c r="E16" s="479"/>
      <c r="F16" s="479"/>
      <c r="G16" s="479"/>
      <c r="H16" s="479"/>
      <c r="I16" s="479"/>
      <c r="J16" s="479"/>
      <c r="K16" s="479"/>
      <c r="L16" s="479"/>
      <c r="M16" s="479"/>
      <c r="N16" s="479"/>
      <c r="O16" s="479"/>
      <c r="P16" s="479"/>
      <c r="Q16" s="479"/>
      <c r="R16" s="479"/>
      <c r="S16" s="479"/>
      <c r="T16" s="479"/>
      <c r="U16" s="479"/>
    </row>
    <row r="17" ht="16.5" customHeight="1">
      <c r="A17" s="479"/>
      <c r="B17" s="479"/>
      <c r="C17" s="479"/>
      <c r="D17" s="479"/>
      <c r="E17" s="479"/>
      <c r="F17" s="479"/>
      <c r="G17" s="479"/>
      <c r="H17" s="479"/>
      <c r="I17" s="479"/>
      <c r="J17" s="479"/>
      <c r="K17" s="479"/>
      <c r="L17" s="479"/>
      <c r="M17" s="479"/>
      <c r="N17" s="479"/>
      <c r="O17" s="479"/>
      <c r="P17" s="479"/>
      <c r="Q17" s="479"/>
      <c r="R17" s="479"/>
      <c r="S17" s="479"/>
      <c r="T17" s="479"/>
      <c r="U17" s="479"/>
    </row>
    <row r="18" ht="16.5" customHeight="1">
      <c r="A18" s="479"/>
      <c r="B18" s="479"/>
      <c r="C18" s="479"/>
      <c r="D18" s="479"/>
      <c r="E18" s="479"/>
      <c r="F18" s="479"/>
      <c r="G18" s="479"/>
      <c r="H18" s="479"/>
      <c r="I18" s="479"/>
      <c r="J18" s="479"/>
      <c r="K18" s="479"/>
      <c r="L18" s="479"/>
      <c r="M18" s="479"/>
      <c r="N18" s="479"/>
      <c r="O18" s="479"/>
      <c r="P18" s="479"/>
      <c r="Q18" s="479"/>
      <c r="R18" s="479"/>
      <c r="S18" s="479"/>
      <c r="T18" s="479"/>
      <c r="U18" s="479"/>
    </row>
    <row r="19" ht="16.5" customHeight="1">
      <c r="A19" s="479"/>
      <c r="B19" s="479"/>
      <c r="C19" s="479"/>
      <c r="D19" s="479"/>
      <c r="E19" s="479"/>
      <c r="F19" s="479"/>
      <c r="G19" s="479"/>
      <c r="H19" s="479"/>
      <c r="I19" s="479"/>
      <c r="J19" s="479"/>
      <c r="K19" s="479"/>
      <c r="L19" s="479"/>
      <c r="M19" s="479"/>
      <c r="N19" s="479"/>
      <c r="O19" s="479"/>
      <c r="P19" s="479"/>
      <c r="Q19" s="479"/>
      <c r="R19" s="479"/>
      <c r="S19" s="479"/>
      <c r="T19" s="479"/>
      <c r="U19" s="479"/>
    </row>
    <row r="20" ht="16.5" customHeight="1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  <c r="O20" s="479"/>
      <c r="P20" s="479"/>
      <c r="Q20" s="479"/>
      <c r="R20" s="479"/>
      <c r="S20" s="479"/>
      <c r="T20" s="479"/>
      <c r="U20" s="479"/>
    </row>
    <row r="21" ht="16.5" customHeight="1">
      <c r="A21" s="479"/>
      <c r="B21" s="479"/>
      <c r="C21" s="479"/>
      <c r="D21" s="479"/>
      <c r="E21" s="479"/>
      <c r="F21" s="479"/>
      <c r="G21" s="479"/>
      <c r="H21" s="479"/>
      <c r="I21" s="479"/>
      <c r="J21" s="479"/>
      <c r="K21" s="479"/>
      <c r="L21" s="479"/>
      <c r="M21" s="479"/>
      <c r="N21" s="479"/>
      <c r="O21" s="479"/>
      <c r="P21" s="479"/>
      <c r="Q21" s="479"/>
      <c r="R21" s="479"/>
      <c r="S21" s="479"/>
      <c r="T21" s="479"/>
      <c r="U21" s="479"/>
    </row>
    <row r="22" ht="16.5" customHeight="1">
      <c r="A22" s="479"/>
      <c r="B22" s="479"/>
      <c r="C22" s="479"/>
      <c r="D22" s="479"/>
      <c r="E22" s="479"/>
      <c r="F22" s="479"/>
      <c r="G22" s="479"/>
      <c r="H22" s="479"/>
      <c r="I22" s="479"/>
      <c r="J22" s="479"/>
      <c r="K22" s="479"/>
      <c r="L22" s="479"/>
      <c r="M22" s="479"/>
      <c r="N22" s="479"/>
      <c r="O22" s="479"/>
      <c r="P22" s="479"/>
      <c r="Q22" s="479"/>
      <c r="R22" s="479"/>
      <c r="S22" s="479"/>
      <c r="T22" s="479"/>
      <c r="U22" s="479"/>
    </row>
    <row r="23" ht="16.5" customHeight="1">
      <c r="A23" s="479"/>
      <c r="B23" s="479"/>
      <c r="C23" s="479"/>
      <c r="D23" s="479"/>
      <c r="E23" s="479"/>
      <c r="F23" s="479"/>
      <c r="G23" s="479"/>
      <c r="H23" s="479"/>
      <c r="I23" s="479"/>
      <c r="J23" s="479"/>
      <c r="K23" s="479"/>
      <c r="L23" s="479"/>
      <c r="M23" s="479"/>
      <c r="N23" s="479"/>
      <c r="O23" s="479"/>
      <c r="P23" s="479"/>
      <c r="Q23" s="479"/>
      <c r="R23" s="479"/>
      <c r="S23" s="479"/>
      <c r="T23" s="479"/>
      <c r="U23" s="479"/>
    </row>
    <row r="24" ht="16.5" customHeight="1">
      <c r="A24" s="479"/>
      <c r="B24" s="479"/>
      <c r="C24" s="479"/>
      <c r="D24" s="479"/>
      <c r="E24" s="479"/>
      <c r="F24" s="479"/>
      <c r="G24" s="479"/>
      <c r="H24" s="479"/>
      <c r="I24" s="479"/>
      <c r="J24" s="479"/>
      <c r="K24" s="479"/>
      <c r="L24" s="479"/>
      <c r="M24" s="479"/>
      <c r="N24" s="479"/>
      <c r="O24" s="479"/>
      <c r="P24" s="479"/>
      <c r="Q24" s="479"/>
      <c r="R24" s="479"/>
      <c r="S24" s="479"/>
      <c r="T24" s="479"/>
      <c r="U24" s="479"/>
    </row>
    <row r="25" ht="16.5" customHeight="1">
      <c r="A25" s="479"/>
      <c r="B25" s="479"/>
      <c r="C25" s="479"/>
      <c r="D25" s="479"/>
      <c r="E25" s="479"/>
      <c r="F25" s="479"/>
      <c r="G25" s="479"/>
      <c r="H25" s="479"/>
      <c r="I25" s="479"/>
      <c r="J25" s="479"/>
      <c r="K25" s="479"/>
      <c r="L25" s="479"/>
      <c r="M25" s="479"/>
      <c r="N25" s="479"/>
      <c r="O25" s="479"/>
      <c r="P25" s="479"/>
      <c r="Q25" s="479"/>
      <c r="R25" s="479"/>
      <c r="S25" s="479"/>
      <c r="T25" s="479"/>
      <c r="U25" s="479"/>
    </row>
    <row r="26" ht="16.5" customHeight="1">
      <c r="A26" s="479"/>
      <c r="B26" s="479"/>
      <c r="C26" s="479"/>
      <c r="D26" s="479"/>
      <c r="E26" s="479"/>
      <c r="F26" s="479"/>
      <c r="G26" s="479"/>
      <c r="H26" s="479"/>
      <c r="I26" s="479"/>
      <c r="J26" s="479"/>
      <c r="K26" s="479"/>
      <c r="L26" s="479"/>
      <c r="M26" s="479"/>
      <c r="N26" s="479"/>
      <c r="O26" s="479"/>
      <c r="P26" s="479"/>
      <c r="Q26" s="479"/>
      <c r="R26" s="479"/>
      <c r="S26" s="479"/>
      <c r="T26" s="479"/>
      <c r="U26" s="479"/>
    </row>
    <row r="27" ht="16.5" customHeight="1">
      <c r="A27" s="479"/>
      <c r="B27" s="479"/>
      <c r="C27" s="479"/>
      <c r="D27" s="479"/>
      <c r="E27" s="479"/>
      <c r="F27" s="479"/>
      <c r="G27" s="479"/>
      <c r="H27" s="479"/>
      <c r="I27" s="479"/>
      <c r="J27" s="479"/>
      <c r="K27" s="479"/>
      <c r="L27" s="479"/>
      <c r="M27" s="479"/>
      <c r="N27" s="479"/>
      <c r="O27" s="479"/>
      <c r="P27" s="479"/>
      <c r="Q27" s="479"/>
      <c r="R27" s="479"/>
      <c r="S27" s="479"/>
      <c r="T27" s="479"/>
      <c r="U27" s="479"/>
    </row>
    <row r="28" ht="16.5" customHeight="1">
      <c r="A28" s="479"/>
      <c r="B28" s="479"/>
      <c r="C28" s="479"/>
      <c r="D28" s="479"/>
      <c r="E28" s="479"/>
      <c r="F28" s="479"/>
      <c r="G28" s="479"/>
      <c r="H28" s="479"/>
      <c r="I28" s="479"/>
      <c r="J28" s="479"/>
      <c r="K28" s="479"/>
      <c r="L28" s="479"/>
      <c r="M28" s="479"/>
      <c r="N28" s="479"/>
      <c r="O28" s="479"/>
      <c r="P28" s="479"/>
      <c r="Q28" s="479"/>
      <c r="R28" s="479"/>
      <c r="S28" s="479"/>
      <c r="T28" s="479"/>
      <c r="U28" s="479"/>
    </row>
    <row r="29" ht="16.5" customHeight="1">
      <c r="A29" s="479"/>
      <c r="B29" s="479"/>
      <c r="C29" s="479"/>
      <c r="D29" s="479"/>
      <c r="E29" s="479"/>
      <c r="F29" s="479"/>
      <c r="G29" s="479"/>
      <c r="H29" s="479"/>
      <c r="I29" s="479"/>
      <c r="J29" s="479"/>
      <c r="K29" s="479"/>
      <c r="L29" s="479"/>
      <c r="M29" s="479"/>
      <c r="N29" s="479"/>
      <c r="O29" s="479"/>
      <c r="P29" s="479"/>
      <c r="Q29" s="479"/>
      <c r="R29" s="479"/>
      <c r="S29" s="479"/>
      <c r="T29" s="479"/>
      <c r="U29" s="479"/>
    </row>
    <row r="30" ht="16.5" customHeight="1">
      <c r="A30" s="479"/>
      <c r="B30" s="479"/>
      <c r="C30" s="479"/>
      <c r="D30" s="479"/>
      <c r="E30" s="479"/>
      <c r="F30" s="479"/>
      <c r="G30" s="479"/>
      <c r="H30" s="479"/>
      <c r="I30" s="479"/>
      <c r="J30" s="479"/>
      <c r="K30" s="479"/>
      <c r="L30" s="479"/>
      <c r="M30" s="479"/>
      <c r="N30" s="479"/>
      <c r="O30" s="479"/>
      <c r="P30" s="479"/>
      <c r="Q30" s="479"/>
      <c r="R30" s="479"/>
      <c r="S30" s="479"/>
      <c r="T30" s="479"/>
      <c r="U30" s="479"/>
    </row>
    <row r="31" ht="16.5" customHeight="1">
      <c r="A31" s="479"/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</row>
    <row r="32" ht="16.5" customHeight="1">
      <c r="A32" s="479"/>
      <c r="B32" s="479"/>
      <c r="C32" s="479"/>
      <c r="D32" s="479"/>
      <c r="E32" s="479"/>
      <c r="F32" s="479"/>
      <c r="G32" s="479"/>
      <c r="H32" s="479"/>
      <c r="I32" s="479"/>
      <c r="J32" s="479"/>
      <c r="K32" s="479"/>
      <c r="L32" s="479"/>
      <c r="M32" s="479"/>
      <c r="N32" s="479"/>
      <c r="O32" s="479"/>
      <c r="P32" s="479"/>
      <c r="Q32" s="479"/>
      <c r="R32" s="479"/>
      <c r="S32" s="479"/>
      <c r="T32" s="479"/>
      <c r="U32" s="479"/>
    </row>
    <row r="33" ht="16.5" customHeight="1">
      <c r="A33" s="479"/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</row>
    <row r="34" ht="16.5" customHeight="1">
      <c r="A34" s="479"/>
      <c r="B34" s="479"/>
      <c r="C34" s="479"/>
      <c r="D34" s="479"/>
      <c r="E34" s="479"/>
      <c r="F34" s="479"/>
      <c r="G34" s="479"/>
      <c r="H34" s="479"/>
      <c r="I34" s="479"/>
      <c r="J34" s="479"/>
      <c r="K34" s="479"/>
      <c r="L34" s="479"/>
      <c r="M34" s="479"/>
      <c r="N34" s="479"/>
      <c r="O34" s="479"/>
      <c r="P34" s="479"/>
      <c r="Q34" s="479"/>
      <c r="R34" s="479"/>
      <c r="S34" s="479"/>
      <c r="T34" s="479"/>
      <c r="U34" s="479"/>
    </row>
    <row r="35" ht="16.5" customHeight="1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</row>
    <row r="36" ht="16.5" customHeight="1">
      <c r="A36" s="479"/>
      <c r="B36" s="479"/>
      <c r="C36" s="479"/>
      <c r="D36" s="479"/>
      <c r="E36" s="479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479"/>
      <c r="R36" s="479"/>
      <c r="S36" s="479"/>
      <c r="T36" s="479"/>
      <c r="U36" s="479"/>
    </row>
    <row r="37" ht="16.5" customHeight="1">
      <c r="A37" s="479"/>
      <c r="B37" s="479"/>
      <c r="C37" s="479"/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</row>
    <row r="38" ht="16.5" customHeight="1">
      <c r="A38" s="479"/>
      <c r="B38" s="479"/>
      <c r="C38" s="479"/>
      <c r="D38" s="479"/>
      <c r="E38" s="479"/>
      <c r="F38" s="479"/>
      <c r="G38" s="479"/>
      <c r="H38" s="479"/>
      <c r="I38" s="479"/>
      <c r="J38" s="479"/>
      <c r="K38" s="479"/>
      <c r="L38" s="479"/>
      <c r="M38" s="479"/>
      <c r="N38" s="479"/>
      <c r="O38" s="479"/>
      <c r="P38" s="479"/>
      <c r="Q38" s="479"/>
      <c r="R38" s="479"/>
      <c r="S38" s="479"/>
      <c r="T38" s="479"/>
      <c r="U38" s="479"/>
    </row>
    <row r="39" ht="16.5" customHeight="1">
      <c r="A39" s="479"/>
      <c r="B39" s="479"/>
      <c r="C39" s="479"/>
      <c r="D39" s="479"/>
      <c r="E39" s="479"/>
      <c r="F39" s="479"/>
      <c r="G39" s="479"/>
      <c r="H39" s="479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</row>
    <row r="40" ht="16.5" customHeight="1">
      <c r="A40" s="479"/>
      <c r="B40" s="479"/>
      <c r="C40" s="479"/>
      <c r="D40" s="479"/>
      <c r="E40" s="479"/>
      <c r="F40" s="479"/>
      <c r="G40" s="479"/>
      <c r="H40" s="479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</row>
    <row r="41" ht="16.5" customHeight="1">
      <c r="A41" s="479"/>
      <c r="B41" s="479"/>
      <c r="C41" s="479"/>
      <c r="D41" s="479"/>
      <c r="E41" s="479"/>
      <c r="F41" s="479"/>
      <c r="G41" s="479"/>
      <c r="H41" s="479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</row>
    <row r="42" ht="16.5" customHeight="1">
      <c r="A42" s="479"/>
      <c r="B42" s="479"/>
      <c r="C42" s="479"/>
      <c r="D42" s="479"/>
      <c r="E42" s="479"/>
      <c r="F42" s="479"/>
      <c r="G42" s="479"/>
      <c r="H42" s="479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</row>
    <row r="43" ht="16.5" customHeight="1">
      <c r="A43" s="479"/>
      <c r="B43" s="479"/>
      <c r="C43" s="479"/>
      <c r="D43" s="479"/>
      <c r="E43" s="479"/>
      <c r="F43" s="479"/>
      <c r="G43" s="479"/>
      <c r="H43" s="479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</row>
    <row r="44" ht="16.5" customHeight="1">
      <c r="A44" s="479"/>
      <c r="B44" s="479"/>
      <c r="C44" s="479"/>
      <c r="D44" s="479"/>
      <c r="E44" s="479"/>
      <c r="F44" s="479"/>
      <c r="G44" s="479"/>
      <c r="H44" s="479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</row>
    <row r="45" ht="16.5" customHeight="1">
      <c r="A45" s="479"/>
      <c r="B45" s="479"/>
      <c r="C45" s="479"/>
      <c r="D45" s="479"/>
      <c r="E45" s="479"/>
      <c r="F45" s="479"/>
      <c r="G45" s="479"/>
      <c r="H45" s="479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</row>
    <row r="46" ht="16.5" customHeight="1">
      <c r="A46" s="479"/>
      <c r="B46" s="479"/>
      <c r="C46" s="479"/>
      <c r="D46" s="479"/>
      <c r="E46" s="479"/>
      <c r="F46" s="479"/>
      <c r="G46" s="479"/>
      <c r="H46" s="479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</row>
    <row r="47" ht="16.5" customHeight="1">
      <c r="A47" s="479"/>
      <c r="B47" s="479"/>
      <c r="C47" s="479"/>
      <c r="D47" s="479"/>
      <c r="E47" s="479"/>
      <c r="F47" s="479"/>
      <c r="G47" s="479"/>
      <c r="H47" s="479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</row>
    <row r="48" ht="16.5" customHeight="1">
      <c r="A48" s="479"/>
      <c r="B48" s="479"/>
      <c r="C48" s="479"/>
      <c r="D48" s="479"/>
      <c r="E48" s="479"/>
      <c r="F48" s="479"/>
      <c r="G48" s="479"/>
      <c r="H48" s="479"/>
      <c r="I48" s="479"/>
      <c r="J48" s="479"/>
      <c r="K48" s="479"/>
      <c r="L48" s="479"/>
      <c r="M48" s="479"/>
      <c r="N48" s="479"/>
      <c r="O48" s="479"/>
      <c r="P48" s="479"/>
      <c r="Q48" s="479"/>
      <c r="R48" s="479"/>
      <c r="S48" s="479"/>
      <c r="T48" s="479"/>
      <c r="U48" s="479"/>
    </row>
    <row r="49" ht="16.5" customHeight="1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</row>
    <row r="50" ht="16.5" customHeight="1">
      <c r="A50" s="479"/>
      <c r="B50" s="479"/>
      <c r="C50" s="479"/>
      <c r="D50" s="479"/>
      <c r="E50" s="479"/>
      <c r="F50" s="479"/>
      <c r="G50" s="479"/>
      <c r="H50" s="479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</row>
    <row r="51" ht="16.5" customHeight="1">
      <c r="A51" s="479"/>
      <c r="B51" s="479"/>
      <c r="C51" s="479"/>
      <c r="D51" s="479"/>
      <c r="E51" s="479"/>
      <c r="F51" s="479"/>
      <c r="G51" s="479"/>
      <c r="H51" s="479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</row>
    <row r="52" ht="16.5" customHeight="1">
      <c r="A52" s="479"/>
      <c r="B52" s="479"/>
      <c r="C52" s="479"/>
      <c r="D52" s="479"/>
      <c r="E52" s="479"/>
      <c r="F52" s="479"/>
      <c r="G52" s="479"/>
      <c r="H52" s="479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</row>
    <row r="53" ht="16.5" customHeight="1">
      <c r="A53" s="479"/>
      <c r="B53" s="479"/>
      <c r="C53" s="479"/>
      <c r="D53" s="479"/>
      <c r="E53" s="479"/>
      <c r="F53" s="479"/>
      <c r="G53" s="479"/>
      <c r="H53" s="479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</row>
    <row r="54" ht="16.5" customHeight="1">
      <c r="A54" s="479"/>
      <c r="B54" s="479"/>
      <c r="C54" s="479"/>
      <c r="D54" s="479"/>
      <c r="E54" s="479"/>
      <c r="F54" s="479"/>
      <c r="G54" s="479"/>
      <c r="H54" s="479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</row>
    <row r="55" ht="16.5" customHeight="1">
      <c r="A55" s="479"/>
      <c r="B55" s="479"/>
      <c r="C55" s="479"/>
      <c r="D55" s="479"/>
      <c r="E55" s="479"/>
      <c r="F55" s="479"/>
      <c r="G55" s="479"/>
      <c r="H55" s="479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</row>
    <row r="56" ht="16.5" customHeight="1">
      <c r="A56" s="479"/>
      <c r="B56" s="479"/>
      <c r="C56" s="479"/>
      <c r="D56" s="479"/>
      <c r="E56" s="479"/>
      <c r="F56" s="479"/>
      <c r="G56" s="479"/>
      <c r="H56" s="479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</row>
    <row r="57" ht="16.5" customHeight="1">
      <c r="A57" s="479"/>
      <c r="B57" s="479"/>
      <c r="C57" s="479"/>
      <c r="D57" s="479"/>
      <c r="E57" s="479"/>
      <c r="F57" s="479"/>
      <c r="G57" s="479"/>
      <c r="H57" s="479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</row>
    <row r="58" ht="16.5" customHeight="1">
      <c r="A58" s="479"/>
      <c r="B58" s="479"/>
      <c r="C58" s="479"/>
      <c r="D58" s="479"/>
      <c r="E58" s="479"/>
      <c r="F58" s="479"/>
      <c r="G58" s="479"/>
      <c r="H58" s="479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</row>
    <row r="59" ht="16.5" customHeight="1">
      <c r="A59" s="479"/>
      <c r="B59" s="479"/>
      <c r="C59" s="479"/>
      <c r="D59" s="479"/>
      <c r="E59" s="479"/>
      <c r="F59" s="479"/>
      <c r="G59" s="479"/>
      <c r="H59" s="479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</row>
    <row r="60" ht="16.5" customHeight="1">
      <c r="A60" s="479"/>
      <c r="B60" s="479"/>
      <c r="C60" s="479"/>
      <c r="D60" s="479"/>
      <c r="E60" s="479"/>
      <c r="F60" s="479"/>
      <c r="G60" s="479"/>
      <c r="H60" s="479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</row>
    <row r="61" ht="16.5" customHeight="1">
      <c r="A61" s="479"/>
      <c r="B61" s="479"/>
      <c r="C61" s="479"/>
      <c r="D61" s="479"/>
      <c r="E61" s="479"/>
      <c r="F61" s="479"/>
      <c r="G61" s="479"/>
      <c r="H61" s="479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</row>
    <row r="62" ht="16.5" customHeight="1">
      <c r="A62" s="479"/>
      <c r="B62" s="479"/>
      <c r="C62" s="479"/>
      <c r="D62" s="479"/>
      <c r="E62" s="479"/>
      <c r="F62" s="479"/>
      <c r="G62" s="479"/>
      <c r="H62" s="479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</row>
    <row r="63" ht="16.5" customHeight="1">
      <c r="A63" s="479"/>
      <c r="B63" s="479"/>
      <c r="C63" s="479"/>
      <c r="D63" s="479"/>
      <c r="E63" s="479"/>
      <c r="F63" s="479"/>
      <c r="G63" s="479"/>
      <c r="H63" s="479"/>
      <c r="I63" s="479"/>
      <c r="J63" s="479"/>
      <c r="K63" s="479"/>
      <c r="L63" s="479"/>
      <c r="M63" s="479"/>
      <c r="N63" s="479"/>
      <c r="O63" s="479"/>
      <c r="P63" s="479"/>
      <c r="Q63" s="479"/>
      <c r="R63" s="479"/>
      <c r="S63" s="479"/>
      <c r="T63" s="479"/>
      <c r="U63" s="479"/>
    </row>
    <row r="64" ht="16.5" customHeight="1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  <c r="O64" s="479"/>
      <c r="P64" s="479"/>
      <c r="Q64" s="479"/>
      <c r="R64" s="479"/>
      <c r="S64" s="479"/>
      <c r="T64" s="479"/>
      <c r="U64" s="479"/>
    </row>
    <row r="65" ht="16.5" customHeight="1">
      <c r="A65" s="479"/>
      <c r="B65" s="479"/>
      <c r="C65" s="479"/>
      <c r="D65" s="479"/>
      <c r="E65" s="479"/>
      <c r="F65" s="479"/>
      <c r="G65" s="479"/>
      <c r="H65" s="479"/>
      <c r="I65" s="479"/>
      <c r="J65" s="479"/>
      <c r="K65" s="479"/>
      <c r="L65" s="479"/>
      <c r="M65" s="479"/>
      <c r="N65" s="479"/>
      <c r="O65" s="479"/>
      <c r="P65" s="479"/>
      <c r="Q65" s="479"/>
      <c r="R65" s="479"/>
      <c r="S65" s="479"/>
      <c r="T65" s="479"/>
      <c r="U65" s="479"/>
    </row>
    <row r="66" ht="16.5" customHeight="1">
      <c r="A66" s="479"/>
      <c r="B66" s="479"/>
      <c r="C66" s="479"/>
      <c r="D66" s="479"/>
      <c r="E66" s="479"/>
      <c r="F66" s="479"/>
      <c r="G66" s="479"/>
      <c r="H66" s="479"/>
      <c r="I66" s="479"/>
      <c r="J66" s="479"/>
      <c r="K66" s="479"/>
      <c r="L66" s="479"/>
      <c r="M66" s="479"/>
      <c r="N66" s="479"/>
      <c r="O66" s="479"/>
      <c r="P66" s="479"/>
      <c r="Q66" s="479"/>
      <c r="R66" s="479"/>
      <c r="S66" s="479"/>
      <c r="T66" s="479"/>
      <c r="U66" s="479"/>
    </row>
    <row r="67" ht="16.5" customHeight="1">
      <c r="A67" s="479"/>
      <c r="B67" s="479"/>
      <c r="C67" s="479"/>
      <c r="D67" s="479"/>
      <c r="E67" s="479"/>
      <c r="F67" s="479"/>
      <c r="G67" s="479"/>
      <c r="H67" s="479"/>
      <c r="I67" s="479"/>
      <c r="J67" s="479"/>
      <c r="K67" s="479"/>
      <c r="L67" s="479"/>
      <c r="M67" s="479"/>
      <c r="N67" s="479"/>
      <c r="O67" s="479"/>
      <c r="P67" s="479"/>
      <c r="Q67" s="479"/>
      <c r="R67" s="479"/>
      <c r="S67" s="479"/>
      <c r="T67" s="479"/>
      <c r="U67" s="479"/>
    </row>
    <row r="68" ht="16.5" customHeight="1">
      <c r="A68" s="479"/>
      <c r="B68" s="479"/>
      <c r="C68" s="479"/>
      <c r="D68" s="479"/>
      <c r="E68" s="479"/>
      <c r="F68" s="479"/>
      <c r="G68" s="479"/>
      <c r="H68" s="479"/>
      <c r="I68" s="479"/>
      <c r="J68" s="479"/>
      <c r="K68" s="479"/>
      <c r="L68" s="479"/>
      <c r="M68" s="479"/>
      <c r="N68" s="479"/>
      <c r="O68" s="479"/>
      <c r="P68" s="479"/>
      <c r="Q68" s="479"/>
      <c r="R68" s="479"/>
      <c r="S68" s="479"/>
      <c r="T68" s="479"/>
      <c r="U68" s="479"/>
    </row>
    <row r="69" ht="16.5" customHeight="1">
      <c r="A69" s="479"/>
      <c r="B69" s="479"/>
      <c r="C69" s="479"/>
      <c r="D69" s="479"/>
      <c r="E69" s="479"/>
      <c r="F69" s="479"/>
      <c r="G69" s="479"/>
      <c r="H69" s="479"/>
      <c r="I69" s="479"/>
      <c r="J69" s="479"/>
      <c r="K69" s="479"/>
      <c r="L69" s="479"/>
      <c r="M69" s="479"/>
      <c r="N69" s="479"/>
      <c r="O69" s="479"/>
      <c r="P69" s="479"/>
      <c r="Q69" s="479"/>
      <c r="R69" s="479"/>
      <c r="S69" s="479"/>
      <c r="T69" s="479"/>
      <c r="U69" s="479"/>
    </row>
    <row r="70" ht="16.5" customHeight="1">
      <c r="A70" s="479"/>
      <c r="B70" s="479"/>
      <c r="C70" s="479"/>
      <c r="D70" s="479"/>
      <c r="E70" s="479"/>
      <c r="F70" s="479"/>
      <c r="G70" s="479"/>
      <c r="H70" s="479"/>
      <c r="I70" s="479"/>
      <c r="J70" s="479"/>
      <c r="K70" s="479"/>
      <c r="L70" s="479"/>
      <c r="M70" s="479"/>
      <c r="N70" s="479"/>
      <c r="O70" s="479"/>
      <c r="P70" s="479"/>
      <c r="Q70" s="479"/>
      <c r="R70" s="479"/>
      <c r="S70" s="479"/>
      <c r="T70" s="479"/>
      <c r="U70" s="479"/>
    </row>
    <row r="71" ht="16.5" customHeight="1">
      <c r="A71" s="479"/>
      <c r="B71" s="479"/>
      <c r="C71" s="479"/>
      <c r="D71" s="479"/>
      <c r="E71" s="479"/>
      <c r="F71" s="479"/>
      <c r="G71" s="479"/>
      <c r="H71" s="479"/>
      <c r="I71" s="479"/>
      <c r="J71" s="479"/>
      <c r="K71" s="479"/>
      <c r="L71" s="479"/>
      <c r="M71" s="479"/>
      <c r="N71" s="479"/>
      <c r="O71" s="479"/>
      <c r="P71" s="479"/>
      <c r="Q71" s="479"/>
      <c r="R71" s="479"/>
      <c r="S71" s="479"/>
      <c r="T71" s="479"/>
      <c r="U71" s="479"/>
    </row>
    <row r="72" ht="16.5" customHeight="1">
      <c r="A72" s="479"/>
      <c r="B72" s="479"/>
      <c r="C72" s="479"/>
      <c r="D72" s="479"/>
      <c r="E72" s="479"/>
      <c r="F72" s="479"/>
      <c r="G72" s="479"/>
      <c r="H72" s="479"/>
      <c r="I72" s="479"/>
      <c r="J72" s="479"/>
      <c r="K72" s="479"/>
      <c r="L72" s="479"/>
      <c r="M72" s="479"/>
      <c r="N72" s="479"/>
      <c r="O72" s="479"/>
      <c r="P72" s="479"/>
      <c r="Q72" s="479"/>
      <c r="R72" s="479"/>
      <c r="S72" s="479"/>
      <c r="T72" s="479"/>
      <c r="U72" s="479"/>
    </row>
    <row r="73" ht="16.5" customHeight="1">
      <c r="A73" s="479"/>
      <c r="B73" s="479"/>
      <c r="C73" s="479"/>
      <c r="D73" s="479"/>
      <c r="E73" s="479"/>
      <c r="F73" s="479"/>
      <c r="G73" s="479"/>
      <c r="H73" s="479"/>
      <c r="I73" s="479"/>
      <c r="J73" s="479"/>
      <c r="K73" s="479"/>
      <c r="L73" s="479"/>
      <c r="M73" s="479"/>
      <c r="N73" s="479"/>
      <c r="O73" s="479"/>
      <c r="P73" s="479"/>
      <c r="Q73" s="479"/>
      <c r="R73" s="479"/>
      <c r="S73" s="479"/>
      <c r="T73" s="479"/>
      <c r="U73" s="479"/>
    </row>
    <row r="74" ht="16.5" customHeight="1">
      <c r="A74" s="479"/>
      <c r="B74" s="479"/>
      <c r="C74" s="479"/>
      <c r="D74" s="479"/>
      <c r="E74" s="479"/>
      <c r="F74" s="479"/>
      <c r="G74" s="479"/>
      <c r="H74" s="479"/>
      <c r="I74" s="479"/>
      <c r="J74" s="479"/>
      <c r="K74" s="479"/>
      <c r="L74" s="479"/>
      <c r="M74" s="479"/>
      <c r="N74" s="479"/>
      <c r="O74" s="479"/>
      <c r="P74" s="479"/>
      <c r="Q74" s="479"/>
      <c r="R74" s="479"/>
      <c r="S74" s="479"/>
      <c r="T74" s="479"/>
      <c r="U74" s="479"/>
    </row>
    <row r="75" ht="16.5" customHeight="1">
      <c r="A75" s="479"/>
      <c r="B75" s="479"/>
      <c r="C75" s="479"/>
      <c r="D75" s="479"/>
      <c r="E75" s="479"/>
      <c r="F75" s="479"/>
      <c r="G75" s="479"/>
      <c r="H75" s="479"/>
      <c r="I75" s="479"/>
      <c r="J75" s="479"/>
      <c r="K75" s="479"/>
      <c r="L75" s="479"/>
      <c r="M75" s="479"/>
      <c r="N75" s="479"/>
      <c r="O75" s="479"/>
      <c r="P75" s="479"/>
      <c r="Q75" s="479"/>
      <c r="R75" s="479"/>
      <c r="S75" s="479"/>
      <c r="T75" s="479"/>
      <c r="U75" s="479"/>
    </row>
    <row r="76" ht="16.5" customHeight="1">
      <c r="A76" s="479"/>
      <c r="B76" s="479"/>
      <c r="C76" s="479"/>
      <c r="D76" s="479"/>
      <c r="E76" s="479"/>
      <c r="F76" s="479"/>
      <c r="G76" s="479"/>
      <c r="H76" s="479"/>
      <c r="I76" s="479"/>
      <c r="J76" s="479"/>
      <c r="K76" s="479"/>
      <c r="L76" s="479"/>
      <c r="M76" s="479"/>
      <c r="N76" s="479"/>
      <c r="O76" s="479"/>
      <c r="P76" s="479"/>
      <c r="Q76" s="479"/>
      <c r="R76" s="479"/>
      <c r="S76" s="479"/>
      <c r="T76" s="479"/>
      <c r="U76" s="479"/>
    </row>
    <row r="77" ht="16.5" customHeight="1">
      <c r="A77" s="479"/>
      <c r="B77" s="479"/>
      <c r="C77" s="479"/>
      <c r="D77" s="479"/>
      <c r="E77" s="479"/>
      <c r="F77" s="479"/>
      <c r="G77" s="479"/>
      <c r="H77" s="479"/>
      <c r="I77" s="479"/>
      <c r="J77" s="479"/>
      <c r="K77" s="479"/>
      <c r="L77" s="479"/>
      <c r="M77" s="479"/>
      <c r="N77" s="479"/>
      <c r="O77" s="479"/>
      <c r="P77" s="479"/>
      <c r="Q77" s="479"/>
      <c r="R77" s="479"/>
      <c r="S77" s="479"/>
      <c r="T77" s="479"/>
      <c r="U77" s="479"/>
    </row>
    <row r="78" ht="16.5" customHeight="1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  <c r="O78" s="479"/>
      <c r="P78" s="479"/>
      <c r="Q78" s="479"/>
      <c r="R78" s="479"/>
      <c r="S78" s="479"/>
      <c r="T78" s="479"/>
      <c r="U78" s="479"/>
    </row>
    <row r="79" ht="16.5" customHeight="1">
      <c r="A79" s="479"/>
      <c r="B79" s="479"/>
      <c r="C79" s="479"/>
      <c r="D79" s="479"/>
      <c r="E79" s="479"/>
      <c r="F79" s="479"/>
      <c r="G79" s="479"/>
      <c r="H79" s="479"/>
      <c r="I79" s="479"/>
      <c r="J79" s="479"/>
      <c r="K79" s="479"/>
      <c r="L79" s="479"/>
      <c r="M79" s="479"/>
      <c r="N79" s="479"/>
      <c r="O79" s="479"/>
      <c r="P79" s="479"/>
      <c r="Q79" s="479"/>
      <c r="R79" s="479"/>
      <c r="S79" s="479"/>
      <c r="T79" s="479"/>
      <c r="U79" s="479"/>
    </row>
    <row r="80" ht="16.5" customHeight="1">
      <c r="A80" s="479"/>
      <c r="B80" s="479"/>
      <c r="C80" s="479"/>
      <c r="D80" s="479"/>
      <c r="E80" s="479"/>
      <c r="F80" s="479"/>
      <c r="G80" s="479"/>
      <c r="H80" s="479"/>
      <c r="I80" s="479"/>
      <c r="J80" s="479"/>
      <c r="K80" s="479"/>
      <c r="L80" s="479"/>
      <c r="M80" s="479"/>
      <c r="N80" s="479"/>
      <c r="O80" s="479"/>
      <c r="P80" s="479"/>
      <c r="Q80" s="479"/>
      <c r="R80" s="479"/>
      <c r="S80" s="479"/>
      <c r="T80" s="479"/>
      <c r="U80" s="479"/>
    </row>
    <row r="81" ht="16.5" customHeight="1">
      <c r="A81" s="479"/>
      <c r="B81" s="479"/>
      <c r="C81" s="479"/>
      <c r="D81" s="479"/>
      <c r="E81" s="479"/>
      <c r="F81" s="479"/>
      <c r="G81" s="479"/>
      <c r="H81" s="479"/>
      <c r="I81" s="479"/>
      <c r="J81" s="479"/>
      <c r="K81" s="479"/>
      <c r="L81" s="479"/>
      <c r="M81" s="479"/>
      <c r="N81" s="479"/>
      <c r="O81" s="479"/>
      <c r="P81" s="479"/>
      <c r="Q81" s="479"/>
      <c r="R81" s="479"/>
      <c r="S81" s="479"/>
      <c r="T81" s="479"/>
      <c r="U81" s="479"/>
    </row>
    <row r="82" ht="16.5" customHeight="1">
      <c r="A82" s="479"/>
      <c r="B82" s="479"/>
      <c r="C82" s="479"/>
      <c r="D82" s="479"/>
      <c r="E82" s="479"/>
      <c r="F82" s="479"/>
      <c r="G82" s="479"/>
      <c r="H82" s="479"/>
      <c r="I82" s="479"/>
      <c r="J82" s="479"/>
      <c r="K82" s="479"/>
      <c r="L82" s="479"/>
      <c r="M82" s="479"/>
      <c r="N82" s="479"/>
      <c r="O82" s="479"/>
      <c r="P82" s="479"/>
      <c r="Q82" s="479"/>
      <c r="R82" s="479"/>
      <c r="S82" s="479"/>
      <c r="T82" s="479"/>
      <c r="U82" s="479"/>
    </row>
    <row r="83" ht="16.5" customHeight="1">
      <c r="A83" s="479"/>
      <c r="B83" s="479"/>
      <c r="C83" s="479"/>
      <c r="D83" s="479"/>
      <c r="E83" s="479"/>
      <c r="F83" s="479"/>
      <c r="G83" s="479"/>
      <c r="H83" s="479"/>
      <c r="I83" s="479"/>
      <c r="J83" s="479"/>
      <c r="K83" s="479"/>
      <c r="L83" s="479"/>
      <c r="M83" s="479"/>
      <c r="N83" s="479"/>
      <c r="O83" s="479"/>
      <c r="P83" s="479"/>
      <c r="Q83" s="479"/>
      <c r="R83" s="479"/>
      <c r="S83" s="479"/>
      <c r="T83" s="479"/>
      <c r="U83" s="479"/>
    </row>
    <row r="84" ht="16.5" customHeight="1">
      <c r="A84" s="479"/>
      <c r="B84" s="479"/>
      <c r="C84" s="479"/>
      <c r="D84" s="479"/>
      <c r="E84" s="479"/>
      <c r="F84" s="479"/>
      <c r="G84" s="479"/>
      <c r="H84" s="479"/>
      <c r="I84" s="479"/>
      <c r="J84" s="479"/>
      <c r="K84" s="479"/>
      <c r="L84" s="479"/>
      <c r="M84" s="479"/>
      <c r="N84" s="479"/>
      <c r="O84" s="479"/>
      <c r="P84" s="479"/>
      <c r="Q84" s="479"/>
      <c r="R84" s="479"/>
      <c r="S84" s="479"/>
      <c r="T84" s="479"/>
      <c r="U84" s="479"/>
    </row>
    <row r="85" ht="16.5" customHeight="1">
      <c r="A85" s="479"/>
      <c r="B85" s="479"/>
      <c r="C85" s="479"/>
      <c r="D85" s="479"/>
      <c r="E85" s="479"/>
      <c r="F85" s="479"/>
      <c r="G85" s="479"/>
      <c r="H85" s="479"/>
      <c r="I85" s="479"/>
      <c r="J85" s="479"/>
      <c r="K85" s="479"/>
      <c r="L85" s="479"/>
      <c r="M85" s="479"/>
      <c r="N85" s="479"/>
      <c r="O85" s="479"/>
      <c r="P85" s="479"/>
      <c r="Q85" s="479"/>
      <c r="R85" s="479"/>
      <c r="S85" s="479"/>
      <c r="T85" s="479"/>
      <c r="U85" s="479"/>
    </row>
    <row r="86" ht="16.5" customHeight="1">
      <c r="A86" s="479"/>
      <c r="B86" s="479"/>
      <c r="C86" s="479"/>
      <c r="D86" s="479"/>
      <c r="E86" s="479"/>
      <c r="F86" s="479"/>
      <c r="G86" s="479"/>
      <c r="H86" s="479"/>
      <c r="I86" s="479"/>
      <c r="J86" s="479"/>
      <c r="K86" s="479"/>
      <c r="L86" s="479"/>
      <c r="M86" s="479"/>
      <c r="N86" s="479"/>
      <c r="O86" s="479"/>
      <c r="P86" s="479"/>
      <c r="Q86" s="479"/>
      <c r="R86" s="479"/>
      <c r="S86" s="479"/>
      <c r="T86" s="479"/>
      <c r="U86" s="479"/>
    </row>
    <row r="87" ht="16.5" customHeight="1">
      <c r="A87" s="479"/>
      <c r="B87" s="479"/>
      <c r="C87" s="479"/>
      <c r="D87" s="479"/>
      <c r="E87" s="479"/>
      <c r="F87" s="479"/>
      <c r="G87" s="479"/>
      <c r="H87" s="479"/>
      <c r="I87" s="479"/>
      <c r="J87" s="479"/>
      <c r="K87" s="479"/>
      <c r="L87" s="479"/>
      <c r="M87" s="479"/>
      <c r="N87" s="479"/>
      <c r="O87" s="479"/>
      <c r="P87" s="479"/>
      <c r="Q87" s="479"/>
      <c r="R87" s="479"/>
      <c r="S87" s="479"/>
      <c r="T87" s="479"/>
      <c r="U87" s="479"/>
    </row>
    <row r="88" ht="16.5" customHeight="1">
      <c r="A88" s="479"/>
      <c r="B88" s="479"/>
      <c r="C88" s="479"/>
      <c r="D88" s="479"/>
      <c r="E88" s="479"/>
      <c r="F88" s="479"/>
      <c r="G88" s="479"/>
      <c r="H88" s="479"/>
      <c r="I88" s="479"/>
      <c r="J88" s="479"/>
      <c r="K88" s="479"/>
      <c r="L88" s="479"/>
      <c r="M88" s="479"/>
      <c r="N88" s="479"/>
      <c r="O88" s="479"/>
      <c r="P88" s="479"/>
      <c r="Q88" s="479"/>
      <c r="R88" s="479"/>
      <c r="S88" s="479"/>
      <c r="T88" s="479"/>
      <c r="U88" s="479"/>
    </row>
    <row r="89" ht="16.5" customHeight="1">
      <c r="A89" s="479"/>
      <c r="B89" s="479"/>
      <c r="C89" s="479"/>
      <c r="D89" s="479"/>
      <c r="E89" s="479"/>
      <c r="F89" s="479"/>
      <c r="G89" s="479"/>
      <c r="H89" s="479"/>
      <c r="I89" s="479"/>
      <c r="J89" s="479"/>
      <c r="K89" s="479"/>
      <c r="L89" s="479"/>
      <c r="M89" s="479"/>
      <c r="N89" s="479"/>
      <c r="O89" s="479"/>
      <c r="P89" s="479"/>
      <c r="Q89" s="479"/>
      <c r="R89" s="479"/>
      <c r="S89" s="479"/>
      <c r="T89" s="479"/>
      <c r="U89" s="479"/>
    </row>
    <row r="90" ht="16.5" customHeight="1">
      <c r="A90" s="479"/>
      <c r="B90" s="479"/>
      <c r="C90" s="479"/>
      <c r="D90" s="479"/>
      <c r="E90" s="479"/>
      <c r="F90" s="479"/>
      <c r="G90" s="479"/>
      <c r="H90" s="479"/>
      <c r="I90" s="479"/>
      <c r="J90" s="479"/>
      <c r="K90" s="479"/>
      <c r="L90" s="479"/>
      <c r="M90" s="479"/>
      <c r="N90" s="479"/>
      <c r="O90" s="479"/>
      <c r="P90" s="479"/>
      <c r="Q90" s="479"/>
      <c r="R90" s="479"/>
      <c r="S90" s="479"/>
      <c r="T90" s="479"/>
      <c r="U90" s="479"/>
    </row>
    <row r="91" ht="16.5" customHeight="1">
      <c r="A91" s="479"/>
      <c r="B91" s="479"/>
      <c r="C91" s="479"/>
      <c r="D91" s="479"/>
      <c r="E91" s="479"/>
      <c r="F91" s="479"/>
      <c r="G91" s="479"/>
      <c r="H91" s="479"/>
      <c r="I91" s="479"/>
      <c r="J91" s="479"/>
      <c r="K91" s="479"/>
      <c r="L91" s="479"/>
      <c r="M91" s="479"/>
      <c r="N91" s="479"/>
      <c r="O91" s="479"/>
      <c r="P91" s="479"/>
      <c r="Q91" s="479"/>
      <c r="R91" s="479"/>
      <c r="S91" s="479"/>
      <c r="T91" s="479"/>
      <c r="U91" s="479"/>
    </row>
    <row r="92" ht="16.5" customHeight="1">
      <c r="A92" s="479"/>
      <c r="B92" s="479"/>
      <c r="C92" s="479"/>
      <c r="D92" s="479"/>
      <c r="E92" s="479"/>
      <c r="F92" s="479"/>
      <c r="G92" s="479"/>
      <c r="H92" s="479"/>
      <c r="I92" s="479"/>
      <c r="J92" s="479"/>
      <c r="K92" s="479"/>
      <c r="L92" s="479"/>
      <c r="M92" s="479"/>
      <c r="N92" s="479"/>
      <c r="O92" s="479"/>
      <c r="P92" s="479"/>
      <c r="Q92" s="479"/>
      <c r="R92" s="479"/>
      <c r="S92" s="479"/>
      <c r="T92" s="479"/>
      <c r="U92" s="479"/>
    </row>
    <row r="93" ht="16.5" customHeight="1">
      <c r="A93" s="479"/>
      <c r="B93" s="479"/>
      <c r="C93" s="479"/>
      <c r="D93" s="479"/>
      <c r="E93" s="479"/>
      <c r="F93" s="479"/>
      <c r="G93" s="479"/>
      <c r="H93" s="479"/>
      <c r="I93" s="479"/>
      <c r="J93" s="479"/>
      <c r="K93" s="479"/>
      <c r="L93" s="479"/>
      <c r="M93" s="479"/>
      <c r="N93" s="479"/>
      <c r="O93" s="479"/>
      <c r="P93" s="479"/>
      <c r="Q93" s="479"/>
      <c r="R93" s="479"/>
      <c r="S93" s="479"/>
      <c r="T93" s="479"/>
      <c r="U93" s="479"/>
    </row>
    <row r="94" ht="16.5" customHeight="1">
      <c r="A94" s="479"/>
      <c r="B94" s="479"/>
      <c r="C94" s="479"/>
      <c r="D94" s="479"/>
      <c r="E94" s="479"/>
      <c r="F94" s="479"/>
      <c r="G94" s="479"/>
      <c r="H94" s="479"/>
      <c r="I94" s="479"/>
      <c r="J94" s="479"/>
      <c r="K94" s="479"/>
      <c r="L94" s="479"/>
      <c r="M94" s="479"/>
      <c r="N94" s="479"/>
      <c r="O94" s="479"/>
      <c r="P94" s="479"/>
      <c r="Q94" s="479"/>
      <c r="R94" s="479"/>
      <c r="S94" s="479"/>
      <c r="T94" s="479"/>
      <c r="U94" s="479"/>
    </row>
    <row r="95" ht="16.5" customHeight="1">
      <c r="A95" s="479"/>
      <c r="B95" s="479"/>
      <c r="C95" s="479"/>
      <c r="D95" s="479"/>
      <c r="E95" s="479"/>
      <c r="F95" s="479"/>
      <c r="G95" s="479"/>
      <c r="H95" s="479"/>
      <c r="I95" s="479"/>
      <c r="J95" s="479"/>
      <c r="K95" s="479"/>
      <c r="L95" s="479"/>
      <c r="M95" s="479"/>
      <c r="N95" s="479"/>
      <c r="O95" s="479"/>
      <c r="P95" s="479"/>
      <c r="Q95" s="479"/>
      <c r="R95" s="479"/>
      <c r="S95" s="479"/>
      <c r="T95" s="479"/>
      <c r="U95" s="479"/>
    </row>
    <row r="96" ht="16.5" customHeight="1">
      <c r="A96" s="479"/>
      <c r="B96" s="479"/>
      <c r="C96" s="479"/>
      <c r="D96" s="479"/>
      <c r="E96" s="479"/>
      <c r="F96" s="479"/>
      <c r="G96" s="479"/>
      <c r="H96" s="479"/>
      <c r="I96" s="479"/>
      <c r="J96" s="479"/>
      <c r="K96" s="479"/>
      <c r="L96" s="479"/>
      <c r="M96" s="479"/>
      <c r="N96" s="479"/>
      <c r="O96" s="479"/>
      <c r="P96" s="479"/>
      <c r="Q96" s="479"/>
      <c r="R96" s="479"/>
      <c r="S96" s="479"/>
      <c r="T96" s="479"/>
      <c r="U96" s="479"/>
    </row>
    <row r="97" ht="16.5" customHeight="1">
      <c r="A97" s="479"/>
      <c r="B97" s="479"/>
      <c r="C97" s="479"/>
      <c r="D97" s="479"/>
      <c r="E97" s="479"/>
      <c r="F97" s="479"/>
      <c r="G97" s="479"/>
      <c r="H97" s="479"/>
      <c r="I97" s="479"/>
      <c r="J97" s="479"/>
      <c r="K97" s="479"/>
      <c r="L97" s="479"/>
      <c r="M97" s="479"/>
      <c r="N97" s="479"/>
      <c r="O97" s="479"/>
      <c r="P97" s="479"/>
      <c r="Q97" s="479"/>
      <c r="R97" s="479"/>
      <c r="S97" s="479"/>
      <c r="T97" s="479"/>
      <c r="U97" s="479"/>
    </row>
    <row r="98" ht="16.5" customHeight="1">
      <c r="A98" s="479"/>
      <c r="B98" s="479"/>
      <c r="C98" s="479"/>
      <c r="D98" s="479"/>
      <c r="E98" s="479"/>
      <c r="F98" s="479"/>
      <c r="G98" s="479"/>
      <c r="H98" s="479"/>
      <c r="I98" s="479"/>
      <c r="J98" s="479"/>
      <c r="K98" s="479"/>
      <c r="L98" s="479"/>
      <c r="M98" s="479"/>
      <c r="N98" s="479"/>
      <c r="O98" s="479"/>
      <c r="P98" s="479"/>
      <c r="Q98" s="479"/>
      <c r="R98" s="479"/>
      <c r="S98" s="479"/>
      <c r="T98" s="479"/>
      <c r="U98" s="479"/>
    </row>
    <row r="99" ht="16.5" customHeight="1">
      <c r="A99" s="479"/>
      <c r="B99" s="479"/>
      <c r="C99" s="479"/>
      <c r="D99" s="479"/>
      <c r="E99" s="479"/>
      <c r="F99" s="479"/>
      <c r="G99" s="479"/>
      <c r="H99" s="479"/>
      <c r="I99" s="479"/>
      <c r="J99" s="479"/>
      <c r="K99" s="479"/>
      <c r="L99" s="479"/>
      <c r="M99" s="479"/>
      <c r="N99" s="479"/>
      <c r="O99" s="479"/>
      <c r="P99" s="479"/>
      <c r="Q99" s="479"/>
      <c r="R99" s="479"/>
      <c r="S99" s="479"/>
      <c r="T99" s="479"/>
      <c r="U99" s="479"/>
    </row>
    <row r="100" ht="16.5" customHeight="1">
      <c r="A100" s="479"/>
      <c r="B100" s="479"/>
      <c r="C100" s="479"/>
      <c r="D100" s="479"/>
      <c r="E100" s="479"/>
      <c r="F100" s="479"/>
      <c r="G100" s="479"/>
      <c r="H100" s="479"/>
      <c r="I100" s="479"/>
      <c r="J100" s="479"/>
      <c r="K100" s="479"/>
      <c r="L100" s="479"/>
      <c r="M100" s="479"/>
      <c r="N100" s="479"/>
      <c r="O100" s="479"/>
      <c r="P100" s="479"/>
      <c r="Q100" s="479"/>
      <c r="R100" s="479"/>
      <c r="S100" s="479"/>
      <c r="T100" s="479"/>
      <c r="U100" s="479"/>
    </row>
    <row r="101" ht="16.5" customHeight="1">
      <c r="A101" s="479"/>
      <c r="B101" s="479"/>
      <c r="C101" s="479"/>
      <c r="D101" s="479"/>
      <c r="E101" s="479"/>
      <c r="F101" s="479"/>
      <c r="G101" s="479"/>
      <c r="H101" s="479"/>
      <c r="I101" s="479"/>
      <c r="J101" s="479"/>
      <c r="K101" s="479"/>
      <c r="L101" s="479"/>
      <c r="M101" s="479"/>
      <c r="N101" s="479"/>
      <c r="O101" s="479"/>
      <c r="P101" s="479"/>
      <c r="Q101" s="479"/>
      <c r="R101" s="479"/>
      <c r="S101" s="479"/>
      <c r="T101" s="479"/>
      <c r="U101" s="479"/>
    </row>
    <row r="102" ht="16.5" customHeight="1">
      <c r="A102" s="479"/>
      <c r="B102" s="479"/>
      <c r="C102" s="479"/>
      <c r="D102" s="479"/>
      <c r="E102" s="479"/>
      <c r="F102" s="479"/>
      <c r="G102" s="479"/>
      <c r="H102" s="479"/>
      <c r="I102" s="479"/>
      <c r="J102" s="479"/>
      <c r="K102" s="479"/>
      <c r="L102" s="479"/>
      <c r="M102" s="479"/>
      <c r="N102" s="479"/>
      <c r="O102" s="479"/>
      <c r="P102" s="479"/>
      <c r="Q102" s="479"/>
      <c r="R102" s="479"/>
      <c r="S102" s="479"/>
      <c r="T102" s="479"/>
      <c r="U102" s="479"/>
    </row>
    <row r="103" ht="16.5" customHeight="1">
      <c r="A103" s="479"/>
      <c r="B103" s="479"/>
      <c r="C103" s="479"/>
      <c r="D103" s="479"/>
      <c r="E103" s="479"/>
      <c r="F103" s="479"/>
      <c r="G103" s="479"/>
      <c r="H103" s="479"/>
      <c r="I103" s="479"/>
      <c r="J103" s="479"/>
      <c r="K103" s="479"/>
      <c r="L103" s="479"/>
      <c r="M103" s="479"/>
      <c r="N103" s="479"/>
      <c r="O103" s="479"/>
      <c r="P103" s="479"/>
      <c r="Q103" s="479"/>
      <c r="R103" s="479"/>
      <c r="S103" s="479"/>
      <c r="T103" s="479"/>
      <c r="U103" s="479"/>
    </row>
    <row r="104" ht="16.5" customHeight="1">
      <c r="A104" s="479"/>
      <c r="B104" s="479"/>
      <c r="C104" s="479"/>
      <c r="D104" s="479"/>
      <c r="E104" s="479"/>
      <c r="F104" s="479"/>
      <c r="G104" s="479"/>
      <c r="H104" s="479"/>
      <c r="I104" s="479"/>
      <c r="J104" s="479"/>
      <c r="K104" s="479"/>
      <c r="L104" s="479"/>
      <c r="M104" s="479"/>
      <c r="N104" s="479"/>
      <c r="O104" s="479"/>
      <c r="P104" s="479"/>
      <c r="Q104" s="479"/>
      <c r="R104" s="479"/>
      <c r="S104" s="479"/>
      <c r="T104" s="479"/>
      <c r="U104" s="479"/>
    </row>
    <row r="105" ht="16.5" customHeight="1">
      <c r="A105" s="479"/>
      <c r="B105" s="479"/>
      <c r="C105" s="479"/>
      <c r="D105" s="479"/>
      <c r="E105" s="479"/>
      <c r="F105" s="479"/>
      <c r="G105" s="479"/>
      <c r="H105" s="479"/>
      <c r="I105" s="479"/>
      <c r="J105" s="479"/>
      <c r="K105" s="479"/>
      <c r="L105" s="479"/>
      <c r="M105" s="479"/>
      <c r="N105" s="479"/>
      <c r="O105" s="479"/>
      <c r="P105" s="479"/>
      <c r="Q105" s="479"/>
      <c r="R105" s="479"/>
      <c r="S105" s="479"/>
      <c r="T105" s="479"/>
      <c r="U105" s="479"/>
    </row>
    <row r="106" ht="16.5" customHeight="1">
      <c r="A106" s="479"/>
      <c r="B106" s="479"/>
      <c r="C106" s="479"/>
      <c r="D106" s="479"/>
      <c r="E106" s="479"/>
      <c r="F106" s="479"/>
      <c r="G106" s="479"/>
      <c r="H106" s="479"/>
      <c r="I106" s="479"/>
      <c r="J106" s="479"/>
      <c r="K106" s="479"/>
      <c r="L106" s="479"/>
      <c r="M106" s="479"/>
      <c r="N106" s="479"/>
      <c r="O106" s="479"/>
      <c r="P106" s="479"/>
      <c r="Q106" s="479"/>
      <c r="R106" s="479"/>
      <c r="S106" s="479"/>
      <c r="T106" s="479"/>
      <c r="U106" s="479"/>
    </row>
    <row r="107" ht="16.5" customHeight="1">
      <c r="A107" s="479"/>
      <c r="B107" s="479"/>
      <c r="C107" s="479"/>
      <c r="D107" s="479"/>
      <c r="E107" s="479"/>
      <c r="F107" s="479"/>
      <c r="G107" s="479"/>
      <c r="H107" s="479"/>
      <c r="I107" s="479"/>
      <c r="J107" s="479"/>
      <c r="K107" s="479"/>
      <c r="L107" s="479"/>
      <c r="M107" s="479"/>
      <c r="N107" s="479"/>
      <c r="O107" s="479"/>
      <c r="P107" s="479"/>
      <c r="Q107" s="479"/>
      <c r="R107" s="479"/>
      <c r="S107" s="479"/>
      <c r="T107" s="479"/>
      <c r="U107" s="479"/>
    </row>
    <row r="108" ht="16.5" customHeight="1">
      <c r="A108" s="479"/>
      <c r="B108" s="479"/>
      <c r="C108" s="479"/>
      <c r="D108" s="479"/>
      <c r="E108" s="479"/>
      <c r="F108" s="479"/>
      <c r="G108" s="479"/>
      <c r="H108" s="479"/>
      <c r="I108" s="479"/>
      <c r="J108" s="479"/>
      <c r="K108" s="479"/>
      <c r="L108" s="479"/>
      <c r="M108" s="479"/>
      <c r="N108" s="479"/>
      <c r="O108" s="479"/>
      <c r="P108" s="479"/>
      <c r="Q108" s="479"/>
      <c r="R108" s="479"/>
      <c r="S108" s="479"/>
      <c r="T108" s="479"/>
      <c r="U108" s="479"/>
    </row>
    <row r="109" ht="16.5" customHeight="1">
      <c r="A109" s="479"/>
      <c r="B109" s="479"/>
      <c r="C109" s="479"/>
      <c r="D109" s="479"/>
      <c r="E109" s="479"/>
      <c r="F109" s="479"/>
      <c r="G109" s="479"/>
      <c r="H109" s="479"/>
      <c r="I109" s="479"/>
      <c r="J109" s="479"/>
      <c r="K109" s="479"/>
      <c r="L109" s="479"/>
      <c r="M109" s="479"/>
      <c r="N109" s="479"/>
      <c r="O109" s="479"/>
      <c r="P109" s="479"/>
      <c r="Q109" s="479"/>
      <c r="R109" s="479"/>
      <c r="S109" s="479"/>
      <c r="T109" s="479"/>
      <c r="U109" s="479"/>
    </row>
    <row r="110" ht="16.5" customHeight="1">
      <c r="A110" s="479"/>
      <c r="B110" s="479"/>
      <c r="C110" s="479"/>
      <c r="D110" s="479"/>
      <c r="E110" s="479"/>
      <c r="F110" s="479"/>
      <c r="G110" s="479"/>
      <c r="H110" s="479"/>
      <c r="I110" s="479"/>
      <c r="J110" s="479"/>
      <c r="K110" s="479"/>
      <c r="L110" s="479"/>
      <c r="M110" s="479"/>
      <c r="N110" s="479"/>
      <c r="O110" s="479"/>
      <c r="P110" s="479"/>
      <c r="Q110" s="479"/>
      <c r="R110" s="479"/>
      <c r="S110" s="479"/>
      <c r="T110" s="479"/>
      <c r="U110" s="479"/>
    </row>
    <row r="111" ht="16.5" customHeight="1">
      <c r="A111" s="479"/>
      <c r="B111" s="479"/>
      <c r="C111" s="479"/>
      <c r="D111" s="479"/>
      <c r="E111" s="479"/>
      <c r="F111" s="479"/>
      <c r="G111" s="479"/>
      <c r="H111" s="479"/>
      <c r="I111" s="479"/>
      <c r="J111" s="479"/>
      <c r="K111" s="479"/>
      <c r="L111" s="479"/>
      <c r="M111" s="479"/>
      <c r="N111" s="479"/>
      <c r="O111" s="479"/>
      <c r="P111" s="479"/>
      <c r="Q111" s="479"/>
      <c r="R111" s="479"/>
      <c r="S111" s="479"/>
      <c r="T111" s="479"/>
      <c r="U111" s="479"/>
    </row>
    <row r="112" ht="16.5" customHeight="1">
      <c r="A112" s="479"/>
      <c r="B112" s="479"/>
      <c r="C112" s="479"/>
      <c r="D112" s="479"/>
      <c r="E112" s="479"/>
      <c r="F112" s="479"/>
      <c r="G112" s="479"/>
      <c r="H112" s="479"/>
      <c r="I112" s="479"/>
      <c r="J112" s="479"/>
      <c r="K112" s="479"/>
      <c r="L112" s="479"/>
      <c r="M112" s="479"/>
      <c r="N112" s="479"/>
      <c r="O112" s="479"/>
      <c r="P112" s="479"/>
      <c r="Q112" s="479"/>
      <c r="R112" s="479"/>
      <c r="S112" s="479"/>
      <c r="T112" s="479"/>
      <c r="U112" s="479"/>
    </row>
    <row r="113" ht="16.5" customHeight="1">
      <c r="A113" s="479"/>
      <c r="B113" s="479"/>
      <c r="C113" s="479"/>
      <c r="D113" s="479"/>
      <c r="E113" s="479"/>
      <c r="F113" s="479"/>
      <c r="G113" s="479"/>
      <c r="H113" s="479"/>
      <c r="I113" s="479"/>
      <c r="J113" s="479"/>
      <c r="K113" s="479"/>
      <c r="L113" s="479"/>
      <c r="M113" s="479"/>
      <c r="N113" s="479"/>
      <c r="O113" s="479"/>
      <c r="P113" s="479"/>
      <c r="Q113" s="479"/>
      <c r="R113" s="479"/>
      <c r="S113" s="479"/>
      <c r="T113" s="479"/>
      <c r="U113" s="479"/>
    </row>
    <row r="114" ht="16.5" customHeight="1">
      <c r="A114" s="479"/>
      <c r="B114" s="479"/>
      <c r="C114" s="479"/>
      <c r="D114" s="479"/>
      <c r="E114" s="479"/>
      <c r="F114" s="479"/>
      <c r="G114" s="479"/>
      <c r="H114" s="479"/>
      <c r="I114" s="479"/>
      <c r="J114" s="479"/>
      <c r="K114" s="479"/>
      <c r="L114" s="479"/>
      <c r="M114" s="479"/>
      <c r="N114" s="479"/>
      <c r="O114" s="479"/>
      <c r="P114" s="479"/>
      <c r="Q114" s="479"/>
      <c r="R114" s="479"/>
      <c r="S114" s="479"/>
      <c r="T114" s="479"/>
      <c r="U114" s="479"/>
    </row>
    <row r="115" ht="16.5" customHeight="1">
      <c r="A115" s="479"/>
      <c r="B115" s="479"/>
      <c r="C115" s="479"/>
      <c r="D115" s="479"/>
      <c r="E115" s="479"/>
      <c r="F115" s="479"/>
      <c r="G115" s="479"/>
      <c r="H115" s="479"/>
      <c r="I115" s="479"/>
      <c r="J115" s="479"/>
      <c r="K115" s="479"/>
      <c r="L115" s="479"/>
      <c r="M115" s="479"/>
      <c r="N115" s="479"/>
      <c r="O115" s="479"/>
      <c r="P115" s="479"/>
      <c r="Q115" s="479"/>
      <c r="R115" s="479"/>
      <c r="S115" s="479"/>
      <c r="T115" s="479"/>
      <c r="U115" s="479"/>
    </row>
    <row r="116" ht="16.5" customHeight="1">
      <c r="A116" s="479"/>
      <c r="B116" s="479"/>
      <c r="C116" s="479"/>
      <c r="D116" s="479"/>
      <c r="E116" s="479"/>
      <c r="F116" s="479"/>
      <c r="G116" s="479"/>
      <c r="H116" s="479"/>
      <c r="I116" s="479"/>
      <c r="J116" s="479"/>
      <c r="K116" s="479"/>
      <c r="L116" s="479"/>
      <c r="M116" s="479"/>
      <c r="N116" s="479"/>
      <c r="O116" s="479"/>
      <c r="P116" s="479"/>
      <c r="Q116" s="479"/>
      <c r="R116" s="479"/>
      <c r="S116" s="479"/>
      <c r="T116" s="479"/>
      <c r="U116" s="479"/>
    </row>
    <row r="117" ht="16.5" customHeight="1">
      <c r="A117" s="479"/>
      <c r="B117" s="479"/>
      <c r="C117" s="479"/>
      <c r="D117" s="479"/>
      <c r="E117" s="479"/>
      <c r="F117" s="479"/>
      <c r="G117" s="479"/>
      <c r="H117" s="479"/>
      <c r="I117" s="479"/>
      <c r="J117" s="479"/>
      <c r="K117" s="479"/>
      <c r="L117" s="479"/>
      <c r="M117" s="479"/>
      <c r="N117" s="479"/>
      <c r="O117" s="479"/>
      <c r="P117" s="479"/>
      <c r="Q117" s="479"/>
      <c r="R117" s="479"/>
      <c r="S117" s="479"/>
      <c r="T117" s="479"/>
      <c r="U117" s="479"/>
    </row>
    <row r="118" ht="16.5" customHeight="1">
      <c r="A118" s="479"/>
      <c r="B118" s="479"/>
      <c r="C118" s="479"/>
      <c r="D118" s="479"/>
      <c r="E118" s="479"/>
      <c r="F118" s="479"/>
      <c r="G118" s="479"/>
      <c r="H118" s="479"/>
      <c r="I118" s="479"/>
      <c r="J118" s="479"/>
      <c r="K118" s="479"/>
      <c r="L118" s="479"/>
      <c r="M118" s="479"/>
      <c r="N118" s="479"/>
      <c r="O118" s="479"/>
      <c r="P118" s="479"/>
      <c r="Q118" s="479"/>
      <c r="R118" s="479"/>
      <c r="S118" s="479"/>
      <c r="T118" s="479"/>
      <c r="U118" s="479"/>
    </row>
    <row r="119" ht="16.5" customHeight="1">
      <c r="A119" s="479"/>
      <c r="B119" s="479"/>
      <c r="C119" s="479"/>
      <c r="D119" s="479"/>
      <c r="E119" s="479"/>
      <c r="F119" s="479"/>
      <c r="G119" s="479"/>
      <c r="H119" s="479"/>
      <c r="I119" s="479"/>
      <c r="J119" s="479"/>
      <c r="K119" s="479"/>
      <c r="L119" s="479"/>
      <c r="M119" s="479"/>
      <c r="N119" s="479"/>
      <c r="O119" s="479"/>
      <c r="P119" s="479"/>
      <c r="Q119" s="479"/>
      <c r="R119" s="479"/>
      <c r="S119" s="479"/>
      <c r="T119" s="479"/>
      <c r="U119" s="479"/>
    </row>
    <row r="120" ht="16.5" customHeight="1">
      <c r="A120" s="479"/>
      <c r="B120" s="479"/>
      <c r="C120" s="479"/>
      <c r="D120" s="479"/>
      <c r="E120" s="479"/>
      <c r="F120" s="479"/>
      <c r="G120" s="479"/>
      <c r="H120" s="479"/>
      <c r="I120" s="479"/>
      <c r="J120" s="479"/>
      <c r="K120" s="479"/>
      <c r="L120" s="479"/>
      <c r="M120" s="479"/>
      <c r="N120" s="479"/>
      <c r="O120" s="479"/>
      <c r="P120" s="479"/>
      <c r="Q120" s="479"/>
      <c r="R120" s="479"/>
      <c r="S120" s="479"/>
      <c r="T120" s="479"/>
      <c r="U120" s="479"/>
    </row>
    <row r="121" ht="16.5" customHeight="1">
      <c r="A121" s="479"/>
      <c r="B121" s="479"/>
      <c r="C121" s="479"/>
      <c r="D121" s="479"/>
      <c r="E121" s="479"/>
      <c r="F121" s="479"/>
      <c r="G121" s="479"/>
      <c r="H121" s="479"/>
      <c r="I121" s="479"/>
      <c r="J121" s="479"/>
      <c r="K121" s="479"/>
      <c r="L121" s="479"/>
      <c r="M121" s="479"/>
      <c r="N121" s="479"/>
      <c r="O121" s="479"/>
      <c r="P121" s="479"/>
      <c r="Q121" s="479"/>
      <c r="R121" s="479"/>
      <c r="S121" s="479"/>
      <c r="T121" s="479"/>
      <c r="U121" s="479"/>
    </row>
    <row r="122" ht="16.5" customHeight="1">
      <c r="A122" s="479"/>
      <c r="B122" s="479"/>
      <c r="C122" s="479"/>
      <c r="D122" s="479"/>
      <c r="E122" s="479"/>
      <c r="F122" s="479"/>
      <c r="G122" s="479"/>
      <c r="H122" s="479"/>
      <c r="I122" s="479"/>
      <c r="J122" s="479"/>
      <c r="K122" s="479"/>
      <c r="L122" s="479"/>
      <c r="M122" s="479"/>
      <c r="N122" s="479"/>
      <c r="O122" s="479"/>
      <c r="P122" s="479"/>
      <c r="Q122" s="479"/>
      <c r="R122" s="479"/>
      <c r="S122" s="479"/>
      <c r="T122" s="479"/>
      <c r="U122" s="479"/>
    </row>
    <row r="123" ht="16.5" customHeight="1">
      <c r="A123" s="479"/>
      <c r="B123" s="479"/>
      <c r="C123" s="479"/>
      <c r="D123" s="479"/>
      <c r="E123" s="479"/>
      <c r="F123" s="479"/>
      <c r="G123" s="479"/>
      <c r="H123" s="479"/>
      <c r="I123" s="479"/>
      <c r="J123" s="479"/>
      <c r="K123" s="479"/>
      <c r="L123" s="479"/>
      <c r="M123" s="479"/>
      <c r="N123" s="479"/>
      <c r="O123" s="479"/>
      <c r="P123" s="479"/>
      <c r="Q123" s="479"/>
      <c r="R123" s="479"/>
      <c r="S123" s="479"/>
      <c r="T123" s="479"/>
      <c r="U123" s="479"/>
    </row>
    <row r="124" ht="16.5" customHeight="1">
      <c r="A124" s="479"/>
      <c r="B124" s="479"/>
      <c r="C124" s="479"/>
      <c r="D124" s="479"/>
      <c r="E124" s="479"/>
      <c r="F124" s="479"/>
      <c r="G124" s="479"/>
      <c r="H124" s="479"/>
      <c r="I124" s="479"/>
      <c r="J124" s="479"/>
      <c r="K124" s="479"/>
      <c r="L124" s="479"/>
      <c r="M124" s="479"/>
      <c r="N124" s="479"/>
      <c r="O124" s="479"/>
      <c r="P124" s="479"/>
      <c r="Q124" s="479"/>
      <c r="R124" s="479"/>
      <c r="S124" s="479"/>
      <c r="T124" s="479"/>
      <c r="U124" s="479"/>
    </row>
    <row r="125" ht="16.5" customHeight="1">
      <c r="A125" s="479"/>
      <c r="B125" s="479"/>
      <c r="C125" s="479"/>
      <c r="D125" s="479"/>
      <c r="E125" s="479"/>
      <c r="F125" s="479"/>
      <c r="G125" s="479"/>
      <c r="H125" s="479"/>
      <c r="I125" s="479"/>
      <c r="J125" s="479"/>
      <c r="K125" s="479"/>
      <c r="L125" s="479"/>
      <c r="M125" s="479"/>
      <c r="N125" s="479"/>
      <c r="O125" s="479"/>
      <c r="P125" s="479"/>
      <c r="Q125" s="479"/>
      <c r="R125" s="479"/>
      <c r="S125" s="479"/>
      <c r="T125" s="479"/>
      <c r="U125" s="479"/>
    </row>
    <row r="126" ht="16.5" customHeight="1">
      <c r="A126" s="479"/>
      <c r="B126" s="479"/>
      <c r="C126" s="479"/>
      <c r="D126" s="479"/>
      <c r="E126" s="479"/>
      <c r="F126" s="479"/>
      <c r="G126" s="479"/>
      <c r="H126" s="479"/>
      <c r="I126" s="479"/>
      <c r="J126" s="479"/>
      <c r="K126" s="479"/>
      <c r="L126" s="479"/>
      <c r="M126" s="479"/>
      <c r="N126" s="479"/>
      <c r="O126" s="479"/>
      <c r="P126" s="479"/>
      <c r="Q126" s="479"/>
      <c r="R126" s="479"/>
      <c r="S126" s="479"/>
      <c r="T126" s="479"/>
      <c r="U126" s="479"/>
    </row>
    <row r="127" ht="16.5" customHeight="1">
      <c r="A127" s="479"/>
      <c r="B127" s="479"/>
      <c r="C127" s="479"/>
      <c r="D127" s="479"/>
      <c r="E127" s="479"/>
      <c r="F127" s="479"/>
      <c r="G127" s="479"/>
      <c r="H127" s="479"/>
      <c r="I127" s="479"/>
      <c r="J127" s="479"/>
      <c r="K127" s="479"/>
      <c r="L127" s="479"/>
      <c r="M127" s="479"/>
      <c r="N127" s="479"/>
      <c r="O127" s="479"/>
      <c r="P127" s="479"/>
      <c r="Q127" s="479"/>
      <c r="R127" s="479"/>
      <c r="S127" s="479"/>
      <c r="T127" s="479"/>
      <c r="U127" s="479"/>
    </row>
    <row r="128" ht="16.5" customHeight="1">
      <c r="A128" s="479"/>
      <c r="B128" s="479"/>
      <c r="C128" s="479"/>
      <c r="D128" s="479"/>
      <c r="E128" s="479"/>
      <c r="F128" s="479"/>
      <c r="G128" s="479"/>
      <c r="H128" s="479"/>
      <c r="I128" s="479"/>
      <c r="J128" s="479"/>
      <c r="K128" s="479"/>
      <c r="L128" s="479"/>
      <c r="M128" s="479"/>
      <c r="N128" s="479"/>
      <c r="O128" s="479"/>
      <c r="P128" s="479"/>
      <c r="Q128" s="479"/>
      <c r="R128" s="479"/>
      <c r="S128" s="479"/>
      <c r="T128" s="479"/>
      <c r="U128" s="479"/>
    </row>
    <row r="129" ht="16.5" customHeight="1">
      <c r="A129" s="479"/>
      <c r="B129" s="479"/>
      <c r="C129" s="479"/>
      <c r="D129" s="479"/>
      <c r="E129" s="479"/>
      <c r="F129" s="479"/>
      <c r="G129" s="479"/>
      <c r="H129" s="479"/>
      <c r="I129" s="479"/>
      <c r="J129" s="479"/>
      <c r="K129" s="479"/>
      <c r="L129" s="479"/>
      <c r="M129" s="479"/>
      <c r="N129" s="479"/>
      <c r="O129" s="479"/>
      <c r="P129" s="479"/>
      <c r="Q129" s="479"/>
      <c r="R129" s="479"/>
      <c r="S129" s="479"/>
      <c r="T129" s="479"/>
      <c r="U129" s="479"/>
    </row>
    <row r="130" ht="16.5" customHeight="1">
      <c r="A130" s="479"/>
      <c r="B130" s="479"/>
      <c r="C130" s="479"/>
      <c r="D130" s="479"/>
      <c r="E130" s="479"/>
      <c r="F130" s="479"/>
      <c r="G130" s="479"/>
      <c r="H130" s="479"/>
      <c r="I130" s="479"/>
      <c r="J130" s="479"/>
      <c r="K130" s="479"/>
      <c r="L130" s="479"/>
      <c r="M130" s="479"/>
      <c r="N130" s="479"/>
      <c r="O130" s="479"/>
      <c r="P130" s="479"/>
      <c r="Q130" s="479"/>
      <c r="R130" s="479"/>
      <c r="S130" s="479"/>
      <c r="T130" s="479"/>
      <c r="U130" s="479"/>
    </row>
    <row r="131" ht="16.5" customHeight="1">
      <c r="A131" s="479"/>
      <c r="B131" s="479"/>
      <c r="C131" s="479"/>
      <c r="D131" s="479"/>
      <c r="E131" s="479"/>
      <c r="F131" s="479"/>
      <c r="G131" s="479"/>
      <c r="H131" s="479"/>
      <c r="I131" s="479"/>
      <c r="J131" s="479"/>
      <c r="K131" s="479"/>
      <c r="L131" s="479"/>
      <c r="M131" s="479"/>
      <c r="N131" s="479"/>
      <c r="O131" s="479"/>
      <c r="P131" s="479"/>
      <c r="Q131" s="479"/>
      <c r="R131" s="479"/>
      <c r="S131" s="479"/>
      <c r="T131" s="479"/>
      <c r="U131" s="479"/>
    </row>
    <row r="132" ht="16.5" customHeight="1">
      <c r="A132" s="479"/>
      <c r="B132" s="479"/>
      <c r="C132" s="479"/>
      <c r="D132" s="479"/>
      <c r="E132" s="479"/>
      <c r="F132" s="479"/>
      <c r="G132" s="479"/>
      <c r="H132" s="479"/>
      <c r="I132" s="479"/>
      <c r="J132" s="479"/>
      <c r="K132" s="479"/>
      <c r="L132" s="479"/>
      <c r="M132" s="479"/>
      <c r="N132" s="479"/>
      <c r="O132" s="479"/>
      <c r="P132" s="479"/>
      <c r="Q132" s="479"/>
      <c r="R132" s="479"/>
      <c r="S132" s="479"/>
      <c r="T132" s="479"/>
      <c r="U132" s="479"/>
    </row>
    <row r="133" ht="16.5" customHeight="1">
      <c r="A133" s="479"/>
      <c r="B133" s="479"/>
      <c r="C133" s="479"/>
      <c r="D133" s="479"/>
      <c r="E133" s="479"/>
      <c r="F133" s="479"/>
      <c r="G133" s="479"/>
      <c r="H133" s="479"/>
      <c r="I133" s="479"/>
      <c r="J133" s="479"/>
      <c r="K133" s="479"/>
      <c r="L133" s="479"/>
      <c r="M133" s="479"/>
      <c r="N133" s="479"/>
      <c r="O133" s="479"/>
      <c r="P133" s="479"/>
      <c r="Q133" s="479"/>
      <c r="R133" s="479"/>
      <c r="S133" s="479"/>
      <c r="T133" s="479"/>
      <c r="U133" s="479"/>
    </row>
    <row r="134" ht="16.5" customHeight="1">
      <c r="A134" s="479"/>
      <c r="B134" s="479"/>
      <c r="C134" s="479"/>
      <c r="D134" s="479"/>
      <c r="E134" s="479"/>
      <c r="F134" s="479"/>
      <c r="G134" s="479"/>
      <c r="H134" s="479"/>
      <c r="I134" s="479"/>
      <c r="J134" s="479"/>
      <c r="K134" s="479"/>
      <c r="L134" s="479"/>
      <c r="M134" s="479"/>
      <c r="N134" s="479"/>
      <c r="O134" s="479"/>
      <c r="P134" s="479"/>
      <c r="Q134" s="479"/>
      <c r="R134" s="479"/>
      <c r="S134" s="479"/>
      <c r="T134" s="479"/>
      <c r="U134" s="479"/>
    </row>
    <row r="135" ht="16.5" customHeight="1">
      <c r="A135" s="479"/>
      <c r="B135" s="479"/>
      <c r="C135" s="479"/>
      <c r="D135" s="479"/>
      <c r="E135" s="479"/>
      <c r="F135" s="479"/>
      <c r="G135" s="479"/>
      <c r="H135" s="479"/>
      <c r="I135" s="479"/>
      <c r="J135" s="479"/>
      <c r="K135" s="479"/>
      <c r="L135" s="479"/>
      <c r="M135" s="479"/>
      <c r="N135" s="479"/>
      <c r="O135" s="479"/>
      <c r="P135" s="479"/>
      <c r="Q135" s="479"/>
      <c r="R135" s="479"/>
      <c r="S135" s="479"/>
      <c r="T135" s="479"/>
      <c r="U135" s="479"/>
    </row>
    <row r="136" ht="16.5" customHeight="1">
      <c r="A136" s="479"/>
      <c r="B136" s="479"/>
      <c r="C136" s="479"/>
      <c r="D136" s="479"/>
      <c r="E136" s="479"/>
      <c r="F136" s="479"/>
      <c r="G136" s="479"/>
      <c r="H136" s="479"/>
      <c r="I136" s="479"/>
      <c r="J136" s="479"/>
      <c r="K136" s="479"/>
      <c r="L136" s="479"/>
      <c r="M136" s="479"/>
      <c r="N136" s="479"/>
      <c r="O136" s="479"/>
      <c r="P136" s="479"/>
      <c r="Q136" s="479"/>
      <c r="R136" s="479"/>
      <c r="S136" s="479"/>
      <c r="T136" s="479"/>
      <c r="U136" s="479"/>
    </row>
    <row r="137" ht="16.5" customHeight="1">
      <c r="A137" s="479"/>
      <c r="B137" s="479"/>
      <c r="C137" s="479"/>
      <c r="D137" s="479"/>
      <c r="E137" s="479"/>
      <c r="F137" s="479"/>
      <c r="G137" s="479"/>
      <c r="H137" s="479"/>
      <c r="I137" s="479"/>
      <c r="J137" s="479"/>
      <c r="K137" s="479"/>
      <c r="L137" s="479"/>
      <c r="M137" s="479"/>
      <c r="N137" s="479"/>
      <c r="O137" s="479"/>
      <c r="P137" s="479"/>
      <c r="Q137" s="479"/>
      <c r="R137" s="479"/>
      <c r="S137" s="479"/>
      <c r="T137" s="479"/>
      <c r="U137" s="479"/>
    </row>
    <row r="138" ht="16.5" customHeight="1">
      <c r="A138" s="479"/>
      <c r="B138" s="479"/>
      <c r="C138" s="479"/>
      <c r="D138" s="479"/>
      <c r="E138" s="479"/>
      <c r="F138" s="479"/>
      <c r="G138" s="479"/>
      <c r="H138" s="479"/>
      <c r="I138" s="479"/>
      <c r="J138" s="479"/>
      <c r="K138" s="479"/>
      <c r="L138" s="479"/>
      <c r="M138" s="479"/>
      <c r="N138" s="479"/>
      <c r="O138" s="479"/>
      <c r="P138" s="479"/>
      <c r="Q138" s="479"/>
      <c r="R138" s="479"/>
      <c r="S138" s="479"/>
      <c r="T138" s="479"/>
      <c r="U138" s="479"/>
    </row>
    <row r="139" ht="16.5" customHeight="1">
      <c r="A139" s="479"/>
      <c r="B139" s="479"/>
      <c r="C139" s="479"/>
      <c r="D139" s="479"/>
      <c r="E139" s="479"/>
      <c r="F139" s="479"/>
      <c r="G139" s="479"/>
      <c r="H139" s="479"/>
      <c r="I139" s="479"/>
      <c r="J139" s="479"/>
      <c r="K139" s="479"/>
      <c r="L139" s="479"/>
      <c r="M139" s="479"/>
      <c r="N139" s="479"/>
      <c r="O139" s="479"/>
      <c r="P139" s="479"/>
      <c r="Q139" s="479"/>
      <c r="R139" s="479"/>
      <c r="S139" s="479"/>
      <c r="T139" s="479"/>
      <c r="U139" s="479"/>
    </row>
    <row r="140" ht="16.5" customHeight="1">
      <c r="A140" s="479"/>
      <c r="B140" s="479"/>
      <c r="C140" s="479"/>
      <c r="D140" s="479"/>
      <c r="E140" s="479"/>
      <c r="F140" s="479"/>
      <c r="G140" s="479"/>
      <c r="H140" s="479"/>
      <c r="I140" s="479"/>
      <c r="J140" s="479"/>
      <c r="K140" s="479"/>
      <c r="L140" s="479"/>
      <c r="M140" s="479"/>
      <c r="N140" s="479"/>
      <c r="O140" s="479"/>
      <c r="P140" s="479"/>
      <c r="Q140" s="479"/>
      <c r="R140" s="479"/>
      <c r="S140" s="479"/>
      <c r="T140" s="479"/>
      <c r="U140" s="479"/>
    </row>
    <row r="141" ht="16.5" customHeight="1">
      <c r="A141" s="479"/>
      <c r="B141" s="479"/>
      <c r="C141" s="479"/>
      <c r="D141" s="479"/>
      <c r="E141" s="479"/>
      <c r="F141" s="479"/>
      <c r="G141" s="479"/>
      <c r="H141" s="479"/>
      <c r="I141" s="479"/>
      <c r="J141" s="479"/>
      <c r="K141" s="479"/>
      <c r="L141" s="479"/>
      <c r="M141" s="479"/>
      <c r="N141" s="479"/>
      <c r="O141" s="479"/>
      <c r="P141" s="479"/>
      <c r="Q141" s="479"/>
      <c r="R141" s="479"/>
      <c r="S141" s="479"/>
      <c r="T141" s="479"/>
      <c r="U141" s="479"/>
    </row>
    <row r="142" ht="16.5" customHeight="1">
      <c r="A142" s="479"/>
      <c r="B142" s="479"/>
      <c r="C142" s="479"/>
      <c r="D142" s="479"/>
      <c r="E142" s="479"/>
      <c r="F142" s="479"/>
      <c r="G142" s="479"/>
      <c r="H142" s="479"/>
      <c r="I142" s="479"/>
      <c r="J142" s="479"/>
      <c r="K142" s="479"/>
      <c r="L142" s="479"/>
      <c r="M142" s="479"/>
      <c r="N142" s="479"/>
      <c r="O142" s="479"/>
      <c r="P142" s="479"/>
      <c r="Q142" s="479"/>
      <c r="R142" s="479"/>
      <c r="S142" s="479"/>
      <c r="T142" s="479"/>
      <c r="U142" s="479"/>
    </row>
    <row r="143" ht="16.5" customHeight="1">
      <c r="A143" s="479"/>
      <c r="B143" s="479"/>
      <c r="C143" s="479"/>
      <c r="D143" s="479"/>
      <c r="E143" s="479"/>
      <c r="F143" s="479"/>
      <c r="G143" s="479"/>
      <c r="H143" s="479"/>
      <c r="I143" s="479"/>
      <c r="J143" s="479"/>
      <c r="K143" s="479"/>
      <c r="L143" s="479"/>
      <c r="M143" s="479"/>
      <c r="N143" s="479"/>
      <c r="O143" s="479"/>
      <c r="P143" s="479"/>
      <c r="Q143" s="479"/>
      <c r="R143" s="479"/>
      <c r="S143" s="479"/>
      <c r="T143" s="479"/>
      <c r="U143" s="479"/>
    </row>
    <row r="144" ht="16.5" customHeight="1">
      <c r="A144" s="479"/>
      <c r="B144" s="479"/>
      <c r="C144" s="479"/>
      <c r="D144" s="479"/>
      <c r="E144" s="479"/>
      <c r="F144" s="479"/>
      <c r="G144" s="479"/>
      <c r="H144" s="479"/>
      <c r="I144" s="479"/>
      <c r="J144" s="479"/>
      <c r="K144" s="479"/>
      <c r="L144" s="479"/>
      <c r="M144" s="479"/>
      <c r="N144" s="479"/>
      <c r="O144" s="479"/>
      <c r="P144" s="479"/>
      <c r="Q144" s="479"/>
      <c r="R144" s="479"/>
      <c r="S144" s="479"/>
      <c r="T144" s="479"/>
      <c r="U144" s="479"/>
    </row>
    <row r="145" ht="16.5" customHeight="1">
      <c r="A145" s="479"/>
      <c r="B145" s="479"/>
      <c r="C145" s="479"/>
      <c r="D145" s="479"/>
      <c r="E145" s="479"/>
      <c r="F145" s="479"/>
      <c r="G145" s="479"/>
      <c r="H145" s="479"/>
      <c r="I145" s="479"/>
      <c r="J145" s="479"/>
      <c r="K145" s="479"/>
      <c r="L145" s="479"/>
      <c r="M145" s="479"/>
      <c r="N145" s="479"/>
      <c r="O145" s="479"/>
      <c r="P145" s="479"/>
      <c r="Q145" s="479"/>
      <c r="R145" s="479"/>
      <c r="S145" s="479"/>
      <c r="T145" s="479"/>
      <c r="U145" s="479"/>
    </row>
    <row r="146" ht="16.5" customHeight="1">
      <c r="A146" s="479"/>
      <c r="B146" s="479"/>
      <c r="C146" s="479"/>
      <c r="D146" s="479"/>
      <c r="E146" s="479"/>
      <c r="F146" s="479"/>
      <c r="G146" s="479"/>
      <c r="H146" s="479"/>
      <c r="I146" s="479"/>
      <c r="J146" s="479"/>
      <c r="K146" s="479"/>
      <c r="L146" s="479"/>
      <c r="M146" s="479"/>
      <c r="N146" s="479"/>
      <c r="O146" s="479"/>
      <c r="P146" s="479"/>
      <c r="Q146" s="479"/>
      <c r="R146" s="479"/>
      <c r="S146" s="479"/>
      <c r="T146" s="479"/>
      <c r="U146" s="479"/>
    </row>
    <row r="147" ht="16.5" customHeight="1">
      <c r="A147" s="479"/>
      <c r="B147" s="479"/>
      <c r="C147" s="479"/>
      <c r="D147" s="479"/>
      <c r="E147" s="479"/>
      <c r="F147" s="479"/>
      <c r="G147" s="479"/>
      <c r="H147" s="479"/>
      <c r="I147" s="479"/>
      <c r="J147" s="479"/>
      <c r="K147" s="479"/>
      <c r="L147" s="479"/>
      <c r="M147" s="479"/>
      <c r="N147" s="479"/>
      <c r="O147" s="479"/>
      <c r="P147" s="479"/>
      <c r="Q147" s="479"/>
      <c r="R147" s="479"/>
      <c r="S147" s="479"/>
      <c r="T147" s="479"/>
      <c r="U147" s="479"/>
    </row>
    <row r="148" ht="16.5" customHeight="1">
      <c r="A148" s="479"/>
      <c r="B148" s="479"/>
      <c r="C148" s="479"/>
      <c r="D148" s="479"/>
      <c r="E148" s="479"/>
      <c r="F148" s="479"/>
      <c r="G148" s="479"/>
      <c r="H148" s="479"/>
      <c r="I148" s="479"/>
      <c r="J148" s="479"/>
      <c r="K148" s="479"/>
      <c r="L148" s="479"/>
      <c r="M148" s="479"/>
      <c r="N148" s="479"/>
      <c r="O148" s="479"/>
      <c r="P148" s="479"/>
      <c r="Q148" s="479"/>
      <c r="R148" s="479"/>
      <c r="S148" s="479"/>
      <c r="T148" s="479"/>
      <c r="U148" s="479"/>
    </row>
    <row r="149" ht="16.5" customHeight="1">
      <c r="A149" s="479"/>
      <c r="B149" s="479"/>
      <c r="C149" s="479"/>
      <c r="D149" s="479"/>
      <c r="E149" s="479"/>
      <c r="F149" s="479"/>
      <c r="G149" s="479"/>
      <c r="H149" s="479"/>
      <c r="I149" s="479"/>
      <c r="J149" s="479"/>
      <c r="K149" s="479"/>
      <c r="L149" s="479"/>
      <c r="M149" s="479"/>
      <c r="N149" s="479"/>
      <c r="O149" s="479"/>
      <c r="P149" s="479"/>
      <c r="Q149" s="479"/>
      <c r="R149" s="479"/>
      <c r="S149" s="479"/>
      <c r="T149" s="479"/>
      <c r="U149" s="479"/>
    </row>
    <row r="150" ht="16.5" customHeight="1">
      <c r="A150" s="479"/>
      <c r="B150" s="479"/>
      <c r="C150" s="479"/>
      <c r="D150" s="479"/>
      <c r="E150" s="479"/>
      <c r="F150" s="479"/>
      <c r="G150" s="479"/>
      <c r="H150" s="479"/>
      <c r="I150" s="479"/>
      <c r="J150" s="479"/>
      <c r="K150" s="479"/>
      <c r="L150" s="479"/>
      <c r="M150" s="479"/>
      <c r="N150" s="479"/>
      <c r="O150" s="479"/>
      <c r="P150" s="479"/>
      <c r="Q150" s="479"/>
      <c r="R150" s="479"/>
      <c r="S150" s="479"/>
      <c r="T150" s="479"/>
      <c r="U150" s="479"/>
    </row>
    <row r="151" ht="16.5" customHeight="1">
      <c r="A151" s="479"/>
      <c r="B151" s="479"/>
      <c r="C151" s="479"/>
      <c r="D151" s="479"/>
      <c r="E151" s="479"/>
      <c r="F151" s="479"/>
      <c r="G151" s="479"/>
      <c r="H151" s="479"/>
      <c r="I151" s="479"/>
      <c r="J151" s="479"/>
      <c r="K151" s="479"/>
      <c r="L151" s="479"/>
      <c r="M151" s="479"/>
      <c r="N151" s="479"/>
      <c r="O151" s="479"/>
      <c r="P151" s="479"/>
      <c r="Q151" s="479"/>
      <c r="R151" s="479"/>
      <c r="S151" s="479"/>
      <c r="T151" s="479"/>
      <c r="U151" s="479"/>
    </row>
    <row r="152" ht="16.5" customHeight="1">
      <c r="A152" s="479"/>
      <c r="B152" s="479"/>
      <c r="C152" s="479"/>
      <c r="D152" s="479"/>
      <c r="E152" s="479"/>
      <c r="F152" s="479"/>
      <c r="G152" s="479"/>
      <c r="H152" s="479"/>
      <c r="I152" s="479"/>
      <c r="J152" s="479"/>
      <c r="K152" s="479"/>
      <c r="L152" s="479"/>
      <c r="M152" s="479"/>
      <c r="N152" s="479"/>
      <c r="O152" s="479"/>
      <c r="P152" s="479"/>
      <c r="Q152" s="479"/>
      <c r="R152" s="479"/>
      <c r="S152" s="479"/>
      <c r="T152" s="479"/>
      <c r="U152" s="479"/>
    </row>
    <row r="153" ht="16.5" customHeight="1">
      <c r="A153" s="479"/>
      <c r="B153" s="479"/>
      <c r="C153" s="479"/>
      <c r="D153" s="479"/>
      <c r="E153" s="479"/>
      <c r="F153" s="479"/>
      <c r="G153" s="479"/>
      <c r="H153" s="479"/>
      <c r="I153" s="479"/>
      <c r="J153" s="479"/>
      <c r="K153" s="479"/>
      <c r="L153" s="479"/>
      <c r="M153" s="479"/>
      <c r="N153" s="479"/>
      <c r="O153" s="479"/>
      <c r="P153" s="479"/>
      <c r="Q153" s="479"/>
      <c r="R153" s="479"/>
      <c r="S153" s="479"/>
      <c r="T153" s="479"/>
      <c r="U153" s="479"/>
    </row>
    <row r="154" ht="16.5" customHeight="1">
      <c r="A154" s="479"/>
      <c r="B154" s="479"/>
      <c r="C154" s="479"/>
      <c r="D154" s="479"/>
      <c r="E154" s="479"/>
      <c r="F154" s="479"/>
      <c r="G154" s="479"/>
      <c r="H154" s="479"/>
      <c r="I154" s="479"/>
      <c r="J154" s="479"/>
      <c r="K154" s="479"/>
      <c r="L154" s="479"/>
      <c r="M154" s="479"/>
      <c r="N154" s="479"/>
      <c r="O154" s="479"/>
      <c r="P154" s="479"/>
      <c r="Q154" s="479"/>
      <c r="R154" s="479"/>
      <c r="S154" s="479"/>
      <c r="T154" s="479"/>
      <c r="U154" s="479"/>
    </row>
    <row r="155" ht="16.5" customHeight="1">
      <c r="A155" s="479"/>
      <c r="B155" s="479"/>
      <c r="C155" s="479"/>
      <c r="D155" s="479"/>
      <c r="E155" s="479"/>
      <c r="F155" s="479"/>
      <c r="G155" s="479"/>
      <c r="H155" s="479"/>
      <c r="I155" s="479"/>
      <c r="J155" s="479"/>
      <c r="K155" s="479"/>
      <c r="L155" s="479"/>
      <c r="M155" s="479"/>
      <c r="N155" s="479"/>
      <c r="O155" s="479"/>
      <c r="P155" s="479"/>
      <c r="Q155" s="479"/>
      <c r="R155" s="479"/>
      <c r="S155" s="479"/>
      <c r="T155" s="479"/>
      <c r="U155" s="479"/>
    </row>
    <row r="156" ht="16.5" customHeight="1">
      <c r="A156" s="479"/>
      <c r="B156" s="479"/>
      <c r="C156" s="479"/>
      <c r="D156" s="479"/>
      <c r="E156" s="479"/>
      <c r="F156" s="479"/>
      <c r="G156" s="479"/>
      <c r="H156" s="479"/>
      <c r="I156" s="479"/>
      <c r="J156" s="479"/>
      <c r="K156" s="479"/>
      <c r="L156" s="479"/>
      <c r="M156" s="479"/>
      <c r="N156" s="479"/>
      <c r="O156" s="479"/>
      <c r="P156" s="479"/>
      <c r="Q156" s="479"/>
      <c r="R156" s="479"/>
      <c r="S156" s="479"/>
      <c r="T156" s="479"/>
      <c r="U156" s="479"/>
    </row>
    <row r="157" ht="16.5" customHeight="1">
      <c r="A157" s="479"/>
      <c r="B157" s="479"/>
      <c r="C157" s="479"/>
      <c r="D157" s="479"/>
      <c r="E157" s="479"/>
      <c r="F157" s="479"/>
      <c r="G157" s="479"/>
      <c r="H157" s="479"/>
      <c r="I157" s="479"/>
      <c r="J157" s="479"/>
      <c r="K157" s="479"/>
      <c r="L157" s="479"/>
      <c r="M157" s="479"/>
      <c r="N157" s="479"/>
      <c r="O157" s="479"/>
      <c r="P157" s="479"/>
      <c r="Q157" s="479"/>
      <c r="R157" s="479"/>
      <c r="S157" s="479"/>
      <c r="T157" s="479"/>
      <c r="U157" s="479"/>
    </row>
    <row r="158" ht="16.5" customHeight="1">
      <c r="A158" s="479"/>
      <c r="B158" s="479"/>
      <c r="C158" s="479"/>
      <c r="D158" s="479"/>
      <c r="E158" s="479"/>
      <c r="F158" s="479"/>
      <c r="G158" s="479"/>
      <c r="H158" s="479"/>
      <c r="I158" s="479"/>
      <c r="J158" s="479"/>
      <c r="K158" s="479"/>
      <c r="L158" s="479"/>
      <c r="M158" s="479"/>
      <c r="N158" s="479"/>
      <c r="O158" s="479"/>
      <c r="P158" s="479"/>
      <c r="Q158" s="479"/>
      <c r="R158" s="479"/>
      <c r="S158" s="479"/>
      <c r="T158" s="479"/>
      <c r="U158" s="479"/>
    </row>
    <row r="159" ht="16.5" customHeight="1">
      <c r="A159" s="479"/>
      <c r="B159" s="479"/>
      <c r="C159" s="479"/>
      <c r="D159" s="479"/>
      <c r="E159" s="479"/>
      <c r="F159" s="479"/>
      <c r="G159" s="479"/>
      <c r="H159" s="479"/>
      <c r="I159" s="479"/>
      <c r="J159" s="479"/>
      <c r="K159" s="479"/>
      <c r="L159" s="479"/>
      <c r="M159" s="479"/>
      <c r="N159" s="479"/>
      <c r="O159" s="479"/>
      <c r="P159" s="479"/>
      <c r="Q159" s="479"/>
      <c r="R159" s="479"/>
      <c r="S159" s="479"/>
      <c r="T159" s="479"/>
      <c r="U159" s="479"/>
    </row>
    <row r="160" ht="16.5" customHeight="1">
      <c r="A160" s="479"/>
      <c r="B160" s="479"/>
      <c r="C160" s="479"/>
      <c r="D160" s="479"/>
      <c r="E160" s="479"/>
      <c r="F160" s="479"/>
      <c r="G160" s="479"/>
      <c r="H160" s="479"/>
      <c r="I160" s="479"/>
      <c r="J160" s="479"/>
      <c r="K160" s="479"/>
      <c r="L160" s="479"/>
      <c r="M160" s="479"/>
      <c r="N160" s="479"/>
      <c r="O160" s="479"/>
      <c r="P160" s="479"/>
      <c r="Q160" s="479"/>
      <c r="R160" s="479"/>
      <c r="S160" s="479"/>
      <c r="T160" s="479"/>
      <c r="U160" s="479"/>
    </row>
    <row r="161" ht="16.5" customHeight="1">
      <c r="A161" s="479"/>
      <c r="B161" s="479"/>
      <c r="C161" s="479"/>
      <c r="D161" s="479"/>
      <c r="E161" s="479"/>
      <c r="F161" s="479"/>
      <c r="G161" s="479"/>
      <c r="H161" s="479"/>
      <c r="I161" s="479"/>
      <c r="J161" s="479"/>
      <c r="K161" s="479"/>
      <c r="L161" s="479"/>
      <c r="M161" s="479"/>
      <c r="N161" s="479"/>
      <c r="O161" s="479"/>
      <c r="P161" s="479"/>
      <c r="Q161" s="479"/>
      <c r="R161" s="479"/>
      <c r="S161" s="479"/>
      <c r="T161" s="479"/>
      <c r="U161" s="479"/>
    </row>
    <row r="162" ht="16.5" customHeight="1">
      <c r="A162" s="479"/>
      <c r="B162" s="479"/>
      <c r="C162" s="479"/>
      <c r="D162" s="479"/>
      <c r="E162" s="479"/>
      <c r="F162" s="479"/>
      <c r="G162" s="479"/>
      <c r="H162" s="479"/>
      <c r="I162" s="479"/>
      <c r="J162" s="479"/>
      <c r="K162" s="479"/>
      <c r="L162" s="479"/>
      <c r="M162" s="479"/>
      <c r="N162" s="479"/>
      <c r="O162" s="479"/>
      <c r="P162" s="479"/>
      <c r="Q162" s="479"/>
      <c r="R162" s="479"/>
      <c r="S162" s="479"/>
      <c r="T162" s="479"/>
      <c r="U162" s="479"/>
    </row>
    <row r="163" ht="16.5" customHeight="1">
      <c r="A163" s="479"/>
      <c r="B163" s="479"/>
      <c r="C163" s="479"/>
      <c r="D163" s="479"/>
      <c r="E163" s="479"/>
      <c r="F163" s="479"/>
      <c r="G163" s="479"/>
      <c r="H163" s="479"/>
      <c r="I163" s="479"/>
      <c r="J163" s="479"/>
      <c r="K163" s="479"/>
      <c r="L163" s="479"/>
      <c r="M163" s="479"/>
      <c r="N163" s="479"/>
      <c r="O163" s="479"/>
      <c r="P163" s="479"/>
      <c r="Q163" s="479"/>
      <c r="R163" s="479"/>
      <c r="S163" s="479"/>
      <c r="T163" s="479"/>
      <c r="U163" s="479"/>
    </row>
    <row r="164" ht="16.5" customHeight="1">
      <c r="A164" s="479"/>
      <c r="B164" s="479"/>
      <c r="C164" s="479"/>
      <c r="D164" s="479"/>
      <c r="E164" s="479"/>
      <c r="F164" s="479"/>
      <c r="G164" s="479"/>
      <c r="H164" s="479"/>
      <c r="I164" s="479"/>
      <c r="J164" s="479"/>
      <c r="K164" s="479"/>
      <c r="L164" s="479"/>
      <c r="M164" s="479"/>
      <c r="N164" s="479"/>
      <c r="O164" s="479"/>
      <c r="P164" s="479"/>
      <c r="Q164" s="479"/>
      <c r="R164" s="479"/>
      <c r="S164" s="479"/>
      <c r="T164" s="479"/>
      <c r="U164" s="479"/>
    </row>
    <row r="165" ht="16.5" customHeight="1">
      <c r="A165" s="479"/>
      <c r="B165" s="479"/>
      <c r="C165" s="479"/>
      <c r="D165" s="479"/>
      <c r="E165" s="479"/>
      <c r="F165" s="479"/>
      <c r="G165" s="479"/>
      <c r="H165" s="479"/>
      <c r="I165" s="479"/>
      <c r="J165" s="479"/>
      <c r="K165" s="479"/>
      <c r="L165" s="479"/>
      <c r="M165" s="479"/>
      <c r="N165" s="479"/>
      <c r="O165" s="479"/>
      <c r="P165" s="479"/>
      <c r="Q165" s="479"/>
      <c r="R165" s="479"/>
      <c r="S165" s="479"/>
      <c r="T165" s="479"/>
      <c r="U165" s="479"/>
    </row>
    <row r="166" ht="16.5" customHeight="1">
      <c r="A166" s="479"/>
      <c r="B166" s="479"/>
      <c r="C166" s="479"/>
      <c r="D166" s="479"/>
      <c r="E166" s="479"/>
      <c r="F166" s="479"/>
      <c r="G166" s="479"/>
      <c r="H166" s="479"/>
      <c r="I166" s="479"/>
      <c r="J166" s="479"/>
      <c r="K166" s="479"/>
      <c r="L166" s="479"/>
      <c r="M166" s="479"/>
      <c r="N166" s="479"/>
      <c r="O166" s="479"/>
      <c r="P166" s="479"/>
      <c r="Q166" s="479"/>
      <c r="R166" s="479"/>
      <c r="S166" s="479"/>
      <c r="T166" s="479"/>
      <c r="U166" s="479"/>
    </row>
    <row r="167" ht="16.5" customHeight="1">
      <c r="A167" s="479"/>
      <c r="B167" s="479"/>
      <c r="C167" s="479"/>
      <c r="D167" s="479"/>
      <c r="E167" s="479"/>
      <c r="F167" s="479"/>
      <c r="G167" s="479"/>
      <c r="H167" s="479"/>
      <c r="I167" s="479"/>
      <c r="J167" s="479"/>
      <c r="K167" s="479"/>
      <c r="L167" s="479"/>
      <c r="M167" s="479"/>
      <c r="N167" s="479"/>
      <c r="O167" s="479"/>
      <c r="P167" s="479"/>
      <c r="Q167" s="479"/>
      <c r="R167" s="479"/>
      <c r="S167" s="479"/>
      <c r="T167" s="479"/>
      <c r="U167" s="479"/>
    </row>
    <row r="168" ht="16.5" customHeight="1">
      <c r="A168" s="479"/>
      <c r="B168" s="479"/>
      <c r="C168" s="479"/>
      <c r="D168" s="479"/>
      <c r="E168" s="479"/>
      <c r="F168" s="479"/>
      <c r="G168" s="479"/>
      <c r="H168" s="479"/>
      <c r="I168" s="479"/>
      <c r="J168" s="479"/>
      <c r="K168" s="479"/>
      <c r="L168" s="479"/>
      <c r="M168" s="479"/>
      <c r="N168" s="479"/>
      <c r="O168" s="479"/>
      <c r="P168" s="479"/>
      <c r="Q168" s="479"/>
      <c r="R168" s="479"/>
      <c r="S168" s="479"/>
      <c r="T168" s="479"/>
      <c r="U168" s="479"/>
    </row>
    <row r="169" ht="16.5" customHeight="1">
      <c r="A169" s="479"/>
      <c r="B169" s="479"/>
      <c r="C169" s="479"/>
      <c r="D169" s="479"/>
      <c r="E169" s="479"/>
      <c r="F169" s="479"/>
      <c r="G169" s="479"/>
      <c r="H169" s="479"/>
      <c r="I169" s="479"/>
      <c r="J169" s="479"/>
      <c r="K169" s="479"/>
      <c r="L169" s="479"/>
      <c r="M169" s="479"/>
      <c r="N169" s="479"/>
      <c r="O169" s="479"/>
      <c r="P169" s="479"/>
      <c r="Q169" s="479"/>
      <c r="R169" s="479"/>
      <c r="S169" s="479"/>
      <c r="T169" s="479"/>
      <c r="U169" s="479"/>
    </row>
    <row r="170" ht="16.5" customHeight="1">
      <c r="A170" s="479"/>
      <c r="B170" s="479"/>
      <c r="C170" s="479"/>
      <c r="D170" s="479"/>
      <c r="E170" s="479"/>
      <c r="F170" s="479"/>
      <c r="G170" s="479"/>
      <c r="H170" s="479"/>
      <c r="I170" s="479"/>
      <c r="J170" s="479"/>
      <c r="K170" s="479"/>
      <c r="L170" s="479"/>
      <c r="M170" s="479"/>
      <c r="N170" s="479"/>
      <c r="O170" s="479"/>
      <c r="P170" s="479"/>
      <c r="Q170" s="479"/>
      <c r="R170" s="479"/>
      <c r="S170" s="479"/>
      <c r="T170" s="479"/>
      <c r="U170" s="479"/>
    </row>
    <row r="171" ht="16.5" customHeight="1">
      <c r="A171" s="479"/>
      <c r="B171" s="479"/>
      <c r="C171" s="479"/>
      <c r="D171" s="479"/>
      <c r="E171" s="479"/>
      <c r="F171" s="479"/>
      <c r="G171" s="479"/>
      <c r="H171" s="479"/>
      <c r="I171" s="479"/>
      <c r="J171" s="479"/>
      <c r="K171" s="479"/>
      <c r="L171" s="479"/>
      <c r="M171" s="479"/>
      <c r="N171" s="479"/>
      <c r="O171" s="479"/>
      <c r="P171" s="479"/>
      <c r="Q171" s="479"/>
      <c r="R171" s="479"/>
      <c r="S171" s="479"/>
      <c r="T171" s="479"/>
      <c r="U171" s="479"/>
    </row>
    <row r="172" ht="16.5" customHeight="1">
      <c r="A172" s="479"/>
      <c r="B172" s="479"/>
      <c r="C172" s="479"/>
      <c r="D172" s="479"/>
      <c r="E172" s="479"/>
      <c r="F172" s="479"/>
      <c r="G172" s="479"/>
      <c r="H172" s="479"/>
      <c r="I172" s="479"/>
      <c r="J172" s="479"/>
      <c r="K172" s="479"/>
      <c r="L172" s="479"/>
      <c r="M172" s="479"/>
      <c r="N172" s="479"/>
      <c r="O172" s="479"/>
      <c r="P172" s="479"/>
      <c r="Q172" s="479"/>
      <c r="R172" s="479"/>
      <c r="S172" s="479"/>
      <c r="T172" s="479"/>
      <c r="U172" s="479"/>
    </row>
    <row r="173" ht="16.5" customHeight="1">
      <c r="A173" s="479"/>
      <c r="B173" s="479"/>
      <c r="C173" s="479"/>
      <c r="D173" s="479"/>
      <c r="E173" s="479"/>
      <c r="F173" s="479"/>
      <c r="G173" s="479"/>
      <c r="H173" s="479"/>
      <c r="I173" s="479"/>
      <c r="J173" s="479"/>
      <c r="K173" s="479"/>
      <c r="L173" s="479"/>
      <c r="M173" s="479"/>
      <c r="N173" s="479"/>
      <c r="O173" s="479"/>
      <c r="P173" s="479"/>
      <c r="Q173" s="479"/>
      <c r="R173" s="479"/>
      <c r="S173" s="479"/>
      <c r="T173" s="479"/>
      <c r="U173" s="479"/>
    </row>
    <row r="174" ht="16.5" customHeight="1">
      <c r="A174" s="479"/>
      <c r="B174" s="479"/>
      <c r="C174" s="479"/>
      <c r="D174" s="479"/>
      <c r="E174" s="479"/>
      <c r="F174" s="479"/>
      <c r="G174" s="479"/>
      <c r="H174" s="479"/>
      <c r="I174" s="479"/>
      <c r="J174" s="479"/>
      <c r="K174" s="479"/>
      <c r="L174" s="479"/>
      <c r="M174" s="479"/>
      <c r="N174" s="479"/>
      <c r="O174" s="479"/>
      <c r="P174" s="479"/>
      <c r="Q174" s="479"/>
      <c r="R174" s="479"/>
      <c r="S174" s="479"/>
      <c r="T174" s="479"/>
      <c r="U174" s="479"/>
    </row>
    <row r="175" ht="16.5" customHeight="1">
      <c r="A175" s="479"/>
      <c r="B175" s="479"/>
      <c r="C175" s="479"/>
      <c r="D175" s="479"/>
      <c r="E175" s="479"/>
      <c r="F175" s="479"/>
      <c r="G175" s="479"/>
      <c r="H175" s="479"/>
      <c r="I175" s="479"/>
      <c r="J175" s="479"/>
      <c r="K175" s="479"/>
      <c r="L175" s="479"/>
      <c r="M175" s="479"/>
      <c r="N175" s="479"/>
      <c r="O175" s="479"/>
      <c r="P175" s="479"/>
      <c r="Q175" s="479"/>
      <c r="R175" s="479"/>
      <c r="S175" s="479"/>
      <c r="T175" s="479"/>
      <c r="U175" s="479"/>
    </row>
    <row r="176" ht="16.5" customHeight="1">
      <c r="A176" s="479"/>
      <c r="B176" s="479"/>
      <c r="C176" s="479"/>
      <c r="D176" s="479"/>
      <c r="E176" s="479"/>
      <c r="F176" s="479"/>
      <c r="G176" s="479"/>
      <c r="H176" s="479"/>
      <c r="I176" s="479"/>
      <c r="J176" s="479"/>
      <c r="K176" s="479"/>
      <c r="L176" s="479"/>
      <c r="M176" s="479"/>
      <c r="N176" s="479"/>
      <c r="O176" s="479"/>
      <c r="P176" s="479"/>
      <c r="Q176" s="479"/>
      <c r="R176" s="479"/>
      <c r="S176" s="479"/>
      <c r="T176" s="479"/>
      <c r="U176" s="479"/>
    </row>
    <row r="177" ht="16.5" customHeight="1">
      <c r="A177" s="479"/>
      <c r="B177" s="479"/>
      <c r="C177" s="479"/>
      <c r="D177" s="479"/>
      <c r="E177" s="479"/>
      <c r="F177" s="479"/>
      <c r="G177" s="479"/>
      <c r="H177" s="479"/>
      <c r="I177" s="479"/>
      <c r="J177" s="479"/>
      <c r="K177" s="479"/>
      <c r="L177" s="479"/>
      <c r="M177" s="479"/>
      <c r="N177" s="479"/>
      <c r="O177" s="479"/>
      <c r="P177" s="479"/>
      <c r="Q177" s="479"/>
      <c r="R177" s="479"/>
      <c r="S177" s="479"/>
      <c r="T177" s="479"/>
      <c r="U177" s="479"/>
    </row>
    <row r="178" ht="16.5" customHeight="1">
      <c r="A178" s="479"/>
      <c r="B178" s="479"/>
      <c r="C178" s="479"/>
      <c r="D178" s="479"/>
      <c r="E178" s="479"/>
      <c r="F178" s="479"/>
      <c r="G178" s="479"/>
      <c r="H178" s="479"/>
      <c r="I178" s="479"/>
      <c r="J178" s="479"/>
      <c r="K178" s="479"/>
      <c r="L178" s="479"/>
      <c r="M178" s="479"/>
      <c r="N178" s="479"/>
      <c r="O178" s="479"/>
      <c r="P178" s="479"/>
      <c r="Q178" s="479"/>
      <c r="R178" s="479"/>
      <c r="S178" s="479"/>
      <c r="T178" s="479"/>
      <c r="U178" s="479"/>
    </row>
    <row r="179" ht="16.5" customHeight="1">
      <c r="A179" s="479"/>
      <c r="B179" s="479"/>
      <c r="C179" s="479"/>
      <c r="D179" s="479"/>
      <c r="E179" s="479"/>
      <c r="F179" s="479"/>
      <c r="G179" s="479"/>
      <c r="H179" s="479"/>
      <c r="I179" s="479"/>
      <c r="J179" s="479"/>
      <c r="K179" s="479"/>
      <c r="L179" s="479"/>
      <c r="M179" s="479"/>
      <c r="N179" s="479"/>
      <c r="O179" s="479"/>
      <c r="P179" s="479"/>
      <c r="Q179" s="479"/>
      <c r="R179" s="479"/>
      <c r="S179" s="479"/>
      <c r="T179" s="479"/>
      <c r="U179" s="479"/>
    </row>
    <row r="180" ht="16.5" customHeight="1">
      <c r="A180" s="479"/>
      <c r="B180" s="479"/>
      <c r="C180" s="479"/>
      <c r="D180" s="479"/>
      <c r="E180" s="479"/>
      <c r="F180" s="479"/>
      <c r="G180" s="479"/>
      <c r="H180" s="479"/>
      <c r="I180" s="479"/>
      <c r="J180" s="479"/>
      <c r="K180" s="479"/>
      <c r="L180" s="479"/>
      <c r="M180" s="479"/>
      <c r="N180" s="479"/>
      <c r="O180" s="479"/>
      <c r="P180" s="479"/>
      <c r="Q180" s="479"/>
      <c r="R180" s="479"/>
      <c r="S180" s="479"/>
      <c r="T180" s="479"/>
      <c r="U180" s="479"/>
    </row>
    <row r="181" ht="16.5" customHeight="1">
      <c r="A181" s="479"/>
      <c r="B181" s="479"/>
      <c r="C181" s="479"/>
      <c r="D181" s="479"/>
      <c r="E181" s="479"/>
      <c r="F181" s="479"/>
      <c r="G181" s="479"/>
      <c r="H181" s="479"/>
      <c r="I181" s="479"/>
      <c r="J181" s="479"/>
      <c r="K181" s="479"/>
      <c r="L181" s="479"/>
      <c r="M181" s="479"/>
      <c r="N181" s="479"/>
      <c r="O181" s="479"/>
      <c r="P181" s="479"/>
      <c r="Q181" s="479"/>
      <c r="R181" s="479"/>
      <c r="S181" s="479"/>
      <c r="T181" s="479"/>
      <c r="U181" s="479"/>
    </row>
    <row r="182" ht="16.5" customHeight="1">
      <c r="A182" s="479"/>
      <c r="B182" s="479"/>
      <c r="C182" s="479"/>
      <c r="D182" s="479"/>
      <c r="E182" s="479"/>
      <c r="F182" s="479"/>
      <c r="G182" s="479"/>
      <c r="H182" s="479"/>
      <c r="I182" s="479"/>
      <c r="J182" s="479"/>
      <c r="K182" s="479"/>
      <c r="L182" s="479"/>
      <c r="M182" s="479"/>
      <c r="N182" s="479"/>
      <c r="O182" s="479"/>
      <c r="P182" s="479"/>
      <c r="Q182" s="479"/>
      <c r="R182" s="479"/>
      <c r="S182" s="479"/>
      <c r="T182" s="479"/>
      <c r="U182" s="479"/>
    </row>
    <row r="183" ht="16.5" customHeight="1">
      <c r="A183" s="479"/>
      <c r="B183" s="479"/>
      <c r="C183" s="479"/>
      <c r="D183" s="479"/>
      <c r="E183" s="479"/>
      <c r="F183" s="479"/>
      <c r="G183" s="479"/>
      <c r="H183" s="479"/>
      <c r="I183" s="479"/>
      <c r="J183" s="479"/>
      <c r="K183" s="479"/>
      <c r="L183" s="479"/>
      <c r="M183" s="479"/>
      <c r="N183" s="479"/>
      <c r="O183" s="479"/>
      <c r="P183" s="479"/>
      <c r="Q183" s="479"/>
      <c r="R183" s="479"/>
      <c r="S183" s="479"/>
      <c r="T183" s="479"/>
      <c r="U183" s="479"/>
    </row>
    <row r="184" ht="16.5" customHeight="1">
      <c r="A184" s="479"/>
      <c r="B184" s="479"/>
      <c r="C184" s="479"/>
      <c r="D184" s="479"/>
      <c r="E184" s="479"/>
      <c r="F184" s="479"/>
      <c r="G184" s="479"/>
      <c r="H184" s="479"/>
      <c r="I184" s="479"/>
      <c r="J184" s="479"/>
      <c r="K184" s="479"/>
      <c r="L184" s="479"/>
      <c r="M184" s="479"/>
      <c r="N184" s="479"/>
      <c r="O184" s="479"/>
      <c r="P184" s="479"/>
      <c r="Q184" s="479"/>
      <c r="R184" s="479"/>
      <c r="S184" s="479"/>
      <c r="T184" s="479"/>
      <c r="U184" s="479"/>
    </row>
    <row r="185" ht="16.5" customHeight="1">
      <c r="A185" s="479"/>
      <c r="B185" s="479"/>
      <c r="C185" s="479"/>
      <c r="D185" s="479"/>
      <c r="E185" s="479"/>
      <c r="F185" s="479"/>
      <c r="G185" s="479"/>
      <c r="H185" s="479"/>
      <c r="I185" s="479"/>
      <c r="J185" s="479"/>
      <c r="K185" s="479"/>
      <c r="L185" s="479"/>
      <c r="M185" s="479"/>
      <c r="N185" s="479"/>
      <c r="O185" s="479"/>
      <c r="P185" s="479"/>
      <c r="Q185" s="479"/>
      <c r="R185" s="479"/>
      <c r="S185" s="479"/>
      <c r="T185" s="479"/>
      <c r="U185" s="479"/>
    </row>
    <row r="186" ht="16.5" customHeight="1">
      <c r="A186" s="479"/>
      <c r="B186" s="479"/>
      <c r="C186" s="479"/>
      <c r="D186" s="479"/>
      <c r="E186" s="479"/>
      <c r="F186" s="479"/>
      <c r="G186" s="479"/>
      <c r="H186" s="479"/>
      <c r="I186" s="479"/>
      <c r="J186" s="479"/>
      <c r="K186" s="479"/>
      <c r="L186" s="479"/>
      <c r="M186" s="479"/>
      <c r="N186" s="479"/>
      <c r="O186" s="479"/>
      <c r="P186" s="479"/>
      <c r="Q186" s="479"/>
      <c r="R186" s="479"/>
      <c r="S186" s="479"/>
      <c r="T186" s="479"/>
      <c r="U186" s="479"/>
    </row>
    <row r="187" ht="16.5" customHeight="1">
      <c r="A187" s="479"/>
      <c r="B187" s="479"/>
      <c r="C187" s="479"/>
      <c r="D187" s="479"/>
      <c r="E187" s="479"/>
      <c r="F187" s="479"/>
      <c r="G187" s="479"/>
      <c r="H187" s="479"/>
      <c r="I187" s="479"/>
      <c r="J187" s="479"/>
      <c r="K187" s="479"/>
      <c r="L187" s="479"/>
      <c r="M187" s="479"/>
      <c r="N187" s="479"/>
      <c r="O187" s="479"/>
      <c r="P187" s="479"/>
      <c r="Q187" s="479"/>
      <c r="R187" s="479"/>
      <c r="S187" s="479"/>
      <c r="T187" s="479"/>
      <c r="U187" s="479"/>
    </row>
    <row r="188" ht="16.5" customHeight="1">
      <c r="A188" s="479"/>
      <c r="B188" s="479"/>
      <c r="C188" s="479"/>
      <c r="D188" s="479"/>
      <c r="E188" s="479"/>
      <c r="F188" s="479"/>
      <c r="G188" s="479"/>
      <c r="H188" s="479"/>
      <c r="I188" s="479"/>
      <c r="J188" s="479"/>
      <c r="K188" s="479"/>
      <c r="L188" s="479"/>
      <c r="M188" s="479"/>
      <c r="N188" s="479"/>
      <c r="O188" s="479"/>
      <c r="P188" s="479"/>
      <c r="Q188" s="479"/>
      <c r="R188" s="479"/>
      <c r="S188" s="479"/>
      <c r="T188" s="479"/>
      <c r="U188" s="479"/>
    </row>
    <row r="189" ht="16.5" customHeight="1">
      <c r="A189" s="479"/>
      <c r="B189" s="479"/>
      <c r="C189" s="479"/>
      <c r="D189" s="479"/>
      <c r="E189" s="479"/>
      <c r="F189" s="479"/>
      <c r="G189" s="479"/>
      <c r="H189" s="479"/>
      <c r="I189" s="479"/>
      <c r="J189" s="479"/>
      <c r="K189" s="479"/>
      <c r="L189" s="479"/>
      <c r="M189" s="479"/>
      <c r="N189" s="479"/>
      <c r="O189" s="479"/>
      <c r="P189" s="479"/>
      <c r="Q189" s="479"/>
      <c r="R189" s="479"/>
      <c r="S189" s="479"/>
      <c r="T189" s="479"/>
      <c r="U189" s="479"/>
    </row>
    <row r="190" ht="16.5" customHeight="1">
      <c r="A190" s="479"/>
      <c r="B190" s="479"/>
      <c r="C190" s="479"/>
      <c r="D190" s="479"/>
      <c r="E190" s="479"/>
      <c r="F190" s="479"/>
      <c r="G190" s="479"/>
      <c r="H190" s="479"/>
      <c r="I190" s="479"/>
      <c r="J190" s="479"/>
      <c r="K190" s="479"/>
      <c r="L190" s="479"/>
      <c r="M190" s="479"/>
      <c r="N190" s="479"/>
      <c r="O190" s="479"/>
      <c r="P190" s="479"/>
      <c r="Q190" s="479"/>
      <c r="R190" s="479"/>
      <c r="S190" s="479"/>
      <c r="T190" s="479"/>
      <c r="U190" s="479"/>
    </row>
    <row r="191" ht="16.5" customHeight="1">
      <c r="A191" s="479"/>
      <c r="B191" s="479"/>
      <c r="C191" s="479"/>
      <c r="D191" s="479"/>
      <c r="E191" s="479"/>
      <c r="F191" s="479"/>
      <c r="G191" s="479"/>
      <c r="H191" s="479"/>
      <c r="I191" s="479"/>
      <c r="J191" s="479"/>
      <c r="K191" s="479"/>
      <c r="L191" s="479"/>
      <c r="M191" s="479"/>
      <c r="N191" s="479"/>
      <c r="O191" s="479"/>
      <c r="P191" s="479"/>
      <c r="Q191" s="479"/>
      <c r="R191" s="479"/>
      <c r="S191" s="479"/>
      <c r="T191" s="479"/>
      <c r="U191" s="479"/>
    </row>
    <row r="192" ht="16.5" customHeight="1">
      <c r="A192" s="479"/>
      <c r="B192" s="479"/>
      <c r="C192" s="479"/>
      <c r="D192" s="479"/>
      <c r="E192" s="479"/>
      <c r="F192" s="479"/>
      <c r="G192" s="479"/>
      <c r="H192" s="479"/>
      <c r="I192" s="479"/>
      <c r="J192" s="479"/>
      <c r="K192" s="479"/>
      <c r="L192" s="479"/>
      <c r="M192" s="479"/>
      <c r="N192" s="479"/>
      <c r="O192" s="479"/>
      <c r="P192" s="479"/>
      <c r="Q192" s="479"/>
      <c r="R192" s="479"/>
      <c r="S192" s="479"/>
      <c r="T192" s="479"/>
      <c r="U192" s="479"/>
    </row>
    <row r="193" ht="16.5" customHeight="1">
      <c r="A193" s="479"/>
      <c r="B193" s="479"/>
      <c r="C193" s="479"/>
      <c r="D193" s="479"/>
      <c r="E193" s="479"/>
      <c r="F193" s="479"/>
      <c r="G193" s="479"/>
      <c r="H193" s="479"/>
      <c r="I193" s="479"/>
      <c r="J193" s="479"/>
      <c r="K193" s="479"/>
      <c r="L193" s="479"/>
      <c r="M193" s="479"/>
      <c r="N193" s="479"/>
      <c r="O193" s="479"/>
      <c r="P193" s="479"/>
      <c r="Q193" s="479"/>
      <c r="R193" s="479"/>
      <c r="S193" s="479"/>
      <c r="T193" s="479"/>
      <c r="U193" s="479"/>
    </row>
    <row r="194" ht="16.5" customHeight="1">
      <c r="A194" s="479"/>
      <c r="B194" s="479"/>
      <c r="C194" s="479"/>
      <c r="D194" s="479"/>
      <c r="E194" s="479"/>
      <c r="F194" s="479"/>
      <c r="G194" s="479"/>
      <c r="H194" s="479"/>
      <c r="I194" s="479"/>
      <c r="J194" s="479"/>
      <c r="K194" s="479"/>
      <c r="L194" s="479"/>
      <c r="M194" s="479"/>
      <c r="N194" s="479"/>
      <c r="O194" s="479"/>
      <c r="P194" s="479"/>
      <c r="Q194" s="479"/>
      <c r="R194" s="479"/>
      <c r="S194" s="479"/>
      <c r="T194" s="479"/>
      <c r="U194" s="479"/>
    </row>
    <row r="195" ht="16.5" customHeight="1">
      <c r="A195" s="479"/>
      <c r="B195" s="479"/>
      <c r="C195" s="479"/>
      <c r="D195" s="479"/>
      <c r="E195" s="479"/>
      <c r="F195" s="479"/>
      <c r="G195" s="479"/>
      <c r="H195" s="479"/>
      <c r="I195" s="479"/>
      <c r="J195" s="479"/>
      <c r="K195" s="479"/>
      <c r="L195" s="479"/>
      <c r="M195" s="479"/>
      <c r="N195" s="479"/>
      <c r="O195" s="479"/>
      <c r="P195" s="479"/>
      <c r="Q195" s="479"/>
      <c r="R195" s="479"/>
      <c r="S195" s="479"/>
      <c r="T195" s="479"/>
      <c r="U195" s="479"/>
    </row>
    <row r="196" ht="16.5" customHeight="1">
      <c r="A196" s="479"/>
      <c r="B196" s="479"/>
      <c r="C196" s="479"/>
      <c r="D196" s="479"/>
      <c r="E196" s="479"/>
      <c r="F196" s="479"/>
      <c r="G196" s="479"/>
      <c r="H196" s="479"/>
      <c r="I196" s="479"/>
      <c r="J196" s="479"/>
      <c r="K196" s="479"/>
      <c r="L196" s="479"/>
      <c r="M196" s="479"/>
      <c r="N196" s="479"/>
      <c r="O196" s="479"/>
      <c r="P196" s="479"/>
      <c r="Q196" s="479"/>
      <c r="R196" s="479"/>
      <c r="S196" s="479"/>
      <c r="T196" s="479"/>
      <c r="U196" s="479"/>
    </row>
    <row r="197" ht="16.5" customHeight="1">
      <c r="A197" s="479"/>
      <c r="B197" s="479"/>
      <c r="C197" s="479"/>
      <c r="D197" s="479"/>
      <c r="E197" s="479"/>
      <c r="F197" s="479"/>
      <c r="G197" s="479"/>
      <c r="H197" s="479"/>
      <c r="I197" s="479"/>
      <c r="J197" s="479"/>
      <c r="K197" s="479"/>
      <c r="L197" s="479"/>
      <c r="M197" s="479"/>
      <c r="N197" s="479"/>
      <c r="O197" s="479"/>
      <c r="P197" s="479"/>
      <c r="Q197" s="479"/>
      <c r="R197" s="479"/>
      <c r="S197" s="479"/>
      <c r="T197" s="479"/>
      <c r="U197" s="479"/>
    </row>
    <row r="198" ht="16.5" customHeight="1">
      <c r="A198" s="479"/>
      <c r="B198" s="479"/>
      <c r="C198" s="479"/>
      <c r="D198" s="479"/>
      <c r="E198" s="479"/>
      <c r="F198" s="479"/>
      <c r="G198" s="479"/>
      <c r="H198" s="479"/>
      <c r="I198" s="479"/>
      <c r="J198" s="479"/>
      <c r="K198" s="479"/>
      <c r="L198" s="479"/>
      <c r="M198" s="479"/>
      <c r="N198" s="479"/>
      <c r="O198" s="479"/>
      <c r="P198" s="479"/>
      <c r="Q198" s="479"/>
      <c r="R198" s="479"/>
      <c r="S198" s="479"/>
      <c r="T198" s="479"/>
      <c r="U198" s="479"/>
    </row>
    <row r="199" ht="16.5" customHeight="1">
      <c r="A199" s="479"/>
      <c r="B199" s="479"/>
      <c r="C199" s="479"/>
      <c r="D199" s="479"/>
      <c r="E199" s="479"/>
      <c r="F199" s="479"/>
      <c r="G199" s="479"/>
      <c r="H199" s="479"/>
      <c r="I199" s="479"/>
      <c r="J199" s="479"/>
      <c r="K199" s="479"/>
      <c r="L199" s="479"/>
      <c r="M199" s="479"/>
      <c r="N199" s="479"/>
      <c r="O199" s="479"/>
      <c r="P199" s="479"/>
      <c r="Q199" s="479"/>
      <c r="R199" s="479"/>
      <c r="S199" s="479"/>
      <c r="T199" s="479"/>
      <c r="U199" s="479"/>
    </row>
    <row r="200" ht="16.5" customHeight="1">
      <c r="A200" s="479"/>
      <c r="B200" s="479"/>
      <c r="C200" s="479"/>
      <c r="D200" s="479"/>
      <c r="E200" s="479"/>
      <c r="F200" s="479"/>
      <c r="G200" s="479"/>
      <c r="H200" s="479"/>
      <c r="I200" s="479"/>
      <c r="J200" s="479"/>
      <c r="K200" s="479"/>
      <c r="L200" s="479"/>
      <c r="M200" s="479"/>
      <c r="N200" s="479"/>
      <c r="O200" s="479"/>
      <c r="P200" s="479"/>
      <c r="Q200" s="479"/>
      <c r="R200" s="479"/>
      <c r="S200" s="479"/>
      <c r="T200" s="479"/>
      <c r="U200" s="479"/>
    </row>
    <row r="201" ht="16.5" customHeight="1">
      <c r="A201" s="479"/>
      <c r="B201" s="479"/>
      <c r="C201" s="479"/>
      <c r="D201" s="479"/>
      <c r="E201" s="479"/>
      <c r="F201" s="479"/>
      <c r="G201" s="479"/>
      <c r="H201" s="479"/>
      <c r="I201" s="479"/>
      <c r="J201" s="479"/>
      <c r="K201" s="479"/>
      <c r="L201" s="479"/>
      <c r="M201" s="479"/>
      <c r="N201" s="479"/>
      <c r="O201" s="479"/>
      <c r="P201" s="479"/>
      <c r="Q201" s="479"/>
      <c r="R201" s="479"/>
      <c r="S201" s="479"/>
      <c r="T201" s="479"/>
      <c r="U201" s="479"/>
    </row>
    <row r="202" ht="16.5" customHeight="1">
      <c r="A202" s="479"/>
      <c r="B202" s="479"/>
      <c r="C202" s="479"/>
      <c r="D202" s="479"/>
      <c r="E202" s="479"/>
      <c r="F202" s="479"/>
      <c r="G202" s="479"/>
      <c r="H202" s="479"/>
      <c r="I202" s="479"/>
      <c r="J202" s="479"/>
      <c r="K202" s="479"/>
      <c r="L202" s="479"/>
      <c r="M202" s="479"/>
      <c r="N202" s="479"/>
      <c r="O202" s="479"/>
      <c r="P202" s="479"/>
      <c r="Q202" s="479"/>
      <c r="R202" s="479"/>
      <c r="S202" s="479"/>
      <c r="T202" s="479"/>
      <c r="U202" s="479"/>
    </row>
    <row r="203" ht="16.5" customHeight="1">
      <c r="A203" s="479"/>
      <c r="B203" s="479"/>
      <c r="C203" s="479"/>
      <c r="D203" s="479"/>
      <c r="E203" s="479"/>
      <c r="F203" s="479"/>
      <c r="G203" s="479"/>
      <c r="H203" s="479"/>
      <c r="I203" s="479"/>
      <c r="J203" s="479"/>
      <c r="K203" s="479"/>
      <c r="L203" s="479"/>
      <c r="M203" s="479"/>
      <c r="N203" s="479"/>
      <c r="O203" s="479"/>
      <c r="P203" s="479"/>
      <c r="Q203" s="479"/>
      <c r="R203" s="479"/>
      <c r="S203" s="479"/>
      <c r="T203" s="479"/>
      <c r="U203" s="479"/>
    </row>
    <row r="204" ht="16.5" customHeight="1">
      <c r="A204" s="479"/>
      <c r="B204" s="479"/>
      <c r="C204" s="479"/>
      <c r="D204" s="479"/>
      <c r="E204" s="479"/>
      <c r="F204" s="479"/>
      <c r="G204" s="479"/>
      <c r="H204" s="479"/>
      <c r="I204" s="479"/>
      <c r="J204" s="479"/>
      <c r="K204" s="479"/>
      <c r="L204" s="479"/>
      <c r="M204" s="479"/>
      <c r="N204" s="479"/>
      <c r="O204" s="479"/>
      <c r="P204" s="479"/>
      <c r="Q204" s="479"/>
      <c r="R204" s="479"/>
      <c r="S204" s="479"/>
      <c r="T204" s="479"/>
      <c r="U204" s="479"/>
    </row>
    <row r="205" ht="16.5" customHeight="1">
      <c r="A205" s="479"/>
      <c r="B205" s="479"/>
      <c r="C205" s="479"/>
      <c r="D205" s="479"/>
      <c r="E205" s="479"/>
      <c r="F205" s="479"/>
      <c r="G205" s="479"/>
      <c r="H205" s="479"/>
      <c r="I205" s="479"/>
      <c r="J205" s="479"/>
      <c r="K205" s="479"/>
      <c r="L205" s="479"/>
      <c r="M205" s="479"/>
      <c r="N205" s="479"/>
      <c r="O205" s="479"/>
      <c r="P205" s="479"/>
      <c r="Q205" s="479"/>
      <c r="R205" s="479"/>
      <c r="S205" s="479"/>
      <c r="T205" s="479"/>
      <c r="U205" s="479"/>
    </row>
    <row r="206" ht="16.5" customHeight="1">
      <c r="A206" s="479"/>
      <c r="B206" s="479"/>
      <c r="C206" s="479"/>
      <c r="D206" s="479"/>
      <c r="E206" s="479"/>
      <c r="F206" s="479"/>
      <c r="G206" s="479"/>
      <c r="H206" s="479"/>
      <c r="I206" s="479"/>
      <c r="J206" s="479"/>
      <c r="K206" s="479"/>
      <c r="L206" s="479"/>
      <c r="M206" s="479"/>
      <c r="N206" s="479"/>
      <c r="O206" s="479"/>
      <c r="P206" s="479"/>
      <c r="Q206" s="479"/>
      <c r="R206" s="479"/>
      <c r="S206" s="479"/>
      <c r="T206" s="479"/>
      <c r="U206" s="479"/>
    </row>
    <row r="207" ht="16.5" customHeight="1">
      <c r="A207" s="479"/>
      <c r="B207" s="479"/>
      <c r="C207" s="479"/>
      <c r="D207" s="479"/>
      <c r="E207" s="479"/>
      <c r="F207" s="479"/>
      <c r="G207" s="479"/>
      <c r="H207" s="479"/>
      <c r="I207" s="479"/>
      <c r="J207" s="479"/>
      <c r="K207" s="479"/>
      <c r="L207" s="479"/>
      <c r="M207" s="479"/>
      <c r="N207" s="479"/>
      <c r="O207" s="479"/>
      <c r="P207" s="479"/>
      <c r="Q207" s="479"/>
      <c r="R207" s="479"/>
      <c r="S207" s="479"/>
      <c r="T207" s="479"/>
      <c r="U207" s="479"/>
    </row>
    <row r="208" ht="16.5" customHeight="1">
      <c r="A208" s="479"/>
      <c r="B208" s="479"/>
      <c r="C208" s="479"/>
      <c r="D208" s="479"/>
      <c r="E208" s="479"/>
      <c r="F208" s="479"/>
      <c r="G208" s="479"/>
      <c r="H208" s="479"/>
      <c r="I208" s="479"/>
      <c r="J208" s="479"/>
      <c r="K208" s="479"/>
      <c r="L208" s="479"/>
      <c r="M208" s="479"/>
      <c r="N208" s="479"/>
      <c r="O208" s="479"/>
      <c r="P208" s="479"/>
      <c r="Q208" s="479"/>
      <c r="R208" s="479"/>
      <c r="S208" s="479"/>
      <c r="T208" s="479"/>
      <c r="U208" s="479"/>
    </row>
    <row r="209" ht="16.5" customHeight="1">
      <c r="A209" s="479"/>
      <c r="B209" s="479"/>
      <c r="C209" s="479"/>
      <c r="D209" s="479"/>
      <c r="E209" s="479"/>
      <c r="F209" s="479"/>
      <c r="G209" s="479"/>
      <c r="H209" s="479"/>
      <c r="I209" s="479"/>
      <c r="J209" s="479"/>
      <c r="K209" s="479"/>
      <c r="L209" s="479"/>
      <c r="M209" s="479"/>
      <c r="N209" s="479"/>
      <c r="O209" s="479"/>
      <c r="P209" s="479"/>
      <c r="Q209" s="479"/>
      <c r="R209" s="479"/>
      <c r="S209" s="479"/>
      <c r="T209" s="479"/>
      <c r="U209" s="479"/>
    </row>
    <row r="210" ht="16.5" customHeight="1">
      <c r="A210" s="479"/>
      <c r="B210" s="479"/>
      <c r="C210" s="479"/>
      <c r="D210" s="479"/>
      <c r="E210" s="479"/>
      <c r="F210" s="479"/>
      <c r="G210" s="479"/>
      <c r="H210" s="479"/>
      <c r="I210" s="479"/>
      <c r="J210" s="479"/>
      <c r="K210" s="479"/>
      <c r="L210" s="479"/>
      <c r="M210" s="479"/>
      <c r="N210" s="479"/>
      <c r="O210" s="479"/>
      <c r="P210" s="479"/>
      <c r="Q210" s="479"/>
      <c r="R210" s="479"/>
      <c r="S210" s="479"/>
      <c r="T210" s="479"/>
      <c r="U210" s="479"/>
    </row>
    <row r="211" ht="16.5" customHeight="1">
      <c r="A211" s="479"/>
      <c r="B211" s="479"/>
      <c r="C211" s="479"/>
      <c r="D211" s="479"/>
      <c r="E211" s="479"/>
      <c r="F211" s="479"/>
      <c r="G211" s="479"/>
      <c r="H211" s="479"/>
      <c r="I211" s="479"/>
      <c r="J211" s="479"/>
      <c r="K211" s="479"/>
      <c r="L211" s="479"/>
      <c r="M211" s="479"/>
      <c r="N211" s="479"/>
      <c r="O211" s="479"/>
      <c r="P211" s="479"/>
      <c r="Q211" s="479"/>
      <c r="R211" s="479"/>
      <c r="S211" s="479"/>
      <c r="T211" s="479"/>
      <c r="U211" s="479"/>
    </row>
    <row r="212" ht="16.5" customHeight="1">
      <c r="A212" s="479"/>
      <c r="B212" s="479"/>
      <c r="C212" s="479"/>
      <c r="D212" s="479"/>
      <c r="E212" s="479"/>
      <c r="F212" s="479"/>
      <c r="G212" s="479"/>
      <c r="H212" s="479"/>
      <c r="I212" s="479"/>
      <c r="J212" s="479"/>
      <c r="K212" s="479"/>
      <c r="L212" s="479"/>
      <c r="M212" s="479"/>
      <c r="N212" s="479"/>
      <c r="O212" s="479"/>
      <c r="P212" s="479"/>
      <c r="Q212" s="479"/>
      <c r="R212" s="479"/>
      <c r="S212" s="479"/>
      <c r="T212" s="479"/>
      <c r="U212" s="479"/>
    </row>
    <row r="213" ht="16.5" customHeight="1">
      <c r="A213" s="479"/>
      <c r="B213" s="479"/>
      <c r="C213" s="479"/>
      <c r="D213" s="479"/>
      <c r="E213" s="479"/>
      <c r="F213" s="479"/>
      <c r="G213" s="479"/>
      <c r="H213" s="479"/>
      <c r="I213" s="479"/>
      <c r="J213" s="479"/>
      <c r="K213" s="479"/>
      <c r="L213" s="479"/>
      <c r="M213" s="479"/>
      <c r="N213" s="479"/>
      <c r="O213" s="479"/>
      <c r="P213" s="479"/>
      <c r="Q213" s="479"/>
      <c r="R213" s="479"/>
      <c r="S213" s="479"/>
      <c r="T213" s="479"/>
      <c r="U213" s="479"/>
    </row>
    <row r="214" ht="16.5" customHeight="1">
      <c r="A214" s="479"/>
      <c r="B214" s="479"/>
      <c r="C214" s="479"/>
      <c r="D214" s="479"/>
      <c r="E214" s="479"/>
      <c r="F214" s="479"/>
      <c r="G214" s="479"/>
      <c r="H214" s="479"/>
      <c r="I214" s="479"/>
      <c r="J214" s="479"/>
      <c r="K214" s="479"/>
      <c r="L214" s="479"/>
      <c r="M214" s="479"/>
      <c r="N214" s="479"/>
      <c r="O214" s="479"/>
      <c r="P214" s="479"/>
      <c r="Q214" s="479"/>
      <c r="R214" s="479"/>
      <c r="S214" s="479"/>
      <c r="T214" s="479"/>
      <c r="U214" s="479"/>
    </row>
    <row r="215" ht="16.5" customHeight="1">
      <c r="A215" s="479"/>
      <c r="B215" s="479"/>
      <c r="C215" s="479"/>
      <c r="D215" s="479"/>
      <c r="E215" s="479"/>
      <c r="F215" s="479"/>
      <c r="G215" s="479"/>
      <c r="H215" s="479"/>
      <c r="I215" s="479"/>
      <c r="J215" s="479"/>
      <c r="K215" s="479"/>
      <c r="L215" s="479"/>
      <c r="M215" s="479"/>
      <c r="N215" s="479"/>
      <c r="O215" s="479"/>
      <c r="P215" s="479"/>
      <c r="Q215" s="479"/>
      <c r="R215" s="479"/>
      <c r="S215" s="479"/>
      <c r="T215" s="479"/>
      <c r="U215" s="479"/>
    </row>
    <row r="216" ht="16.5" customHeight="1">
      <c r="A216" s="479"/>
      <c r="B216" s="479"/>
      <c r="C216" s="479"/>
      <c r="D216" s="479"/>
      <c r="E216" s="479"/>
      <c r="F216" s="479"/>
      <c r="G216" s="479"/>
      <c r="H216" s="479"/>
      <c r="I216" s="479"/>
      <c r="J216" s="479"/>
      <c r="K216" s="479"/>
      <c r="L216" s="479"/>
      <c r="M216" s="479"/>
      <c r="N216" s="479"/>
      <c r="O216" s="479"/>
      <c r="P216" s="479"/>
      <c r="Q216" s="479"/>
      <c r="R216" s="479"/>
      <c r="S216" s="479"/>
      <c r="T216" s="479"/>
      <c r="U216" s="479"/>
    </row>
    <row r="217" ht="16.5" customHeight="1">
      <c r="A217" s="479"/>
      <c r="B217" s="479"/>
      <c r="C217" s="479"/>
      <c r="D217" s="479"/>
      <c r="E217" s="479"/>
      <c r="F217" s="479"/>
      <c r="G217" s="479"/>
      <c r="H217" s="479"/>
      <c r="I217" s="479"/>
      <c r="J217" s="479"/>
      <c r="K217" s="479"/>
      <c r="L217" s="479"/>
      <c r="M217" s="479"/>
      <c r="N217" s="479"/>
      <c r="O217" s="479"/>
      <c r="P217" s="479"/>
      <c r="Q217" s="479"/>
      <c r="R217" s="479"/>
      <c r="S217" s="479"/>
      <c r="T217" s="479"/>
      <c r="U217" s="479"/>
    </row>
    <row r="218" ht="16.5" customHeight="1">
      <c r="A218" s="479"/>
      <c r="B218" s="479"/>
      <c r="C218" s="479"/>
      <c r="D218" s="479"/>
      <c r="E218" s="479"/>
      <c r="F218" s="479"/>
      <c r="G218" s="479"/>
      <c r="H218" s="479"/>
      <c r="I218" s="479"/>
      <c r="J218" s="479"/>
      <c r="K218" s="479"/>
      <c r="L218" s="479"/>
      <c r="M218" s="479"/>
      <c r="N218" s="479"/>
      <c r="O218" s="479"/>
      <c r="P218" s="479"/>
      <c r="Q218" s="479"/>
      <c r="R218" s="479"/>
      <c r="S218" s="479"/>
      <c r="T218" s="479"/>
      <c r="U218" s="479"/>
    </row>
    <row r="219" ht="16.5" customHeight="1">
      <c r="A219" s="479"/>
      <c r="B219" s="479"/>
      <c r="C219" s="479"/>
      <c r="D219" s="479"/>
      <c r="E219" s="479"/>
      <c r="F219" s="479"/>
      <c r="G219" s="479"/>
      <c r="H219" s="479"/>
      <c r="I219" s="479"/>
      <c r="J219" s="479"/>
      <c r="K219" s="479"/>
      <c r="L219" s="479"/>
      <c r="M219" s="479"/>
      <c r="N219" s="479"/>
      <c r="O219" s="479"/>
      <c r="P219" s="479"/>
      <c r="Q219" s="479"/>
      <c r="R219" s="479"/>
      <c r="S219" s="479"/>
      <c r="T219" s="479"/>
      <c r="U219" s="479"/>
    </row>
    <row r="220" ht="16.5" customHeight="1">
      <c r="A220" s="479"/>
      <c r="B220" s="479"/>
      <c r="C220" s="479"/>
      <c r="D220" s="479"/>
      <c r="E220" s="479"/>
      <c r="F220" s="479"/>
      <c r="G220" s="479"/>
      <c r="H220" s="479"/>
      <c r="I220" s="479"/>
      <c r="J220" s="479"/>
      <c r="K220" s="479"/>
      <c r="L220" s="479"/>
      <c r="M220" s="479"/>
      <c r="N220" s="479"/>
      <c r="O220" s="479"/>
      <c r="P220" s="479"/>
      <c r="Q220" s="479"/>
      <c r="R220" s="479"/>
      <c r="S220" s="479"/>
      <c r="T220" s="479"/>
      <c r="U220" s="4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2021-01-06T05:24:15Z</dcterms:created>
  <dc:creator>Administrator</dc:creator>
</cp:coreProperties>
</file>